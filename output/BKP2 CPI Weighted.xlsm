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Work\code\personal\bls-cpi-extract\output\"/>
    </mc:Choice>
  </mc:AlternateContent>
  <xr:revisionPtr revIDLastSave="0" documentId="13_ncr:1_{76FE356F-1D00-4043-A149-1EDA2ACB8A1F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processed_data" sheetId="1" r:id="rId1"/>
  </sheet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4" i="1" l="1"/>
  <c r="K82" i="1"/>
  <c r="K81" i="1"/>
  <c r="K93" i="1" s="1"/>
  <c r="K26" i="1"/>
  <c r="K38" i="1" s="1"/>
  <c r="K50" i="1" s="1"/>
  <c r="K60" i="1" s="1"/>
  <c r="K72" i="1" s="1"/>
  <c r="K84" i="1" s="1"/>
  <c r="K96" i="1" s="1"/>
  <c r="K25" i="1"/>
  <c r="K37" i="1" s="1"/>
  <c r="K49" i="1" s="1"/>
  <c r="K59" i="1" s="1"/>
  <c r="K71" i="1" s="1"/>
  <c r="K83" i="1" s="1"/>
  <c r="K95" i="1" s="1"/>
  <c r="K24" i="1"/>
  <c r="K36" i="1" s="1"/>
  <c r="K48" i="1" s="1"/>
  <c r="K23" i="1"/>
  <c r="K35" i="1" s="1"/>
  <c r="K47" i="1" s="1"/>
  <c r="K22" i="1"/>
  <c r="K34" i="1" s="1"/>
  <c r="K46" i="1" s="1"/>
  <c r="K58" i="1" s="1"/>
  <c r="K68" i="1" s="1"/>
  <c r="K80" i="1" s="1"/>
  <c r="K92" i="1" s="1"/>
  <c r="K21" i="1"/>
  <c r="K33" i="1" s="1"/>
  <c r="K45" i="1" s="1"/>
  <c r="K57" i="1" s="1"/>
  <c r="K67" i="1" s="1"/>
  <c r="K79" i="1" s="1"/>
  <c r="K91" i="1" s="1"/>
  <c r="K20" i="1"/>
  <c r="K32" i="1" s="1"/>
  <c r="K44" i="1" s="1"/>
  <c r="K56" i="1" s="1"/>
  <c r="K66" i="1" s="1"/>
  <c r="K78" i="1" s="1"/>
  <c r="K90" i="1" s="1"/>
  <c r="K19" i="1"/>
  <c r="K31" i="1" s="1"/>
  <c r="K43" i="1" s="1"/>
  <c r="K55" i="1" s="1"/>
  <c r="K65" i="1" s="1"/>
  <c r="K77" i="1" s="1"/>
  <c r="K89" i="1" s="1"/>
  <c r="K18" i="1"/>
  <c r="K30" i="1" s="1"/>
  <c r="K42" i="1" s="1"/>
  <c r="K54" i="1" s="1"/>
  <c r="K64" i="1" s="1"/>
  <c r="K76" i="1" s="1"/>
  <c r="K88" i="1" s="1"/>
  <c r="K17" i="1"/>
  <c r="K29" i="1" s="1"/>
  <c r="K41" i="1" s="1"/>
  <c r="K53" i="1" s="1"/>
  <c r="K63" i="1" s="1"/>
  <c r="K75" i="1" s="1"/>
  <c r="K87" i="1" s="1"/>
  <c r="K16" i="1"/>
  <c r="K28" i="1" s="1"/>
  <c r="K40" i="1" s="1"/>
  <c r="K52" i="1" s="1"/>
  <c r="K62" i="1" s="1"/>
  <c r="K74" i="1" s="1"/>
  <c r="K86" i="1" s="1"/>
  <c r="L15" i="1"/>
  <c r="K15" i="1"/>
  <c r="K27" i="1" s="1"/>
  <c r="K39" i="1" s="1"/>
  <c r="K51" i="1" s="1"/>
  <c r="K61" i="1" s="1"/>
  <c r="K73" i="1" s="1"/>
  <c r="K85" i="1" s="1"/>
  <c r="J15" i="1"/>
  <c r="J27" i="1" s="1"/>
  <c r="J5" i="1"/>
  <c r="L4" i="1"/>
  <c r="J4" i="1"/>
  <c r="L3" i="1"/>
  <c r="L2" i="1"/>
  <c r="H2212" i="1" a="1"/>
  <c r="H2216" i="1" a="1"/>
  <c r="H2220" i="1" a="1"/>
  <c r="H2224" i="1" a="1"/>
  <c r="H2228" i="1" a="1"/>
  <c r="H2232" i="1" a="1"/>
  <c r="H2236" i="1" a="1"/>
  <c r="H2240" i="1" a="1"/>
  <c r="H2244" i="1" a="1"/>
  <c r="H2248" i="1" a="1"/>
  <c r="H2252" i="1" a="1"/>
  <c r="H2256" i="1" a="1"/>
  <c r="H2260" i="1" a="1"/>
  <c r="H2264" i="1" a="1"/>
  <c r="H2268" i="1" a="1"/>
  <c r="H2272" i="1" a="1"/>
  <c r="H2276" i="1" a="1"/>
  <c r="H2280" i="1" a="1"/>
  <c r="H2284" i="1" a="1"/>
  <c r="H2288" i="1" a="1"/>
  <c r="H2292" i="1" a="1"/>
  <c r="H2296" i="1" a="1"/>
  <c r="H2213" i="1" a="1"/>
  <c r="H2217" i="1" a="1"/>
  <c r="H2221" i="1" a="1"/>
  <c r="H2225" i="1" a="1"/>
  <c r="H2229" i="1" a="1"/>
  <c r="H2233" i="1" a="1"/>
  <c r="H2237" i="1" a="1"/>
  <c r="H2241" i="1" a="1"/>
  <c r="H2245" i="1" a="1"/>
  <c r="H2249" i="1" a="1"/>
  <c r="H2253" i="1" a="1"/>
  <c r="H2257" i="1" a="1"/>
  <c r="H2261" i="1" a="1"/>
  <c r="H2265" i="1" a="1"/>
  <c r="H2269" i="1" a="1"/>
  <c r="H2273" i="1" a="1"/>
  <c r="H2277" i="1" a="1"/>
  <c r="H2281" i="1" a="1"/>
  <c r="H2285" i="1" a="1"/>
  <c r="H2289" i="1" a="1"/>
  <c r="H2293" i="1" a="1"/>
  <c r="H2297" i="1" a="1"/>
  <c r="H2214" i="1" a="1"/>
  <c r="H2222" i="1" a="1"/>
  <c r="H2230" i="1" a="1"/>
  <c r="H2238" i="1" a="1"/>
  <c r="H2246" i="1" a="1"/>
  <c r="H2254" i="1" a="1"/>
  <c r="H2262" i="1" a="1"/>
  <c r="H2270" i="1" a="1"/>
  <c r="H2278" i="1" a="1"/>
  <c r="H2286" i="1" a="1"/>
  <c r="H2294" i="1" a="1"/>
  <c r="H2300" i="1" a="1"/>
  <c r="H2306" i="1" a="1"/>
  <c r="H2311" i="1" a="1"/>
  <c r="H2316" i="1" a="1"/>
  <c r="H2322" i="1" a="1"/>
  <c r="H2327" i="1" a="1"/>
  <c r="H2332" i="1" a="1"/>
  <c r="H2338" i="1" a="1"/>
  <c r="H2343" i="1" a="1"/>
  <c r="H2348" i="1" a="1"/>
  <c r="H2354" i="1" a="1"/>
  <c r="H2359" i="1" a="1"/>
  <c r="H2364" i="1" a="1"/>
  <c r="H2370" i="1" a="1"/>
  <c r="H2375" i="1" a="1"/>
  <c r="H2380" i="1" a="1"/>
  <c r="H2386" i="1" a="1"/>
  <c r="H2391" i="1" a="1"/>
  <c r="H2396" i="1" a="1"/>
  <c r="H2402" i="1" a="1"/>
  <c r="H2407" i="1" a="1"/>
  <c r="H2412" i="1" a="1"/>
  <c r="H2418" i="1" a="1"/>
  <c r="H2423" i="1" a="1"/>
  <c r="H2428" i="1" a="1"/>
  <c r="H2434" i="1" a="1"/>
  <c r="H2439" i="1" a="1"/>
  <c r="H2444" i="1" a="1"/>
  <c r="H2450" i="1" a="1"/>
  <c r="H2455" i="1" a="1"/>
  <c r="H2460" i="1" a="1"/>
  <c r="H2466" i="1" a="1"/>
  <c r="H2471" i="1" a="1"/>
  <c r="H2301" i="1" a="1"/>
  <c r="H2317" i="1" a="1"/>
  <c r="H2333" i="1" a="1"/>
  <c r="H2349" i="1" a="1"/>
  <c r="H2365" i="1" a="1"/>
  <c r="H2381" i="1" a="1"/>
  <c r="H2397" i="1" a="1"/>
  <c r="H2413" i="1" a="1"/>
  <c r="H2429" i="1" a="1"/>
  <c r="H2445" i="1" a="1"/>
  <c r="H2461" i="1" a="1"/>
  <c r="H2477" i="1" a="1"/>
  <c r="H2493" i="1" a="1"/>
  <c r="H2509" i="1" a="1"/>
  <c r="H2525" i="1" a="1"/>
  <c r="H2541" i="1" a="1"/>
  <c r="H2215" i="1" a="1"/>
  <c r="H2223" i="1" a="1"/>
  <c r="H2231" i="1" a="1"/>
  <c r="H2239" i="1" a="1"/>
  <c r="H2247" i="1" a="1"/>
  <c r="H2255" i="1" a="1"/>
  <c r="H2263" i="1" a="1"/>
  <c r="H2271" i="1" a="1"/>
  <c r="H2279" i="1" a="1"/>
  <c r="H2287" i="1" a="1"/>
  <c r="H2295" i="1" a="1"/>
  <c r="H2302" i="1" a="1"/>
  <c r="H2307" i="1" a="1"/>
  <c r="H2312" i="1" a="1"/>
  <c r="H2318" i="1" a="1"/>
  <c r="H2323" i="1" a="1"/>
  <c r="H2328" i="1" a="1"/>
  <c r="H2334" i="1" a="1"/>
  <c r="H2339" i="1" a="1"/>
  <c r="H2344" i="1" a="1"/>
  <c r="H2350" i="1" a="1"/>
  <c r="H2355" i="1" a="1"/>
  <c r="H2360" i="1" a="1"/>
  <c r="H2366" i="1" a="1"/>
  <c r="H2371" i="1" a="1"/>
  <c r="H2376" i="1" a="1"/>
  <c r="H2382" i="1" a="1"/>
  <c r="H2387" i="1" a="1"/>
  <c r="H2392" i="1" a="1"/>
  <c r="H2398" i="1" a="1"/>
  <c r="H2403" i="1" a="1"/>
  <c r="H2408" i="1" a="1"/>
  <c r="H2414" i="1" a="1"/>
  <c r="H2419" i="1" a="1"/>
  <c r="H2424" i="1" a="1"/>
  <c r="H2430" i="1" a="1"/>
  <c r="H2435" i="1" a="1"/>
  <c r="H2440" i="1" a="1"/>
  <c r="H2446" i="1" a="1"/>
  <c r="H2451" i="1" a="1"/>
  <c r="H2456" i="1" a="1"/>
  <c r="H2462" i="1" a="1"/>
  <c r="H2467" i="1" a="1"/>
  <c r="H2472" i="1" a="1"/>
  <c r="H2478" i="1" a="1"/>
  <c r="H2483" i="1" a="1"/>
  <c r="H2488" i="1" a="1"/>
  <c r="H2494" i="1" a="1"/>
  <c r="H2499" i="1" a="1"/>
  <c r="H2504" i="1" a="1"/>
  <c r="H2313" i="1" a="1"/>
  <c r="H2329" i="1" a="1"/>
  <c r="H2345" i="1" a="1"/>
  <c r="H2361" i="1" a="1"/>
  <c r="H2377" i="1" a="1"/>
  <c r="H2393" i="1" a="1"/>
  <c r="H2409" i="1" a="1"/>
  <c r="H2425" i="1" a="1"/>
  <c r="H2441" i="1" a="1"/>
  <c r="H2457" i="1" a="1"/>
  <c r="H2473" i="1" a="1"/>
  <c r="H2489" i="1" a="1"/>
  <c r="H2505" i="1" a="1"/>
  <c r="H2521" i="1" a="1"/>
  <c r="H2537" i="1" a="1"/>
  <c r="H2218" i="1" a="1"/>
  <c r="H2226" i="1" a="1"/>
  <c r="H2234" i="1" a="1"/>
  <c r="H2242" i="1" a="1"/>
  <c r="H2250" i="1" a="1"/>
  <c r="H2258" i="1" a="1"/>
  <c r="H2266" i="1" a="1"/>
  <c r="H2274" i="1" a="1"/>
  <c r="H2282" i="1" a="1"/>
  <c r="H2290" i="1" a="1"/>
  <c r="H2298" i="1" a="1"/>
  <c r="H2303" i="1" a="1"/>
  <c r="H2308" i="1" a="1"/>
  <c r="H2314" i="1" a="1"/>
  <c r="H2319" i="1" a="1"/>
  <c r="H2324" i="1" a="1"/>
  <c r="H2330" i="1" a="1"/>
  <c r="H2335" i="1" a="1"/>
  <c r="H2340" i="1" a="1"/>
  <c r="H2346" i="1" a="1"/>
  <c r="H2351" i="1" a="1"/>
  <c r="H2356" i="1" a="1"/>
  <c r="H2362" i="1" a="1"/>
  <c r="H2367" i="1" a="1"/>
  <c r="H2372" i="1" a="1"/>
  <c r="H2378" i="1" a="1"/>
  <c r="H2383" i="1" a="1"/>
  <c r="H2388" i="1" a="1"/>
  <c r="H2394" i="1" a="1"/>
  <c r="H2399" i="1" a="1"/>
  <c r="H2404" i="1" a="1"/>
  <c r="H2410" i="1" a="1"/>
  <c r="H2415" i="1" a="1"/>
  <c r="H2420" i="1" a="1"/>
  <c r="H2426" i="1" a="1"/>
  <c r="H2431" i="1" a="1"/>
  <c r="H2436" i="1" a="1"/>
  <c r="H2442" i="1" a="1"/>
  <c r="H2259" i="1" a="1"/>
  <c r="H2315" i="1" a="1"/>
  <c r="H2358" i="1" a="1"/>
  <c r="H2373" i="1" a="1"/>
  <c r="H2385" i="1" a="1"/>
  <c r="H2400" i="1" a="1"/>
  <c r="H2443" i="1" a="1"/>
  <c r="H2454" i="1" a="1"/>
  <c r="H2464" i="1" a="1"/>
  <c r="H2475" i="1" a="1"/>
  <c r="H2484" i="1" a="1"/>
  <c r="H2501" i="1" a="1"/>
  <c r="H2508" i="1" a="1"/>
  <c r="H2516" i="1" a="1"/>
  <c r="H2523" i="1" a="1"/>
  <c r="H2530" i="1" a="1"/>
  <c r="H2538" i="1" a="1"/>
  <c r="H2544" i="1" a="1"/>
  <c r="H2551" i="1" a="1"/>
  <c r="H2557" i="1" a="1"/>
  <c r="H2562" i="1" a="1"/>
  <c r="H2567" i="1" a="1"/>
  <c r="H2573" i="1" a="1"/>
  <c r="H2578" i="1" a="1"/>
  <c r="H2583" i="1" a="1"/>
  <c r="H2589" i="1" a="1"/>
  <c r="H2594" i="1" a="1"/>
  <c r="H2599" i="1" a="1"/>
  <c r="H2605" i="1" a="1"/>
  <c r="H2610" i="1" a="1"/>
  <c r="H2615" i="1" a="1"/>
  <c r="H2621" i="1" a="1"/>
  <c r="H2626" i="1" a="1"/>
  <c r="H2631" i="1" a="1"/>
  <c r="H2637" i="1" a="1"/>
  <c r="H2642" i="1" a="1"/>
  <c r="H2647" i="1" a="1"/>
  <c r="H2653" i="1" a="1"/>
  <c r="H2658" i="1" a="1"/>
  <c r="H2663" i="1" a="1"/>
  <c r="H2669" i="1" a="1"/>
  <c r="H2674" i="1" a="1"/>
  <c r="H2679" i="1" a="1"/>
  <c r="H2219" i="1" a="1"/>
  <c r="H2283" i="1" a="1"/>
  <c r="H2331" i="1" a="1"/>
  <c r="H2374" i="1" a="1"/>
  <c r="H2389" i="1" a="1"/>
  <c r="H2401" i="1" a="1"/>
  <c r="H2416" i="1" a="1"/>
  <c r="H2465" i="1" a="1"/>
  <c r="H2485" i="1" a="1"/>
  <c r="H2492" i="1" a="1"/>
  <c r="H2502" i="1" a="1"/>
  <c r="H2510" i="1" a="1"/>
  <c r="H2517" i="1" a="1"/>
  <c r="H2531" i="1" a="1"/>
  <c r="H2545" i="1" a="1"/>
  <c r="H2552" i="1" a="1"/>
  <c r="H2568" i="1" a="1"/>
  <c r="H2584" i="1" a="1"/>
  <c r="H2600" i="1" a="1"/>
  <c r="H2616" i="1" a="1"/>
  <c r="H2632" i="1" a="1"/>
  <c r="H2648" i="1" a="1"/>
  <c r="H2664" i="1" a="1"/>
  <c r="H2680" i="1" a="1"/>
  <c r="H2684" i="1" a="1"/>
  <c r="H2688" i="1" a="1"/>
  <c r="H2692" i="1" a="1"/>
  <c r="H2696" i="1" a="1"/>
  <c r="H2700" i="1" a="1"/>
  <c r="H2704" i="1" a="1"/>
  <c r="H2708" i="1" a="1"/>
  <c r="H2712" i="1" a="1"/>
  <c r="H2716" i="1" a="1"/>
  <c r="H2720" i="1" a="1"/>
  <c r="H2724" i="1" a="1"/>
  <c r="H2728" i="1" a="1"/>
  <c r="H2732" i="1" a="1"/>
  <c r="H2736" i="1" a="1"/>
  <c r="H2740" i="1" a="1"/>
  <c r="H2744" i="1" a="1"/>
  <c r="H2748" i="1" a="1"/>
  <c r="H2752" i="1" a="1"/>
  <c r="H2756" i="1" a="1"/>
  <c r="H2760" i="1" a="1"/>
  <c r="H2243" i="1" a="1"/>
  <c r="H2304" i="1" a="1"/>
  <c r="H2347" i="1" a="1"/>
  <c r="H2390" i="1" a="1"/>
  <c r="H2405" i="1" a="1"/>
  <c r="H2417" i="1" a="1"/>
  <c r="H2432" i="1" a="1"/>
  <c r="H2447" i="1" a="1"/>
  <c r="H2458" i="1" a="1"/>
  <c r="H2468" i="1" a="1"/>
  <c r="H2476" i="1" a="1"/>
  <c r="H2486" i="1" a="1"/>
  <c r="H2495" i="1" a="1"/>
  <c r="H2511" i="1" a="1"/>
  <c r="H2518" i="1" a="1"/>
  <c r="H2524" i="1" a="1"/>
  <c r="H2532" i="1" a="1"/>
  <c r="H2539" i="1" a="1"/>
  <c r="H2546" i="1" a="1"/>
  <c r="H2553" i="1" a="1"/>
  <c r="H2558" i="1" a="1"/>
  <c r="H2563" i="1" a="1"/>
  <c r="H2569" i="1" a="1"/>
  <c r="H2574" i="1" a="1"/>
  <c r="H2579" i="1" a="1"/>
  <c r="H2585" i="1" a="1"/>
  <c r="H2590" i="1" a="1"/>
  <c r="H2595" i="1" a="1"/>
  <c r="H2601" i="1" a="1"/>
  <c r="H2606" i="1" a="1"/>
  <c r="H2611" i="1" a="1"/>
  <c r="H2617" i="1" a="1"/>
  <c r="H2622" i="1" a="1"/>
  <c r="H2627" i="1" a="1"/>
  <c r="H2633" i="1" a="1"/>
  <c r="H2638" i="1" a="1"/>
  <c r="H2643" i="1" a="1"/>
  <c r="H2649" i="1" a="1"/>
  <c r="H2654" i="1" a="1"/>
  <c r="H2659" i="1" a="1"/>
  <c r="H2267" i="1" a="1"/>
  <c r="H2305" i="1" a="1"/>
  <c r="H2320" i="1" a="1"/>
  <c r="H2363" i="1" a="1"/>
  <c r="H2406" i="1" a="1"/>
  <c r="H2421" i="1" a="1"/>
  <c r="H2433" i="1" a="1"/>
  <c r="H2469" i="1" a="1"/>
  <c r="H2479" i="1" a="1"/>
  <c r="H2503" i="1" a="1"/>
  <c r="H2526" i="1" a="1"/>
  <c r="H2533" i="1" a="1"/>
  <c r="H2547" i="1" a="1"/>
  <c r="H2564" i="1" a="1"/>
  <c r="H2580" i="1" a="1"/>
  <c r="H2596" i="1" a="1"/>
  <c r="H2612" i="1" a="1"/>
  <c r="H2628" i="1" a="1"/>
  <c r="H2644" i="1" a="1"/>
  <c r="H2660" i="1" a="1"/>
  <c r="H2676" i="1" a="1"/>
  <c r="H2681" i="1" a="1"/>
  <c r="H2685" i="1" a="1"/>
  <c r="H2689" i="1" a="1"/>
  <c r="H2227" i="1" a="1"/>
  <c r="H2251" i="1" a="1"/>
  <c r="H2310" i="1" a="1"/>
  <c r="H2325" i="1" a="1"/>
  <c r="H2337" i="1" a="1"/>
  <c r="H2352" i="1" a="1"/>
  <c r="H2395" i="1" a="1"/>
  <c r="H2438" i="1" a="1"/>
  <c r="H2449" i="1" a="1"/>
  <c r="H2480" i="1" a="1"/>
  <c r="H2490" i="1" a="1"/>
  <c r="H2497" i="1" a="1"/>
  <c r="H2513" i="1" a="1"/>
  <c r="H2520" i="1" a="1"/>
  <c r="H2542" i="1" a="1"/>
  <c r="H2549" i="1" a="1"/>
  <c r="H2560" i="1" a="1"/>
  <c r="H2576" i="1" a="1"/>
  <c r="H2592" i="1" a="1"/>
  <c r="H2608" i="1" a="1"/>
  <c r="H2624" i="1" a="1"/>
  <c r="H2640" i="1" a="1"/>
  <c r="H2656" i="1" a="1"/>
  <c r="H2672" i="1" a="1"/>
  <c r="H2682" i="1" a="1"/>
  <c r="H2336" i="1" a="1"/>
  <c r="H2369" i="1" a="1"/>
  <c r="H2411" i="1" a="1"/>
  <c r="H2448" i="1" a="1"/>
  <c r="H2498" i="1" a="1"/>
  <c r="H2519" i="1" a="1"/>
  <c r="H2536" i="1" a="1"/>
  <c r="H2555" i="1" a="1"/>
  <c r="H2570" i="1" a="1"/>
  <c r="H2598" i="1" a="1"/>
  <c r="H2613" i="1" a="1"/>
  <c r="H2641" i="1" a="1"/>
  <c r="H2655" i="1" a="1"/>
  <c r="H2667" i="1" a="1"/>
  <c r="H2678" i="1" a="1"/>
  <c r="H2686" i="1" a="1"/>
  <c r="H2766" i="1" a="1"/>
  <c r="H2775" i="1" a="1"/>
  <c r="H2780" i="1" a="1"/>
  <c r="H2789" i="1" a="1"/>
  <c r="H2798" i="1" a="1"/>
  <c r="H2807" i="1" a="1"/>
  <c r="H2812" i="1" a="1"/>
  <c r="H2821" i="1" a="1"/>
  <c r="H2830" i="1" a="1"/>
  <c r="H2839" i="1" a="1"/>
  <c r="H2844" i="1" a="1"/>
  <c r="H2853" i="1" a="1"/>
  <c r="H2862" i="1" a="1"/>
  <c r="H2871" i="1" a="1"/>
  <c r="H2875" i="1" a="1"/>
  <c r="H2879" i="1" a="1"/>
  <c r="H2883" i="1" a="1"/>
  <c r="H2887" i="1" a="1"/>
  <c r="H2891" i="1" a="1"/>
  <c r="H2895" i="1" a="1"/>
  <c r="H2899" i="1" a="1"/>
  <c r="H2903" i="1" a="1"/>
  <c r="H2907" i="1" a="1"/>
  <c r="H2911" i="1" a="1"/>
  <c r="H2915" i="1" a="1"/>
  <c r="H2919" i="1" a="1"/>
  <c r="H2923" i="1" a="1"/>
  <c r="H2927" i="1" a="1"/>
  <c r="H2931" i="1" a="1"/>
  <c r="H2935" i="1" a="1"/>
  <c r="H2939" i="1" a="1"/>
  <c r="H2943" i="1" a="1"/>
  <c r="H2947" i="1" a="1"/>
  <c r="H2951" i="1" a="1"/>
  <c r="H2955" i="1" a="1"/>
  <c r="H2959" i="1" a="1"/>
  <c r="H2963" i="1" a="1"/>
  <c r="H2967" i="1" a="1"/>
  <c r="H2971" i="1" a="1"/>
  <c r="H2975" i="1" a="1"/>
  <c r="H2979" i="1" a="1"/>
  <c r="H2983" i="1" a="1"/>
  <c r="H2987" i="1" a="1"/>
  <c r="H2991" i="1" a="1"/>
  <c r="H2995" i="1" a="1"/>
  <c r="H2999" i="1" a="1"/>
  <c r="H3003" i="1" a="1"/>
  <c r="H3007" i="1" a="1"/>
  <c r="H3011" i="1" a="1"/>
  <c r="H3015" i="1" a="1"/>
  <c r="H3019" i="1" a="1"/>
  <c r="H3023" i="1" a="1"/>
  <c r="H3027" i="1" a="1"/>
  <c r="H3031" i="1" a="1"/>
  <c r="H3035" i="1" a="1"/>
  <c r="H3039" i="1" a="1"/>
  <c r="H3043" i="1" a="1"/>
  <c r="H3047" i="1" a="1"/>
  <c r="H3051" i="1" a="1"/>
  <c r="H3055" i="1" a="1"/>
  <c r="H3059" i="1" a="1"/>
  <c r="H3063" i="1" a="1"/>
  <c r="H3067" i="1" a="1"/>
  <c r="H3071" i="1" a="1"/>
  <c r="H3075" i="1" a="1"/>
  <c r="H3079" i="1" a="1"/>
  <c r="H3083" i="1" a="1"/>
  <c r="H3087" i="1" a="1"/>
  <c r="H3091" i="1" a="1"/>
  <c r="H3095" i="1" a="1"/>
  <c r="H3099" i="1" a="1"/>
  <c r="H3103" i="1" a="1"/>
  <c r="H3107" i="1" a="1"/>
  <c r="H3111" i="1" a="1"/>
  <c r="H2235" i="1" a="1"/>
  <c r="H2299" i="1" a="1"/>
  <c r="H2341" i="1" a="1"/>
  <c r="H2379" i="1" a="1"/>
  <c r="H2452" i="1" a="1"/>
  <c r="H2500" i="1" a="1"/>
  <c r="H2522" i="1" a="1"/>
  <c r="H2540" i="1" a="1"/>
  <c r="H2556" i="1" a="1"/>
  <c r="H2571" i="1" a="1"/>
  <c r="H2586" i="1" a="1"/>
  <c r="H2614" i="1" a="1"/>
  <c r="H2629" i="1" a="1"/>
  <c r="H2657" i="1" a="1"/>
  <c r="H2668" i="1" a="1"/>
  <c r="H2693" i="1" a="1"/>
  <c r="H2698" i="1" a="1"/>
  <c r="H2703" i="1" a="1"/>
  <c r="H2709" i="1" a="1"/>
  <c r="H2714" i="1" a="1"/>
  <c r="H2719" i="1" a="1"/>
  <c r="H2725" i="1" a="1"/>
  <c r="H2730" i="1" a="1"/>
  <c r="H2735" i="1" a="1"/>
  <c r="H2741" i="1" a="1"/>
  <c r="H2746" i="1" a="1"/>
  <c r="H2751" i="1" a="1"/>
  <c r="H2757" i="1" a="1"/>
  <c r="H2762" i="1" a="1"/>
  <c r="H2771" i="1" a="1"/>
  <c r="H2776" i="1" a="1"/>
  <c r="H2785" i="1" a="1"/>
  <c r="H2794" i="1" a="1"/>
  <c r="H2803" i="1" a="1"/>
  <c r="H2808" i="1" a="1"/>
  <c r="H2817" i="1" a="1"/>
  <c r="H2826" i="1" a="1"/>
  <c r="H2835" i="1" a="1"/>
  <c r="H2840" i="1" a="1"/>
  <c r="H2849" i="1" a="1"/>
  <c r="H2858" i="1" a="1"/>
  <c r="H2867" i="1" a="1"/>
  <c r="H2309" i="1" a="1"/>
  <c r="H2342" i="1" a="1"/>
  <c r="H2422" i="1" a="1"/>
  <c r="H2453" i="1" a="1"/>
  <c r="H2481" i="1" a="1"/>
  <c r="H2506" i="1" a="1"/>
  <c r="H2543" i="1" a="1"/>
  <c r="H2559" i="1" a="1"/>
  <c r="H2572" i="1" a="1"/>
  <c r="H2587" i="1" a="1"/>
  <c r="H2602" i="1" a="1"/>
  <c r="H2630" i="1" a="1"/>
  <c r="H2645" i="1" a="1"/>
  <c r="H2670" i="1" a="1"/>
  <c r="H2687" i="1" a="1"/>
  <c r="H2767" i="1" a="1"/>
  <c r="H2772" i="1" a="1"/>
  <c r="H2781" i="1" a="1"/>
  <c r="H2790" i="1" a="1"/>
  <c r="H2799" i="1" a="1"/>
  <c r="H2804" i="1" a="1"/>
  <c r="H2813" i="1" a="1"/>
  <c r="H2822" i="1" a="1"/>
  <c r="H2831" i="1" a="1"/>
  <c r="H2836" i="1" a="1"/>
  <c r="H2845" i="1" a="1"/>
  <c r="H2854" i="1" a="1"/>
  <c r="H2863" i="1" a="1"/>
  <c r="H2868" i="1" a="1"/>
  <c r="H2872" i="1" a="1"/>
  <c r="H2876" i="1" a="1"/>
  <c r="H2880" i="1" a="1"/>
  <c r="H2884" i="1" a="1"/>
  <c r="H2888" i="1" a="1"/>
  <c r="H2892" i="1" a="1"/>
  <c r="H2896" i="1" a="1"/>
  <c r="H2900" i="1" a="1"/>
  <c r="H2904" i="1" a="1"/>
  <c r="H2908" i="1" a="1"/>
  <c r="H2912" i="1" a="1"/>
  <c r="H2916" i="1" a="1"/>
  <c r="H2920" i="1" a="1"/>
  <c r="H2924" i="1" a="1"/>
  <c r="H2928" i="1" a="1"/>
  <c r="H2932" i="1" a="1"/>
  <c r="H2936" i="1" a="1"/>
  <c r="H2940" i="1" a="1"/>
  <c r="H2944" i="1" a="1"/>
  <c r="H2948" i="1" a="1"/>
  <c r="H2952" i="1" a="1"/>
  <c r="H2956" i="1" a="1"/>
  <c r="H2960" i="1" a="1"/>
  <c r="H2964" i="1" a="1"/>
  <c r="H2968" i="1" a="1"/>
  <c r="H2972" i="1" a="1"/>
  <c r="H2976" i="1" a="1"/>
  <c r="H2980" i="1" a="1"/>
  <c r="H2984" i="1" a="1"/>
  <c r="H2988" i="1" a="1"/>
  <c r="H2992" i="1" a="1"/>
  <c r="H2996" i="1" a="1"/>
  <c r="H3000" i="1" a="1"/>
  <c r="H3004" i="1" a="1"/>
  <c r="H3008" i="1" a="1"/>
  <c r="H3012" i="1" a="1"/>
  <c r="H3016" i="1" a="1"/>
  <c r="H3020" i="1" a="1"/>
  <c r="H3024" i="1" a="1"/>
  <c r="H3028" i="1" a="1"/>
  <c r="H3032" i="1" a="1"/>
  <c r="H3036" i="1" a="1"/>
  <c r="H3040" i="1" a="1"/>
  <c r="H3044" i="1" a="1"/>
  <c r="H3048" i="1" a="1"/>
  <c r="H3052" i="1" a="1"/>
  <c r="H3056" i="1" a="1"/>
  <c r="H3060" i="1" a="1"/>
  <c r="H3064" i="1" a="1"/>
  <c r="H3068" i="1" a="1"/>
  <c r="H3072" i="1" a="1"/>
  <c r="H2384" i="1" a="1"/>
  <c r="H2459" i="1" a="1"/>
  <c r="H2482" i="1" a="1"/>
  <c r="H2507" i="1" a="1"/>
  <c r="H2527" i="1" a="1"/>
  <c r="H2561" i="1" a="1"/>
  <c r="H2575" i="1" a="1"/>
  <c r="H2588" i="1" a="1"/>
  <c r="H2603" i="1" a="1"/>
  <c r="H2618" i="1" a="1"/>
  <c r="H2646" i="1" a="1"/>
  <c r="H2661" i="1" a="1"/>
  <c r="H2671" i="1" a="1"/>
  <c r="H2694" i="1" a="1"/>
  <c r="H2699" i="1" a="1"/>
  <c r="H2705" i="1" a="1"/>
  <c r="H2710" i="1" a="1"/>
  <c r="H2715" i="1" a="1"/>
  <c r="H2721" i="1" a="1"/>
  <c r="H2726" i="1" a="1"/>
  <c r="H2731" i="1" a="1"/>
  <c r="H2737" i="1" a="1"/>
  <c r="H2742" i="1" a="1"/>
  <c r="H2747" i="1" a="1"/>
  <c r="H2753" i="1" a="1"/>
  <c r="H2758" i="1" a="1"/>
  <c r="H2763" i="1" a="1"/>
  <c r="H2768" i="1" a="1"/>
  <c r="H2777" i="1" a="1"/>
  <c r="H2786" i="1" a="1"/>
  <c r="H2795" i="1" a="1"/>
  <c r="H2800" i="1" a="1"/>
  <c r="H2809" i="1" a="1"/>
  <c r="H2818" i="1" a="1"/>
  <c r="H2827" i="1" a="1"/>
  <c r="H2832" i="1" a="1"/>
  <c r="H2841" i="1" a="1"/>
  <c r="H2850" i="1" a="1"/>
  <c r="H2859" i="1" a="1"/>
  <c r="H2864" i="1" a="1"/>
  <c r="H2353" i="1" a="1"/>
  <c r="H2427" i="1" a="1"/>
  <c r="H2463" i="1" a="1"/>
  <c r="H2487" i="1" a="1"/>
  <c r="H2528" i="1" a="1"/>
  <c r="H2548" i="1" a="1"/>
  <c r="H2577" i="1" a="1"/>
  <c r="H2591" i="1" a="1"/>
  <c r="H2604" i="1" a="1"/>
  <c r="H2619" i="1" a="1"/>
  <c r="H2634" i="1" a="1"/>
  <c r="H2662" i="1" a="1"/>
  <c r="H2673" i="1" a="1"/>
  <c r="H2764" i="1" a="1"/>
  <c r="H2773" i="1" a="1"/>
  <c r="H2782" i="1" a="1"/>
  <c r="H2791" i="1" a="1"/>
  <c r="H2796" i="1" a="1"/>
  <c r="H2805" i="1" a="1"/>
  <c r="H2814" i="1" a="1"/>
  <c r="H2823" i="1" a="1"/>
  <c r="H2828" i="1" a="1"/>
  <c r="H2837" i="1" a="1"/>
  <c r="H2846" i="1" a="1"/>
  <c r="H2855" i="1" a="1"/>
  <c r="H2860" i="1" a="1"/>
  <c r="H2869" i="1" a="1"/>
  <c r="H2873" i="1" a="1"/>
  <c r="H2877" i="1" a="1"/>
  <c r="H2881" i="1" a="1"/>
  <c r="H2885" i="1" a="1"/>
  <c r="H2889" i="1" a="1"/>
  <c r="H2893" i="1" a="1"/>
  <c r="H2897" i="1" a="1"/>
  <c r="H2901" i="1" a="1"/>
  <c r="H2905" i="1" a="1"/>
  <c r="H2909" i="1" a="1"/>
  <c r="H2913" i="1" a="1"/>
  <c r="H2917" i="1" a="1"/>
  <c r="H2921" i="1" a="1"/>
  <c r="H2925" i="1" a="1"/>
  <c r="H2929" i="1" a="1"/>
  <c r="H2933" i="1" a="1"/>
  <c r="H2937" i="1" a="1"/>
  <c r="H2941" i="1" a="1"/>
  <c r="H2945" i="1" a="1"/>
  <c r="H2949" i="1" a="1"/>
  <c r="H2953" i="1" a="1"/>
  <c r="H2957" i="1" a="1"/>
  <c r="H2961" i="1" a="1"/>
  <c r="H2965" i="1" a="1"/>
  <c r="H2969" i="1" a="1"/>
  <c r="H2973" i="1" a="1"/>
  <c r="H2977" i="1" a="1"/>
  <c r="H2981" i="1" a="1"/>
  <c r="H2985" i="1" a="1"/>
  <c r="H2989" i="1" a="1"/>
  <c r="H2993" i="1" a="1"/>
  <c r="H2997" i="1" a="1"/>
  <c r="H3001" i="1" a="1"/>
  <c r="H3005" i="1" a="1"/>
  <c r="H3009" i="1" a="1"/>
  <c r="H3013" i="1" a="1"/>
  <c r="H3017" i="1" a="1"/>
  <c r="H3021" i="1" a="1"/>
  <c r="H3025" i="1" a="1"/>
  <c r="H3029" i="1" a="1"/>
  <c r="H3033" i="1" a="1"/>
  <c r="H3037" i="1" a="1"/>
  <c r="H3041" i="1" a="1"/>
  <c r="H3045" i="1" a="1"/>
  <c r="H3049" i="1" a="1"/>
  <c r="H3053" i="1" a="1"/>
  <c r="H3057" i="1" a="1"/>
  <c r="H3061" i="1" a="1"/>
  <c r="H3065" i="1" a="1"/>
  <c r="H3069" i="1" a="1"/>
  <c r="H3073" i="1" a="1"/>
  <c r="H3077" i="1" a="1"/>
  <c r="H3081" i="1" a="1"/>
  <c r="H3085" i="1" a="1"/>
  <c r="H2275" i="1" a="1"/>
  <c r="H2368" i="1" a="1"/>
  <c r="H2470" i="1" a="1"/>
  <c r="H2529" i="1" a="1"/>
  <c r="H2609" i="1" a="1"/>
  <c r="H2650" i="1" a="1"/>
  <c r="H2677" i="1" a="1"/>
  <c r="H2711" i="1" a="1"/>
  <c r="H2723" i="1" a="1"/>
  <c r="H2754" i="1" a="1"/>
  <c r="H2792" i="1" a="1"/>
  <c r="H2802" i="1" a="1"/>
  <c r="H2815" i="1" a="1"/>
  <c r="H2852" i="1" a="1"/>
  <c r="H2865" i="1" a="1"/>
  <c r="H2886" i="1" a="1"/>
  <c r="H2918" i="1" a="1"/>
  <c r="H2950" i="1" a="1"/>
  <c r="H2982" i="1" a="1"/>
  <c r="H3014" i="1" a="1"/>
  <c r="H3046" i="1" a="1"/>
  <c r="H3092" i="1" a="1"/>
  <c r="H3098" i="1" a="1"/>
  <c r="H3105" i="1" a="1"/>
  <c r="H3117" i="1" a="1"/>
  <c r="H3122" i="1" a="1"/>
  <c r="H3127" i="1" a="1"/>
  <c r="H3133" i="1" a="1"/>
  <c r="H3138" i="1" a="1"/>
  <c r="H3143" i="1" a="1"/>
  <c r="H3149" i="1" a="1"/>
  <c r="H3154" i="1" a="1"/>
  <c r="H3159" i="1" a="1"/>
  <c r="H3165" i="1" a="1"/>
  <c r="H3170" i="1" a="1"/>
  <c r="H3175" i="1" a="1"/>
  <c r="H3181" i="1" a="1"/>
  <c r="H3186" i="1" a="1"/>
  <c r="H3191" i="1" a="1"/>
  <c r="H3197" i="1" a="1"/>
  <c r="H3202" i="1" a="1"/>
  <c r="H3207" i="1" a="1"/>
  <c r="H3213" i="1" a="1"/>
  <c r="H3218" i="1" a="1"/>
  <c r="H3223" i="1" a="1"/>
  <c r="H3229" i="1" a="1"/>
  <c r="H3234" i="1" a="1"/>
  <c r="H3239" i="1" a="1"/>
  <c r="H3243" i="1" a="1"/>
  <c r="H3247" i="1" a="1"/>
  <c r="H3251" i="1" a="1"/>
  <c r="H3255" i="1" a="1"/>
  <c r="H3259" i="1" a="1"/>
  <c r="H3263" i="1" a="1"/>
  <c r="H3267" i="1" a="1"/>
  <c r="H3271" i="1" a="1"/>
  <c r="H3275" i="1" a="1"/>
  <c r="H3279" i="1" a="1"/>
  <c r="H3283" i="1" a="1"/>
  <c r="H3287" i="1" a="1"/>
  <c r="H3291" i="1" a="1"/>
  <c r="H3295" i="1" a="1"/>
  <c r="H3299" i="1" a="1"/>
  <c r="H3303" i="1" a="1"/>
  <c r="H3307" i="1" a="1"/>
  <c r="H3311" i="1" a="1"/>
  <c r="H3315" i="1" a="1"/>
  <c r="H3319" i="1" a="1"/>
  <c r="H3323" i="1" a="1"/>
  <c r="H3327" i="1" a="1"/>
  <c r="H3331" i="1" a="1"/>
  <c r="H3335" i="1" a="1"/>
  <c r="H3339" i="1" a="1"/>
  <c r="H3343" i="1" a="1"/>
  <c r="H3347" i="1" a="1"/>
  <c r="H3351" i="1" a="1"/>
  <c r="H3355" i="1" a="1"/>
  <c r="H3359" i="1" a="1"/>
  <c r="H3363" i="1" a="1"/>
  <c r="H3367" i="1" a="1"/>
  <c r="H3371" i="1" a="1"/>
  <c r="H3375" i="1" a="1"/>
  <c r="H3379" i="1" a="1"/>
  <c r="H3383" i="1" a="1"/>
  <c r="H3387" i="1" a="1"/>
  <c r="H3391" i="1" a="1"/>
  <c r="H3395" i="1" a="1"/>
  <c r="H3399" i="1" a="1"/>
  <c r="H3403" i="1" a="1"/>
  <c r="H3407" i="1" a="1"/>
  <c r="H3411" i="1" a="1"/>
  <c r="H3415" i="1" a="1"/>
  <c r="H3419" i="1" a="1"/>
  <c r="H2474" i="1" a="1"/>
  <c r="H2534" i="1" a="1"/>
  <c r="H2651" i="1" a="1"/>
  <c r="H2683" i="1" a="1"/>
  <c r="H2697" i="1" a="1"/>
  <c r="H2727" i="1" a="1"/>
  <c r="H2739" i="1" a="1"/>
  <c r="H2769" i="1" a="1"/>
  <c r="H2779" i="1" a="1"/>
  <c r="H2816" i="1" a="1"/>
  <c r="H2829" i="1" a="1"/>
  <c r="H2842" i="1" a="1"/>
  <c r="H2898" i="1" a="1"/>
  <c r="H2930" i="1" a="1"/>
  <c r="H2962" i="1" a="1"/>
  <c r="H2994" i="1" a="1"/>
  <c r="H3026" i="1" a="1"/>
  <c r="H3058" i="1" a="1"/>
  <c r="H3078" i="1" a="1"/>
  <c r="H3086" i="1" a="1"/>
  <c r="H3093" i="1" a="1"/>
  <c r="H3112" i="1" a="1"/>
  <c r="H3128" i="1" a="1"/>
  <c r="H3144" i="1" a="1"/>
  <c r="H3160" i="1" a="1"/>
  <c r="H3176" i="1" a="1"/>
  <c r="H3192" i="1" a="1"/>
  <c r="H3208" i="1" a="1"/>
  <c r="H3224" i="1" a="1"/>
  <c r="H2291" i="1" a="1"/>
  <c r="H2535" i="1" a="1"/>
  <c r="H2581" i="1" a="1"/>
  <c r="H2620" i="1" a="1"/>
  <c r="H2652" i="1" a="1"/>
  <c r="H2701" i="1" a="1"/>
  <c r="H2713" i="1" a="1"/>
  <c r="H2743" i="1" a="1"/>
  <c r="H2755" i="1" a="1"/>
  <c r="H2793" i="1" a="1"/>
  <c r="H2806" i="1" a="1"/>
  <c r="H2819" i="1" a="1"/>
  <c r="H2856" i="1" a="1"/>
  <c r="H2866" i="1" a="1"/>
  <c r="H2878" i="1" a="1"/>
  <c r="H2910" i="1" a="1"/>
  <c r="H2942" i="1" a="1"/>
  <c r="H2974" i="1" a="1"/>
  <c r="H3006" i="1" a="1"/>
  <c r="H3038" i="1" a="1"/>
  <c r="H3070" i="1" a="1"/>
  <c r="H3100" i="1" a="1"/>
  <c r="H3106" i="1" a="1"/>
  <c r="H3113" i="1" a="1"/>
  <c r="H3118" i="1" a="1"/>
  <c r="H3123" i="1" a="1"/>
  <c r="H3129" i="1" a="1"/>
  <c r="H3134" i="1" a="1"/>
  <c r="H3139" i="1" a="1"/>
  <c r="H3145" i="1" a="1"/>
  <c r="H3150" i="1" a="1"/>
  <c r="H3155" i="1" a="1"/>
  <c r="H3161" i="1" a="1"/>
  <c r="H3166" i="1" a="1"/>
  <c r="H3171" i="1" a="1"/>
  <c r="H3177" i="1" a="1"/>
  <c r="H3182" i="1" a="1"/>
  <c r="H3187" i="1" a="1"/>
  <c r="H3193" i="1" a="1"/>
  <c r="H3198" i="1" a="1"/>
  <c r="H3203" i="1" a="1"/>
  <c r="H3209" i="1" a="1"/>
  <c r="H3214" i="1" a="1"/>
  <c r="H3219" i="1" a="1"/>
  <c r="H3225" i="1" a="1"/>
  <c r="H3230" i="1" a="1"/>
  <c r="H3235" i="1" a="1"/>
  <c r="H3240" i="1" a="1"/>
  <c r="H3244" i="1" a="1"/>
  <c r="H3248" i="1" a="1"/>
  <c r="H3252" i="1" a="1"/>
  <c r="H3256" i="1" a="1"/>
  <c r="H3260" i="1" a="1"/>
  <c r="H3264" i="1" a="1"/>
  <c r="H3268" i="1" a="1"/>
  <c r="H3272" i="1" a="1"/>
  <c r="H3276" i="1" a="1"/>
  <c r="H3280" i="1" a="1"/>
  <c r="H3284" i="1" a="1"/>
  <c r="H3288" i="1" a="1"/>
  <c r="H3292" i="1" a="1"/>
  <c r="H3296" i="1" a="1"/>
  <c r="H3300" i="1" a="1"/>
  <c r="H3304" i="1" a="1"/>
  <c r="H3308" i="1" a="1"/>
  <c r="H3312" i="1" a="1"/>
  <c r="H3316" i="1" a="1"/>
  <c r="H3320" i="1" a="1"/>
  <c r="H3324" i="1" a="1"/>
  <c r="H3328" i="1" a="1"/>
  <c r="H3332" i="1" a="1"/>
  <c r="H3336" i="1" a="1"/>
  <c r="H3340" i="1" a="1"/>
  <c r="H3344" i="1" a="1"/>
  <c r="H3348" i="1" a="1"/>
  <c r="H3352" i="1" a="1"/>
  <c r="H3356" i="1" a="1"/>
  <c r="H3360" i="1" a="1"/>
  <c r="H3364" i="1" a="1"/>
  <c r="H3368" i="1" a="1"/>
  <c r="H3372" i="1" a="1"/>
  <c r="H3376" i="1" a="1"/>
  <c r="H3380" i="1" a="1"/>
  <c r="H3384" i="1" a="1"/>
  <c r="H3388" i="1" a="1"/>
  <c r="H3392" i="1" a="1"/>
  <c r="H3396" i="1" a="1"/>
  <c r="H3400" i="1" a="1"/>
  <c r="H3404" i="1" a="1"/>
  <c r="H3408" i="1" a="1"/>
  <c r="H3412" i="1" a="1"/>
  <c r="H3416" i="1" a="1"/>
  <c r="H3420" i="1" a="1"/>
  <c r="H2321" i="1" a="1"/>
  <c r="H2491" i="1" a="1"/>
  <c r="H2550" i="1" a="1"/>
  <c r="H2582" i="1" a="1"/>
  <c r="H2623" i="1" a="1"/>
  <c r="H2717" i="1" a="1"/>
  <c r="H2729" i="1" a="1"/>
  <c r="H2759" i="1" a="1"/>
  <c r="H2770" i="1" a="1"/>
  <c r="H2783" i="1" a="1"/>
  <c r="H2820" i="1" a="1"/>
  <c r="H2833" i="1" a="1"/>
  <c r="H2843" i="1" a="1"/>
  <c r="H2890" i="1" a="1"/>
  <c r="H2922" i="1" a="1"/>
  <c r="H2954" i="1" a="1"/>
  <c r="H2986" i="1" a="1"/>
  <c r="H3018" i="1" a="1"/>
  <c r="H3050" i="1" a="1"/>
  <c r="H3080" i="1" a="1"/>
  <c r="H3088" i="1" a="1"/>
  <c r="H3094" i="1" a="1"/>
  <c r="H3101" i="1" a="1"/>
  <c r="H3124" i="1" a="1"/>
  <c r="H3140" i="1" a="1"/>
  <c r="H3156" i="1" a="1"/>
  <c r="H3172" i="1" a="1"/>
  <c r="H3188" i="1" a="1"/>
  <c r="H3204" i="1" a="1"/>
  <c r="H3220" i="1" a="1"/>
  <c r="H3236" i="1" a="1"/>
  <c r="H2326" i="1" a="1"/>
  <c r="H2496" i="1" a="1"/>
  <c r="H2593" i="1" a="1"/>
  <c r="H2665" i="1" a="1"/>
  <c r="H2702" i="1" a="1"/>
  <c r="H2733" i="1" a="1"/>
  <c r="H2784" i="1" a="1"/>
  <c r="H2810" i="1" a="1"/>
  <c r="H2857" i="1" a="1"/>
  <c r="H2902" i="1" a="1"/>
  <c r="H2966" i="1" a="1"/>
  <c r="H3030" i="1" a="1"/>
  <c r="H3089" i="1" a="1"/>
  <c r="H3114" i="1" a="1"/>
  <c r="H3125" i="1" a="1"/>
  <c r="H3135" i="1" a="1"/>
  <c r="H3146" i="1" a="1"/>
  <c r="H3157" i="1" a="1"/>
  <c r="H3167" i="1" a="1"/>
  <c r="H3178" i="1" a="1"/>
  <c r="H3189" i="1" a="1"/>
  <c r="H3199" i="1" a="1"/>
  <c r="H3210" i="1" a="1"/>
  <c r="H3221" i="1" a="1"/>
  <c r="H3231" i="1" a="1"/>
  <c r="H3241" i="1" a="1"/>
  <c r="H3249" i="1" a="1"/>
  <c r="H3257" i="1" a="1"/>
  <c r="H3265" i="1" a="1"/>
  <c r="H3273" i="1" a="1"/>
  <c r="H3281" i="1" a="1"/>
  <c r="H3289" i="1" a="1"/>
  <c r="H3297" i="1" a="1"/>
  <c r="H3305" i="1" a="1"/>
  <c r="H3313" i="1" a="1"/>
  <c r="H3321" i="1" a="1"/>
  <c r="H3329" i="1" a="1"/>
  <c r="H3337" i="1" a="1"/>
  <c r="H3345" i="1" a="1"/>
  <c r="H3353" i="1" a="1"/>
  <c r="H3361" i="1" a="1"/>
  <c r="H3369" i="1" a="1"/>
  <c r="H3377" i="1" a="1"/>
  <c r="H3385" i="1" a="1"/>
  <c r="H3393" i="1" a="1"/>
  <c r="H3401" i="1" a="1"/>
  <c r="H3409" i="1" a="1"/>
  <c r="H3417" i="1" a="1"/>
  <c r="H3423" i="1" a="1"/>
  <c r="H3429" i="1" a="1"/>
  <c r="H3434" i="1" a="1"/>
  <c r="H3439" i="1" a="1"/>
  <c r="H3445" i="1" a="1"/>
  <c r="H3450" i="1" a="1"/>
  <c r="H3455" i="1" a="1"/>
  <c r="H3461" i="1" a="1"/>
  <c r="H3466" i="1" a="1"/>
  <c r="H3471" i="1" a="1"/>
  <c r="H3477" i="1" a="1"/>
  <c r="H3482" i="1" a="1"/>
  <c r="H3487" i="1" a="1"/>
  <c r="H3493" i="1" a="1"/>
  <c r="H3498" i="1" a="1"/>
  <c r="H3503" i="1" a="1"/>
  <c r="H3509" i="1" a="1"/>
  <c r="H3514" i="1" a="1"/>
  <c r="H3519" i="1" a="1"/>
  <c r="H3525" i="1" a="1"/>
  <c r="H3530" i="1" a="1"/>
  <c r="H3535" i="1" a="1"/>
  <c r="H3541" i="1" a="1"/>
  <c r="H3546" i="1" a="1"/>
  <c r="H3551" i="1" a="1"/>
  <c r="H3557" i="1" a="1"/>
  <c r="H3562" i="1" a="1"/>
  <c r="H3567" i="1" a="1"/>
  <c r="H3573" i="1" a="1"/>
  <c r="H3578" i="1" a="1"/>
  <c r="H3583" i="1" a="1"/>
  <c r="H3589" i="1" a="1"/>
  <c r="H3594" i="1" a="1"/>
  <c r="H3599" i="1" a="1"/>
  <c r="H3605" i="1" a="1"/>
  <c r="H3610" i="1" a="1"/>
  <c r="H3615" i="1" a="1"/>
  <c r="H3621" i="1" a="1"/>
  <c r="H3626" i="1" a="1"/>
  <c r="H3631" i="1" a="1"/>
  <c r="H3637" i="1" a="1"/>
  <c r="H3642" i="1" a="1"/>
  <c r="H3647" i="1" a="1"/>
  <c r="H3653" i="1" a="1"/>
  <c r="H3658" i="1" a="1"/>
  <c r="H3663" i="1" a="1"/>
  <c r="H3669" i="1" a="1"/>
  <c r="H3674" i="1" a="1"/>
  <c r="H3679" i="1" a="1"/>
  <c r="H3683" i="1" a="1"/>
  <c r="H3687" i="1" a="1"/>
  <c r="H3691" i="1" a="1"/>
  <c r="H3695" i="1" a="1"/>
  <c r="H3699" i="1" a="1"/>
  <c r="H3703" i="1" a="1"/>
  <c r="H3707" i="1" a="1"/>
  <c r="H3711" i="1" a="1"/>
  <c r="H3715" i="1" a="1"/>
  <c r="H3719" i="1" a="1"/>
  <c r="H3723" i="1" a="1"/>
  <c r="H2512" i="1" a="1"/>
  <c r="H2666" i="1" a="1"/>
  <c r="H2706" i="1" a="1"/>
  <c r="H2761" i="1" a="1"/>
  <c r="H2787" i="1" a="1"/>
  <c r="H2834" i="1" a="1"/>
  <c r="H2882" i="1" a="1"/>
  <c r="H2946" i="1" a="1"/>
  <c r="H3010" i="1" a="1"/>
  <c r="H3074" i="1" a="1"/>
  <c r="H3102" i="1" a="1"/>
  <c r="H3136" i="1" a="1"/>
  <c r="H3168" i="1" a="1"/>
  <c r="H3200" i="1" a="1"/>
  <c r="H3232" i="1" a="1"/>
  <c r="H3424" i="1" a="1"/>
  <c r="H3440" i="1" a="1"/>
  <c r="H3456" i="1" a="1"/>
  <c r="H3472" i="1" a="1"/>
  <c r="H3488" i="1" a="1"/>
  <c r="H3504" i="1" a="1"/>
  <c r="H3520" i="1" a="1"/>
  <c r="H3536" i="1" a="1"/>
  <c r="H3552" i="1" a="1"/>
  <c r="H3568" i="1" a="1"/>
  <c r="H3584" i="1" a="1"/>
  <c r="H3600" i="1" a="1"/>
  <c r="H3616" i="1" a="1"/>
  <c r="H3632" i="1" a="1"/>
  <c r="H3648" i="1" a="1"/>
  <c r="H3664" i="1" a="1"/>
  <c r="H3680" i="1" a="1"/>
  <c r="H3708" i="1" a="1"/>
  <c r="H3716" i="1" a="1"/>
  <c r="H3724" i="1" a="1"/>
  <c r="H3732" i="1" a="1"/>
  <c r="H3740" i="1" a="1"/>
  <c r="H3748" i="1" a="1"/>
  <c r="H3756" i="1" a="1"/>
  <c r="H3764" i="1" a="1"/>
  <c r="H3772" i="1" a="1"/>
  <c r="H3780" i="1" a="1"/>
  <c r="H2357" i="1" a="1"/>
  <c r="H2514" i="1" a="1"/>
  <c r="H2597" i="1" a="1"/>
  <c r="H2734" i="1" a="1"/>
  <c r="H2788" i="1" a="1"/>
  <c r="H2811" i="1" a="1"/>
  <c r="H2861" i="1" a="1"/>
  <c r="H2926" i="1" a="1"/>
  <c r="H2990" i="1" a="1"/>
  <c r="H3054" i="1" a="1"/>
  <c r="H3090" i="1" a="1"/>
  <c r="H3115" i="1" a="1"/>
  <c r="H3126" i="1" a="1"/>
  <c r="H3137" i="1" a="1"/>
  <c r="H3147" i="1" a="1"/>
  <c r="H3158" i="1" a="1"/>
  <c r="H3169" i="1" a="1"/>
  <c r="H3179" i="1" a="1"/>
  <c r="H3190" i="1" a="1"/>
  <c r="H3201" i="1" a="1"/>
  <c r="H3211" i="1" a="1"/>
  <c r="H3222" i="1" a="1"/>
  <c r="H3233" i="1" a="1"/>
  <c r="H3242" i="1" a="1"/>
  <c r="H3250" i="1" a="1"/>
  <c r="H3258" i="1" a="1"/>
  <c r="H3266" i="1" a="1"/>
  <c r="H3274" i="1" a="1"/>
  <c r="H3282" i="1" a="1"/>
  <c r="H3290" i="1" a="1"/>
  <c r="H3298" i="1" a="1"/>
  <c r="H3306" i="1" a="1"/>
  <c r="H3314" i="1" a="1"/>
  <c r="H3322" i="1" a="1"/>
  <c r="H3330" i="1" a="1"/>
  <c r="H3338" i="1" a="1"/>
  <c r="H3346" i="1" a="1"/>
  <c r="H3354" i="1" a="1"/>
  <c r="H3362" i="1" a="1"/>
  <c r="H3370" i="1" a="1"/>
  <c r="H3378" i="1" a="1"/>
  <c r="H3386" i="1" a="1"/>
  <c r="H3394" i="1" a="1"/>
  <c r="H3402" i="1" a="1"/>
  <c r="H3410" i="1" a="1"/>
  <c r="H3418" i="1" a="1"/>
  <c r="H3425" i="1" a="1"/>
  <c r="H3430" i="1" a="1"/>
  <c r="H3435" i="1" a="1"/>
  <c r="H3441" i="1" a="1"/>
  <c r="H3446" i="1" a="1"/>
  <c r="H3451" i="1" a="1"/>
  <c r="H3457" i="1" a="1"/>
  <c r="H3462" i="1" a="1"/>
  <c r="H3467" i="1" a="1"/>
  <c r="H3473" i="1" a="1"/>
  <c r="H3478" i="1" a="1"/>
  <c r="H3483" i="1" a="1"/>
  <c r="H3489" i="1" a="1"/>
  <c r="H3494" i="1" a="1"/>
  <c r="H3499" i="1" a="1"/>
  <c r="H3505" i="1" a="1"/>
  <c r="H3510" i="1" a="1"/>
  <c r="H3515" i="1" a="1"/>
  <c r="H3521" i="1" a="1"/>
  <c r="H3526" i="1" a="1"/>
  <c r="H3531" i="1" a="1"/>
  <c r="H3537" i="1" a="1"/>
  <c r="H3542" i="1" a="1"/>
  <c r="H3547" i="1" a="1"/>
  <c r="H3553" i="1" a="1"/>
  <c r="H3558" i="1" a="1"/>
  <c r="H3563" i="1" a="1"/>
  <c r="H3569" i="1" a="1"/>
  <c r="H3574" i="1" a="1"/>
  <c r="H3579" i="1" a="1"/>
  <c r="H3585" i="1" a="1"/>
  <c r="H3590" i="1" a="1"/>
  <c r="H3595" i="1" a="1"/>
  <c r="H3601" i="1" a="1"/>
  <c r="H3606" i="1" a="1"/>
  <c r="H3611" i="1" a="1"/>
  <c r="H3617" i="1" a="1"/>
  <c r="H3622" i="1" a="1"/>
  <c r="H3627" i="1" a="1"/>
  <c r="H3633" i="1" a="1"/>
  <c r="H3638" i="1" a="1"/>
  <c r="H3643" i="1" a="1"/>
  <c r="H3649" i="1" a="1"/>
  <c r="H3654" i="1" a="1"/>
  <c r="H3659" i="1" a="1"/>
  <c r="H3665" i="1" a="1"/>
  <c r="H3670" i="1" a="1"/>
  <c r="H3675" i="1" a="1"/>
  <c r="H3684" i="1" a="1"/>
  <c r="H3688" i="1" a="1"/>
  <c r="H3692" i="1" a="1"/>
  <c r="H3696" i="1" a="1"/>
  <c r="H3700" i="1" a="1"/>
  <c r="H3704" i="1" a="1"/>
  <c r="H3712" i="1" a="1"/>
  <c r="H3720" i="1" a="1"/>
  <c r="H3728" i="1" a="1"/>
  <c r="H3736" i="1" a="1"/>
  <c r="H3744" i="1" a="1"/>
  <c r="H3752" i="1" a="1"/>
  <c r="H3760" i="1" a="1"/>
  <c r="H3768" i="1" a="1"/>
  <c r="H3776" i="1" a="1"/>
  <c r="H2515" i="1" a="1"/>
  <c r="H2607" i="1" a="1"/>
  <c r="H2675" i="1" a="1"/>
  <c r="H2707" i="1" a="1"/>
  <c r="H2738" i="1" a="1"/>
  <c r="H2765" i="1" a="1"/>
  <c r="H2838" i="1" a="1"/>
  <c r="H2906" i="1" a="1"/>
  <c r="H2970" i="1" a="1"/>
  <c r="H3034" i="1" a="1"/>
  <c r="H3076" i="1" a="1"/>
  <c r="H3104" i="1" a="1"/>
  <c r="H3116" i="1" a="1"/>
  <c r="H3148" i="1" a="1"/>
  <c r="H3180" i="1" a="1"/>
  <c r="H3212" i="1" a="1"/>
  <c r="H3436" i="1" a="1"/>
  <c r="H3452" i="1" a="1"/>
  <c r="H3468" i="1" a="1"/>
  <c r="H3484" i="1" a="1"/>
  <c r="H3500" i="1" a="1"/>
  <c r="H3516" i="1" a="1"/>
  <c r="H3532" i="1" a="1"/>
  <c r="H3548" i="1" a="1"/>
  <c r="H3564" i="1" a="1"/>
  <c r="H3580" i="1" a="1"/>
  <c r="H3596" i="1" a="1"/>
  <c r="H3612" i="1" a="1"/>
  <c r="H3628" i="1" a="1"/>
  <c r="H3644" i="1" a="1"/>
  <c r="H3660" i="1" a="1"/>
  <c r="H3676" i="1" a="1"/>
  <c r="H3618" i="1" a="1"/>
  <c r="H3655" i="1" a="1"/>
  <c r="H3661" i="1" a="1"/>
  <c r="H3666" i="1" a="1"/>
  <c r="H3671" i="1" a="1"/>
  <c r="H3677" i="1" a="1"/>
  <c r="H3681" i="1" a="1"/>
  <c r="H3685" i="1" a="1"/>
  <c r="H3689" i="1" a="1"/>
  <c r="H3693" i="1" a="1"/>
  <c r="H2437" i="1" a="1"/>
  <c r="H2625" i="1" a="1"/>
  <c r="H2690" i="1" a="1"/>
  <c r="H2745" i="1" a="1"/>
  <c r="H2797" i="1" a="1"/>
  <c r="H2870" i="1" a="1"/>
  <c r="H2934" i="1" a="1"/>
  <c r="H2998" i="1" a="1"/>
  <c r="H3062" i="1" a="1"/>
  <c r="H3108" i="1" a="1"/>
  <c r="H3119" i="1" a="1"/>
  <c r="H3130" i="1" a="1"/>
  <c r="H3141" i="1" a="1"/>
  <c r="H3151" i="1" a="1"/>
  <c r="H3162" i="1" a="1"/>
  <c r="H3173" i="1" a="1"/>
  <c r="H3183" i="1" a="1"/>
  <c r="H3194" i="1" a="1"/>
  <c r="H3205" i="1" a="1"/>
  <c r="H3215" i="1" a="1"/>
  <c r="H3226" i="1" a="1"/>
  <c r="H3237" i="1" a="1"/>
  <c r="H3245" i="1" a="1"/>
  <c r="H3253" i="1" a="1"/>
  <c r="H3261" i="1" a="1"/>
  <c r="H3269" i="1" a="1"/>
  <c r="H3277" i="1" a="1"/>
  <c r="H3285" i="1" a="1"/>
  <c r="H3293" i="1" a="1"/>
  <c r="H3301" i="1" a="1"/>
  <c r="H3309" i="1" a="1"/>
  <c r="H3317" i="1" a="1"/>
  <c r="H3325" i="1" a="1"/>
  <c r="H3333" i="1" a="1"/>
  <c r="H3341" i="1" a="1"/>
  <c r="H3349" i="1" a="1"/>
  <c r="H3357" i="1" a="1"/>
  <c r="H3365" i="1" a="1"/>
  <c r="H3373" i="1" a="1"/>
  <c r="H3381" i="1" a="1"/>
  <c r="H3389" i="1" a="1"/>
  <c r="H3397" i="1" a="1"/>
  <c r="H3405" i="1" a="1"/>
  <c r="H3413" i="1" a="1"/>
  <c r="H3421" i="1" a="1"/>
  <c r="H3426" i="1" a="1"/>
  <c r="H3431" i="1" a="1"/>
  <c r="H3437" i="1" a="1"/>
  <c r="H3442" i="1" a="1"/>
  <c r="H3447" i="1" a="1"/>
  <c r="H3453" i="1" a="1"/>
  <c r="H3458" i="1" a="1"/>
  <c r="H3463" i="1" a="1"/>
  <c r="H3469" i="1" a="1"/>
  <c r="H3474" i="1" a="1"/>
  <c r="H3479" i="1" a="1"/>
  <c r="H3485" i="1" a="1"/>
  <c r="H3490" i="1" a="1"/>
  <c r="H3495" i="1" a="1"/>
  <c r="H3501" i="1" a="1"/>
  <c r="H3506" i="1" a="1"/>
  <c r="H3511" i="1" a="1"/>
  <c r="H3517" i="1" a="1"/>
  <c r="H3522" i="1" a="1"/>
  <c r="H3527" i="1" a="1"/>
  <c r="H3533" i="1" a="1"/>
  <c r="H3538" i="1" a="1"/>
  <c r="H3543" i="1" a="1"/>
  <c r="H3549" i="1" a="1"/>
  <c r="H3554" i="1" a="1"/>
  <c r="H3559" i="1" a="1"/>
  <c r="H3565" i="1" a="1"/>
  <c r="H3570" i="1" a="1"/>
  <c r="H3575" i="1" a="1"/>
  <c r="H3581" i="1" a="1"/>
  <c r="H3586" i="1" a="1"/>
  <c r="H3591" i="1" a="1"/>
  <c r="H3597" i="1" a="1"/>
  <c r="H3602" i="1" a="1"/>
  <c r="H3607" i="1" a="1"/>
  <c r="H3613" i="1" a="1"/>
  <c r="H3623" i="1" a="1"/>
  <c r="H3629" i="1" a="1"/>
  <c r="H3634" i="1" a="1"/>
  <c r="H3639" i="1" a="1"/>
  <c r="H3645" i="1" a="1"/>
  <c r="H3650" i="1" a="1"/>
  <c r="H2639" i="1" a="1"/>
  <c r="H2824" i="1" a="1"/>
  <c r="H2874" i="1" a="1"/>
  <c r="H3097" i="1" a="1"/>
  <c r="H3185" i="1" a="1"/>
  <c r="H3216" i="1" a="1"/>
  <c r="H3262" i="1" a="1"/>
  <c r="H3326" i="1" a="1"/>
  <c r="H3390" i="1" a="1"/>
  <c r="H3428" i="1" a="1"/>
  <c r="H3443" i="1" a="1"/>
  <c r="H3486" i="1" a="1"/>
  <c r="H3529" i="1" a="1"/>
  <c r="H3544" i="1" a="1"/>
  <c r="H3556" i="1" a="1"/>
  <c r="H3571" i="1" a="1"/>
  <c r="H3614" i="1" a="1"/>
  <c r="H3657" i="1" a="1"/>
  <c r="H3672" i="1" a="1"/>
  <c r="H3694" i="1" a="1"/>
  <c r="H3702" i="1" a="1"/>
  <c r="H3710" i="1" a="1"/>
  <c r="H3718" i="1" a="1"/>
  <c r="H3726" i="1" a="1"/>
  <c r="H3733" i="1" a="1"/>
  <c r="H3751" i="1" a="1"/>
  <c r="H3758" i="1" a="1"/>
  <c r="H3765" i="1" a="1"/>
  <c r="H3783" i="1" a="1"/>
  <c r="H3789" i="1" a="1"/>
  <c r="H3794" i="1" a="1"/>
  <c r="H3799" i="1" a="1"/>
  <c r="H3805" i="1" a="1"/>
  <c r="H3810" i="1" a="1"/>
  <c r="H3815" i="1" a="1"/>
  <c r="H3821" i="1" a="1"/>
  <c r="H3826" i="1" a="1"/>
  <c r="H3831" i="1" a="1"/>
  <c r="H3837" i="1" a="1"/>
  <c r="H3842" i="1" a="1"/>
  <c r="H3847" i="1" a="1"/>
  <c r="H3853" i="1" a="1"/>
  <c r="H3858" i="1" a="1"/>
  <c r="H3863" i="1" a="1"/>
  <c r="H3869" i="1" a="1"/>
  <c r="H3874" i="1" a="1"/>
  <c r="H3879" i="1" a="1"/>
  <c r="H3885" i="1" a="1"/>
  <c r="H3890" i="1" a="1"/>
  <c r="H3895" i="1" a="1"/>
  <c r="H3901" i="1" a="1"/>
  <c r="H3906" i="1" a="1"/>
  <c r="H3911" i="1" a="1"/>
  <c r="H3917" i="1" a="1"/>
  <c r="H3912" i="1" a="1"/>
  <c r="H3875" i="1" a="1"/>
  <c r="H3897" i="1" a="1"/>
  <c r="H3913" i="1" a="1"/>
  <c r="H2718" i="1" a="1"/>
  <c r="H2914" i="1" a="1"/>
  <c r="H3082" i="1" a="1"/>
  <c r="H3142" i="1" a="1"/>
  <c r="H3196" i="1" a="1"/>
  <c r="H3358" i="1" a="1"/>
  <c r="H3422" i="1" a="1"/>
  <c r="H3465" i="1" a="1"/>
  <c r="H3492" i="1" a="1"/>
  <c r="H3550" i="1" a="1"/>
  <c r="H3593" i="1" a="1"/>
  <c r="H3620" i="1" a="1"/>
  <c r="H3698" i="1" a="1"/>
  <c r="H3714" i="1" a="1"/>
  <c r="H3742" i="1" a="1"/>
  <c r="H3767" i="1" a="1"/>
  <c r="H3781" i="1" a="1"/>
  <c r="H3791" i="1" a="1"/>
  <c r="H3807" i="1" a="1"/>
  <c r="H3823" i="1" a="1"/>
  <c r="H3834" i="1" a="1"/>
  <c r="H3855" i="1" a="1"/>
  <c r="H3882" i="1" a="1"/>
  <c r="H3903" i="1" a="1"/>
  <c r="H2722" i="1" a="1"/>
  <c r="H3254" i="1" a="1"/>
  <c r="H3438" i="1" a="1"/>
  <c r="H3609" i="1" a="1"/>
  <c r="H3730" i="1" a="1"/>
  <c r="H3755" i="1" a="1"/>
  <c r="H3808" i="1" a="1"/>
  <c r="H3856" i="1" a="1"/>
  <c r="H3888" i="1" a="1"/>
  <c r="H3042" i="1" a="1"/>
  <c r="H3278" i="1" a="1"/>
  <c r="H3512" i="1" a="1"/>
  <c r="H3640" i="1" a="1"/>
  <c r="H3717" i="1" a="1"/>
  <c r="H3750" i="1" a="1"/>
  <c r="H3782" i="1" a="1"/>
  <c r="H3803" i="1" a="1"/>
  <c r="H3819" i="1" a="1"/>
  <c r="H3846" i="1" a="1"/>
  <c r="H3873" i="1" a="1"/>
  <c r="H3894" i="1" a="1"/>
  <c r="H3910" i="1" a="1"/>
  <c r="H2749" i="1" a="1"/>
  <c r="H3153" i="1" a="1"/>
  <c r="H3302" i="1" a="1"/>
  <c r="H3427" i="1" a="1"/>
  <c r="H3528" i="1" a="1"/>
  <c r="H3598" i="1" a="1"/>
  <c r="H3656" i="1" a="1"/>
  <c r="H3738" i="1" a="1"/>
  <c r="H3763" i="1" a="1"/>
  <c r="H3788" i="1" a="1"/>
  <c r="H3900" i="1" a="1"/>
  <c r="H2750" i="1" a="1"/>
  <c r="H2938" i="1" a="1"/>
  <c r="H3131" i="1" a="1"/>
  <c r="H3217" i="1" a="1"/>
  <c r="H3286" i="1" a="1"/>
  <c r="H3350" i="1" a="1"/>
  <c r="H3414" i="1" a="1"/>
  <c r="H3432" i="1" a="1"/>
  <c r="H3444" i="1" a="1"/>
  <c r="H3459" i="1" a="1"/>
  <c r="H3502" i="1" a="1"/>
  <c r="H3545" i="1" a="1"/>
  <c r="H3560" i="1" a="1"/>
  <c r="H3572" i="1" a="1"/>
  <c r="H3587" i="1" a="1"/>
  <c r="H3630" i="1" a="1"/>
  <c r="H3673" i="1" a="1"/>
  <c r="H3739" i="1" a="1"/>
  <c r="H3746" i="1" a="1"/>
  <c r="H3753" i="1" a="1"/>
  <c r="H3771" i="1" a="1"/>
  <c r="H3778" i="1" a="1"/>
  <c r="H3784" i="1" a="1"/>
  <c r="H3800" i="1" a="1"/>
  <c r="H3816" i="1" a="1"/>
  <c r="H3832" i="1" a="1"/>
  <c r="H3848" i="1" a="1"/>
  <c r="H3864" i="1" a="1"/>
  <c r="H3880" i="1" a="1"/>
  <c r="H3896" i="1" a="1"/>
  <c r="H3886" i="1" a="1"/>
  <c r="H3907" i="1" a="1"/>
  <c r="H2848" i="1" a="1"/>
  <c r="H3735" i="1" a="1"/>
  <c r="H3818" i="1" a="1"/>
  <c r="H3850" i="1" a="1"/>
  <c r="H3871" i="1" a="1"/>
  <c r="H3887" i="1" a="1"/>
  <c r="H3909" i="1" a="1"/>
  <c r="H2566" i="1" a="1"/>
  <c r="H3382" i="1" a="1"/>
  <c r="H3481" i="1" a="1"/>
  <c r="H3523" i="1" a="1"/>
  <c r="H3636" i="1" a="1"/>
  <c r="H3690" i="1" a="1"/>
  <c r="H3792" i="1" a="1"/>
  <c r="H3840" i="1" a="1"/>
  <c r="H2635" i="1" a="1"/>
  <c r="H3152" i="1" a="1"/>
  <c r="H3406" i="1" a="1"/>
  <c r="H3497" i="1" a="1"/>
  <c r="H3582" i="1" a="1"/>
  <c r="H3652" i="1" a="1"/>
  <c r="H3701" i="1" a="1"/>
  <c r="H3757" i="1" a="1"/>
  <c r="H3793" i="1" a="1"/>
  <c r="H3814" i="1" a="1"/>
  <c r="H3835" i="1" a="1"/>
  <c r="H3857" i="1" a="1"/>
  <c r="H3820" i="1" a="1"/>
  <c r="H3852" i="1" a="1"/>
  <c r="H2691" i="1" a="1"/>
  <c r="H2774" i="1" a="1"/>
  <c r="H2825" i="1" a="1"/>
  <c r="H2894" i="1" a="1"/>
  <c r="H3002" i="1" a="1"/>
  <c r="H3109" i="1" a="1"/>
  <c r="H3132" i="1" a="1"/>
  <c r="H3163" i="1" a="1"/>
  <c r="H3246" i="1" a="1"/>
  <c r="H3310" i="1" a="1"/>
  <c r="H3374" i="1" a="1"/>
  <c r="H3433" i="1" a="1"/>
  <c r="H3448" i="1" a="1"/>
  <c r="H3460" i="1" a="1"/>
  <c r="H3475" i="1" a="1"/>
  <c r="H3518" i="1" a="1"/>
  <c r="H3561" i="1" a="1"/>
  <c r="H3576" i="1" a="1"/>
  <c r="H3588" i="1" a="1"/>
  <c r="H3603" i="1" a="1"/>
  <c r="H3646" i="1" a="1"/>
  <c r="H3686" i="1" a="1"/>
  <c r="H3697" i="1" a="1"/>
  <c r="H3705" i="1" a="1"/>
  <c r="H3713" i="1" a="1"/>
  <c r="H3721" i="1" a="1"/>
  <c r="H3727" i="1" a="1"/>
  <c r="H3734" i="1" a="1"/>
  <c r="H3741" i="1" a="1"/>
  <c r="H3759" i="1" a="1"/>
  <c r="H3766" i="1" a="1"/>
  <c r="H3773" i="1" a="1"/>
  <c r="H3785" i="1" a="1"/>
  <c r="H3790" i="1" a="1"/>
  <c r="H3795" i="1" a="1"/>
  <c r="H3801" i="1" a="1"/>
  <c r="H3806" i="1" a="1"/>
  <c r="H3811" i="1" a="1"/>
  <c r="H3817" i="1" a="1"/>
  <c r="H3822" i="1" a="1"/>
  <c r="H3827" i="1" a="1"/>
  <c r="H3833" i="1" a="1"/>
  <c r="H3838" i="1" a="1"/>
  <c r="H3843" i="1" a="1"/>
  <c r="H3849" i="1" a="1"/>
  <c r="H3854" i="1" a="1"/>
  <c r="H3859" i="1" a="1"/>
  <c r="H3865" i="1" a="1"/>
  <c r="H3870" i="1" a="1"/>
  <c r="H3881" i="1" a="1"/>
  <c r="H3891" i="1" a="1"/>
  <c r="H3902" i="1" a="1"/>
  <c r="H3918" i="1" a="1"/>
  <c r="H2778" i="1" a="1"/>
  <c r="H3802" i="1" a="1"/>
  <c r="H3839" i="1" a="1"/>
  <c r="H3866" i="1" a="1"/>
  <c r="H3893" i="1" a="1"/>
  <c r="H3914" i="1" a="1"/>
  <c r="H2978" i="1" a="1"/>
  <c r="H3120" i="1" a="1"/>
  <c r="H3228" i="1" a="1"/>
  <c r="H3318" i="1" a="1"/>
  <c r="H3508" i="1" a="1"/>
  <c r="H3624" i="1" a="1"/>
  <c r="H3762" i="1" a="1"/>
  <c r="H3872" i="1" a="1"/>
  <c r="H3904" i="1" a="1"/>
  <c r="H2801" i="1" a="1"/>
  <c r="H3121" i="1" a="1"/>
  <c r="H3454" i="1" a="1"/>
  <c r="H3524" i="1" a="1"/>
  <c r="H3667" i="1" a="1"/>
  <c r="H3709" i="1" a="1"/>
  <c r="H3787" i="1" a="1"/>
  <c r="H3809" i="1" a="1"/>
  <c r="H3825" i="1" a="1"/>
  <c r="H3841" i="1" a="1"/>
  <c r="H3862" i="1" a="1"/>
  <c r="H3878" i="1" a="1"/>
  <c r="H3889" i="1" a="1"/>
  <c r="H3905" i="1" a="1"/>
  <c r="H2636" i="1" a="1"/>
  <c r="H3366" i="1" a="1"/>
  <c r="H3513" i="1" a="1"/>
  <c r="H3555" i="1" a="1"/>
  <c r="H3668" i="1" a="1"/>
  <c r="H3745" i="1" a="1"/>
  <c r="H3777" i="1" a="1"/>
  <c r="H3868" i="1" a="1"/>
  <c r="H3884" i="1" a="1"/>
  <c r="H3916" i="1" a="1"/>
  <c r="H2554" i="1" a="1"/>
  <c r="H2695" i="1" a="1"/>
  <c r="H2847" i="1" a="1"/>
  <c r="H2958" i="1" a="1"/>
  <c r="H3066" i="1" a="1"/>
  <c r="H3164" i="1" a="1"/>
  <c r="H3195" i="1" a="1"/>
  <c r="H3270" i="1" a="1"/>
  <c r="H3334" i="1" a="1"/>
  <c r="H3398" i="1" a="1"/>
  <c r="H3449" i="1" a="1"/>
  <c r="H3464" i="1" a="1"/>
  <c r="H3476" i="1" a="1"/>
  <c r="H3491" i="1" a="1"/>
  <c r="H3534" i="1" a="1"/>
  <c r="H3577" i="1" a="1"/>
  <c r="H3592" i="1" a="1"/>
  <c r="H3604" i="1" a="1"/>
  <c r="H3619" i="1" a="1"/>
  <c r="H3662" i="1" a="1"/>
  <c r="H3729" i="1" a="1"/>
  <c r="H3747" i="1" a="1"/>
  <c r="H3754" i="1" a="1"/>
  <c r="H3761" i="1" a="1"/>
  <c r="H3779" i="1" a="1"/>
  <c r="H3796" i="1" a="1"/>
  <c r="H3812" i="1" a="1"/>
  <c r="H3828" i="1" a="1"/>
  <c r="H3844" i="1" a="1"/>
  <c r="H3860" i="1" a="1"/>
  <c r="H3876" i="1" a="1"/>
  <c r="H3892" i="1" a="1"/>
  <c r="H3908" i="1" a="1"/>
  <c r="H2565" i="1" a="1"/>
  <c r="H3022" i="1" a="1"/>
  <c r="H3110" i="1" a="1"/>
  <c r="H3227" i="1" a="1"/>
  <c r="H3294" i="1" a="1"/>
  <c r="H3480" i="1" a="1"/>
  <c r="H3507" i="1" a="1"/>
  <c r="H3608" i="1" a="1"/>
  <c r="H3635" i="1" a="1"/>
  <c r="H3678" i="1" a="1"/>
  <c r="H3706" i="1" a="1"/>
  <c r="H3722" i="1" a="1"/>
  <c r="H3749" i="1" a="1"/>
  <c r="H3774" i="1" a="1"/>
  <c r="H3786" i="1" a="1"/>
  <c r="H3797" i="1" a="1"/>
  <c r="H3813" i="1" a="1"/>
  <c r="H3829" i="1" a="1"/>
  <c r="H3845" i="1" a="1"/>
  <c r="H3861" i="1" a="1"/>
  <c r="H3877" i="1" a="1"/>
  <c r="H3898" i="1" a="1"/>
  <c r="H2851" i="1" a="1"/>
  <c r="H3174" i="1" a="1"/>
  <c r="H3496" i="1" a="1"/>
  <c r="H3566" i="1" a="1"/>
  <c r="H3651" i="1" a="1"/>
  <c r="H3737" i="1" a="1"/>
  <c r="H3769" i="1" a="1"/>
  <c r="H3824" i="1" a="1"/>
  <c r="H3084" i="1" a="1"/>
  <c r="H3206" i="1" a="1"/>
  <c r="H3342" i="1" a="1"/>
  <c r="H3539" i="1" a="1"/>
  <c r="H3625" i="1" a="1"/>
  <c r="H3725" i="1" a="1"/>
  <c r="H3743" i="1" a="1"/>
  <c r="H3775" i="1" a="1"/>
  <c r="H3798" i="1" a="1"/>
  <c r="H3830" i="1" a="1"/>
  <c r="H3851" i="1" a="1"/>
  <c r="H3867" i="1" a="1"/>
  <c r="H3883" i="1" a="1"/>
  <c r="H3899" i="1" a="1"/>
  <c r="H3915" i="1" a="1"/>
  <c r="H3096" i="1" a="1"/>
  <c r="H3184" i="1" a="1"/>
  <c r="H3238" i="1" a="1"/>
  <c r="H3470" i="1" a="1"/>
  <c r="H3540" i="1" a="1"/>
  <c r="H3641" i="1" a="1"/>
  <c r="H3682" i="1" a="1"/>
  <c r="H3731" i="1" a="1"/>
  <c r="H3770" i="1" a="1"/>
  <c r="H3804" i="1" a="1"/>
  <c r="H3836" i="1" a="1"/>
  <c r="H2211" i="1" a="1"/>
  <c r="H2209" i="1" a="1"/>
  <c r="H2205" i="1" a="1"/>
  <c r="H2201" i="1" a="1"/>
  <c r="H2197" i="1" a="1"/>
  <c r="H2193" i="1" a="1"/>
  <c r="H2189" i="1" a="1"/>
  <c r="H2185" i="1" a="1"/>
  <c r="H2181" i="1" a="1"/>
  <c r="H2177" i="1" a="1"/>
  <c r="H2208" i="1" a="1"/>
  <c r="H2204" i="1" a="1"/>
  <c r="H2200" i="1" a="1"/>
  <c r="H2196" i="1" a="1"/>
  <c r="H2192" i="1" a="1"/>
  <c r="H2188" i="1" a="1"/>
  <c r="H2184" i="1" a="1"/>
  <c r="H2180" i="1" a="1"/>
  <c r="H2176" i="1" a="1"/>
  <c r="H2172" i="1" a="1"/>
  <c r="H2168" i="1" a="1"/>
  <c r="H2164" i="1" a="1"/>
  <c r="H2160" i="1" a="1"/>
  <c r="H2156" i="1" a="1"/>
  <c r="H2152" i="1" a="1"/>
  <c r="H2148" i="1" a="1"/>
  <c r="H2144" i="1" a="1"/>
  <c r="H2140" i="1" a="1"/>
  <c r="H2136" i="1" a="1"/>
  <c r="H2132" i="1" a="1"/>
  <c r="H2128" i="1" a="1"/>
  <c r="H2124" i="1" a="1"/>
  <c r="H2120" i="1" a="1"/>
  <c r="H2116" i="1" a="1"/>
  <c r="H2112" i="1" a="1"/>
  <c r="H2108" i="1" a="1"/>
  <c r="H2104" i="1" a="1"/>
  <c r="H2100" i="1" a="1"/>
  <c r="H2096" i="1" a="1"/>
  <c r="H2092" i="1" a="1"/>
  <c r="H2088" i="1" a="1"/>
  <c r="H2084" i="1" a="1"/>
  <c r="H2080" i="1" a="1"/>
  <c r="H2076" i="1" a="1"/>
  <c r="H2072" i="1" a="1"/>
  <c r="H2068" i="1" a="1"/>
  <c r="H2064" i="1" a="1"/>
  <c r="H2060" i="1" a="1"/>
  <c r="H2056" i="1" a="1"/>
  <c r="H2052" i="1" a="1"/>
  <c r="H2048" i="1" a="1"/>
  <c r="H2044" i="1" a="1"/>
  <c r="H2040" i="1" a="1"/>
  <c r="H2036" i="1" a="1"/>
  <c r="H2032" i="1" a="1"/>
  <c r="H2028" i="1" a="1"/>
  <c r="H2024" i="1" a="1"/>
  <c r="H2020" i="1" a="1"/>
  <c r="H2016" i="1" a="1"/>
  <c r="H2210" i="1" a="1"/>
  <c r="H2202" i="1" a="1"/>
  <c r="H2195" i="1" a="1"/>
  <c r="H2011" i="1" a="1"/>
  <c r="H2002" i="1" a="1"/>
  <c r="H1993" i="1" a="1"/>
  <c r="H1988" i="1" a="1"/>
  <c r="H1979" i="1" a="1"/>
  <c r="H1970" i="1" a="1"/>
  <c r="H1961" i="1" a="1"/>
  <c r="H1956" i="1" a="1"/>
  <c r="H1947" i="1" a="1"/>
  <c r="H1938" i="1" a="1"/>
  <c r="H1929" i="1" a="1"/>
  <c r="H1924" i="1" a="1"/>
  <c r="H1915" i="1" a="1"/>
  <c r="H1906" i="1" a="1"/>
  <c r="H1897" i="1" a="1"/>
  <c r="H1892" i="1" a="1"/>
  <c r="H1883" i="1" a="1"/>
  <c r="H1874" i="1" a="1"/>
  <c r="H2207" i="1" a="1"/>
  <c r="H2194" i="1" a="1"/>
  <c r="H2206" i="1" a="1"/>
  <c r="H2190" i="1" a="1"/>
  <c r="H2186" i="1" a="1"/>
  <c r="H2166" i="1" a="1"/>
  <c r="H2159" i="1" a="1"/>
  <c r="H2147" i="1" a="1"/>
  <c r="H2135" i="1" a="1"/>
  <c r="H2123" i="1" a="1"/>
  <c r="H2117" i="1" a="1"/>
  <c r="H2105" i="1" a="1"/>
  <c r="H2093" i="1" a="1"/>
  <c r="H2081" i="1" a="1"/>
  <c r="H2074" i="1" a="1"/>
  <c r="H2062" i="1" a="1"/>
  <c r="H2050" i="1" a="1"/>
  <c r="H2038" i="1" a="1"/>
  <c r="H2031" i="1" a="1"/>
  <c r="H2019" i="1" a="1"/>
  <c r="H2008" i="1" a="1"/>
  <c r="H2003" i="1" a="1"/>
  <c r="H1998" i="1" a="1"/>
  <c r="H1992" i="1" a="1"/>
  <c r="H1987" i="1" a="1"/>
  <c r="H1982" i="1" a="1"/>
  <c r="H1977" i="1" a="1"/>
  <c r="H1940" i="1" a="1"/>
  <c r="H1935" i="1" a="1"/>
  <c r="H1930" i="1" a="1"/>
  <c r="H1925" i="1" a="1"/>
  <c r="H1919" i="1" a="1"/>
  <c r="H1914" i="1" a="1"/>
  <c r="H1909" i="1" a="1"/>
  <c r="H1888" i="1" a="1"/>
  <c r="H1872" i="1" a="1"/>
  <c r="H1863" i="1" a="1"/>
  <c r="H1854" i="1" a="1"/>
  <c r="H1849" i="1" a="1"/>
  <c r="H1840" i="1" a="1"/>
  <c r="H1831" i="1" a="1"/>
  <c r="H1822" i="1" a="1"/>
  <c r="H1817" i="1" a="1"/>
  <c r="H2178" i="1" a="1"/>
  <c r="H2171" i="1" a="1"/>
  <c r="H2165" i="1" a="1"/>
  <c r="H2153" i="1" a="1"/>
  <c r="H2141" i="1" a="1"/>
  <c r="H2129" i="1" a="1"/>
  <c r="H2122" i="1" a="1"/>
  <c r="H2110" i="1" a="1"/>
  <c r="H2098" i="1" a="1"/>
  <c r="H2086" i="1" a="1"/>
  <c r="H2079" i="1" a="1"/>
  <c r="H2067" i="1" a="1"/>
  <c r="H2055" i="1" a="1"/>
  <c r="H2043" i="1" a="1"/>
  <c r="H2037" i="1" a="1"/>
  <c r="H2025" i="1" a="1"/>
  <c r="H2013" i="1" a="1"/>
  <c r="H1997" i="1" a="1"/>
  <c r="H1976" i="1" a="1"/>
  <c r="H1971" i="1" a="1"/>
  <c r="H1966" i="1" a="1"/>
  <c r="H1960" i="1" a="1"/>
  <c r="H1955" i="1" a="1"/>
  <c r="H1950" i="1" a="1"/>
  <c r="H1945" i="1" a="1"/>
  <c r="H1908" i="1" a="1"/>
  <c r="H1903" i="1" a="1"/>
  <c r="H1898" i="1" a="1"/>
  <c r="H1893" i="1" a="1"/>
  <c r="H1887" i="1" a="1"/>
  <c r="H1882" i="1" a="1"/>
  <c r="H1877" i="1" a="1"/>
  <c r="H1867" i="1" a="1"/>
  <c r="H1858" i="1" a="1"/>
  <c r="H1853" i="1" a="1"/>
  <c r="H1844" i="1" a="1"/>
  <c r="H1835" i="1" a="1"/>
  <c r="H1826" i="1" a="1"/>
  <c r="H1821" i="1" a="1"/>
  <c r="H1812" i="1" a="1"/>
  <c r="H1803" i="1" a="1"/>
  <c r="H1794" i="1" a="1"/>
  <c r="H1789" i="1" a="1"/>
  <c r="H1780" i="1" a="1"/>
  <c r="H1771" i="1" a="1"/>
  <c r="H1767" i="1" a="1"/>
  <c r="H1763" i="1" a="1"/>
  <c r="H1759" i="1" a="1"/>
  <c r="H1755" i="1" a="1"/>
  <c r="H1751" i="1" a="1"/>
  <c r="H2203" i="1" a="1"/>
  <c r="H2170" i="1" a="1"/>
  <c r="H2158" i="1" a="1"/>
  <c r="H2146" i="1" a="1"/>
  <c r="H2134" i="1" a="1"/>
  <c r="H2127" i="1" a="1"/>
  <c r="H2115" i="1" a="1"/>
  <c r="H2103" i="1" a="1"/>
  <c r="H2091" i="1" a="1"/>
  <c r="H2085" i="1" a="1"/>
  <c r="H2073" i="1" a="1"/>
  <c r="H2061" i="1" a="1"/>
  <c r="H2049" i="1" a="1"/>
  <c r="H2042" i="1" a="1"/>
  <c r="H2030" i="1" a="1"/>
  <c r="H2018" i="1" a="1"/>
  <c r="H2012" i="1" a="1"/>
  <c r="H2007" i="1" a="1"/>
  <c r="H1996" i="1" a="1"/>
  <c r="H1991" i="1" a="1"/>
  <c r="H1986" i="1" a="1"/>
  <c r="H1981" i="1" a="1"/>
  <c r="H1965" i="1" a="1"/>
  <c r="H1944" i="1" a="1"/>
  <c r="H1939" i="1" a="1"/>
  <c r="H1934" i="1" a="1"/>
  <c r="H1928" i="1" a="1"/>
  <c r="H1923" i="1" a="1"/>
  <c r="H1918" i="1" a="1"/>
  <c r="H1913" i="1" a="1"/>
  <c r="H1876" i="1" a="1"/>
  <c r="H1871" i="1" a="1"/>
  <c r="H1862" i="1" a="1"/>
  <c r="H1857" i="1" a="1"/>
  <c r="H1848" i="1" a="1"/>
  <c r="H1839" i="1" a="1"/>
  <c r="H1830" i="1" a="1"/>
  <c r="H1825" i="1" a="1"/>
  <c r="H1816" i="1" a="1"/>
  <c r="H1807" i="1" a="1"/>
  <c r="H1798" i="1" a="1"/>
  <c r="H1793" i="1" a="1"/>
  <c r="H1784" i="1" a="1"/>
  <c r="H1775" i="1" a="1"/>
  <c r="H2191" i="1" a="1"/>
  <c r="H2183" i="1" a="1"/>
  <c r="H2175" i="1" a="1"/>
  <c r="H2163" i="1" a="1"/>
  <c r="H2151" i="1" a="1"/>
  <c r="H2139" i="1" a="1"/>
  <c r="H2133" i="1" a="1"/>
  <c r="H2121" i="1" a="1"/>
  <c r="H2109" i="1" a="1"/>
  <c r="H2097" i="1" a="1"/>
  <c r="H2090" i="1" a="1"/>
  <c r="H2078" i="1" a="1"/>
  <c r="H2066" i="1" a="1"/>
  <c r="H2054" i="1" a="1"/>
  <c r="H2047" i="1" a="1"/>
  <c r="H2035" i="1" a="1"/>
  <c r="H2199" i="1" a="1"/>
  <c r="H2182" i="1" a="1"/>
  <c r="H2169" i="1" a="1"/>
  <c r="H2157" i="1" a="1"/>
  <c r="H2145" i="1" a="1"/>
  <c r="H2138" i="1" a="1"/>
  <c r="H2126" i="1" a="1"/>
  <c r="H2114" i="1" a="1"/>
  <c r="H2102" i="1" a="1"/>
  <c r="H2095" i="1" a="1"/>
  <c r="H2083" i="1" a="1"/>
  <c r="H2071" i="1" a="1"/>
  <c r="H2059" i="1" a="1"/>
  <c r="H2053" i="1" a="1"/>
  <c r="H2041" i="1" a="1"/>
  <c r="H2029" i="1" a="1"/>
  <c r="H2017" i="1" a="1"/>
  <c r="H2000" i="1" a="1"/>
  <c r="H1995" i="1" a="1"/>
  <c r="H1990" i="1" a="1"/>
  <c r="H1985" i="1" a="1"/>
  <c r="H1974" i="1" a="1"/>
  <c r="H1969" i="1" a="1"/>
  <c r="H1948" i="1" a="1"/>
  <c r="H1943" i="1" a="1"/>
  <c r="H1932" i="1" a="1"/>
  <c r="H1927" i="1" a="1"/>
  <c r="H1922" i="1" a="1"/>
  <c r="H1917" i="1" a="1"/>
  <c r="H1901" i="1" a="1"/>
  <c r="H1880" i="1" a="1"/>
  <c r="H1875" i="1" a="1"/>
  <c r="H1870" i="1" a="1"/>
  <c r="H1865" i="1" a="1"/>
  <c r="H1856" i="1" a="1"/>
  <c r="H1847" i="1" a="1"/>
  <c r="H1838" i="1" a="1"/>
  <c r="H1833" i="1" a="1"/>
  <c r="H1824" i="1" a="1"/>
  <c r="H1815" i="1" a="1"/>
  <c r="H1806" i="1" a="1"/>
  <c r="H1801" i="1" a="1"/>
  <c r="H1792" i="1" a="1"/>
  <c r="H1783" i="1" a="1"/>
  <c r="H1774" i="1" a="1"/>
  <c r="H2174" i="1" a="1"/>
  <c r="H2162" i="1" a="1"/>
  <c r="H2150" i="1" a="1"/>
  <c r="H2143" i="1" a="1"/>
  <c r="H2131" i="1" a="1"/>
  <c r="H2119" i="1" a="1"/>
  <c r="H2107" i="1" a="1"/>
  <c r="H2101" i="1" a="1"/>
  <c r="H2089" i="1" a="1"/>
  <c r="H2077" i="1" a="1"/>
  <c r="H2065" i="1" a="1"/>
  <c r="H2058" i="1" a="1"/>
  <c r="H2046" i="1" a="1"/>
  <c r="H2034" i="1" a="1"/>
  <c r="H2022" i="1" a="1"/>
  <c r="H2015" i="1" a="1"/>
  <c r="H2010" i="1" a="1"/>
  <c r="H2005" i="1" a="1"/>
  <c r="H1984" i="1" a="1"/>
  <c r="H1968" i="1" a="1"/>
  <c r="H1963" i="1" a="1"/>
  <c r="H1958" i="1" a="1"/>
  <c r="H1953" i="1" a="1"/>
  <c r="H1942" i="1" a="1"/>
  <c r="H1937" i="1" a="1"/>
  <c r="H2198" i="1" a="1"/>
  <c r="H2167" i="1" a="1"/>
  <c r="H2094" i="1" a="1"/>
  <c r="H2070" i="1" a="1"/>
  <c r="H2026" i="1" a="1"/>
  <c r="H1954" i="1" a="1"/>
  <c r="H1941" i="1" a="1"/>
  <c r="H1907" i="1" a="1"/>
  <c r="H1896" i="1" a="1"/>
  <c r="H1886" i="1" a="1"/>
  <c r="H1866" i="1" a="1"/>
  <c r="H1829" i="1" a="1"/>
  <c r="H1820" i="1" a="1"/>
  <c r="H1797" i="1" a="1"/>
  <c r="H1776" i="1" a="1"/>
  <c r="H1762" i="1" a="1"/>
  <c r="H1756" i="1" a="1"/>
  <c r="H1749" i="1" a="1"/>
  <c r="H1744" i="1" a="1"/>
  <c r="H1739" i="1" a="1"/>
  <c r="H1733" i="1" a="1"/>
  <c r="H1728" i="1" a="1"/>
  <c r="H1723" i="1" a="1"/>
  <c r="H1717" i="1" a="1"/>
  <c r="H1712" i="1" a="1"/>
  <c r="H1707" i="1" a="1"/>
  <c r="H1701" i="1" a="1"/>
  <c r="H1696" i="1" a="1"/>
  <c r="H1691" i="1" a="1"/>
  <c r="H2142" i="1" a="1"/>
  <c r="H2118" i="1" a="1"/>
  <c r="H2069" i="1" a="1"/>
  <c r="H2045" i="1" a="1"/>
  <c r="H2023" i="1" a="1"/>
  <c r="H2009" i="1" a="1"/>
  <c r="H1994" i="1" a="1"/>
  <c r="H1980" i="1" a="1"/>
  <c r="H1967" i="1" a="1"/>
  <c r="H1952" i="1" a="1"/>
  <c r="H1916" i="1" a="1"/>
  <c r="H1895" i="1" a="1"/>
  <c r="H1885" i="1" a="1"/>
  <c r="H1837" i="1" a="1"/>
  <c r="H1828" i="1" a="1"/>
  <c r="H1819" i="1" a="1"/>
  <c r="H1811" i="1" a="1"/>
  <c r="H1804" i="1" a="1"/>
  <c r="H1796" i="1" a="1"/>
  <c r="H1790" i="1" a="1"/>
  <c r="H1782" i="1" a="1"/>
  <c r="H1768" i="1" a="1"/>
  <c r="H1761" i="1" a="1"/>
  <c r="H1738" i="1" a="1"/>
  <c r="H1722" i="1" a="1"/>
  <c r="H1706" i="1" a="1"/>
  <c r="H1690" i="1" a="1"/>
  <c r="H1686" i="1" a="1"/>
  <c r="H1682" i="1" a="1"/>
  <c r="H1678" i="1" a="1"/>
  <c r="H1674" i="1" a="1"/>
  <c r="H1670" i="1" a="1"/>
  <c r="H1666" i="1" a="1"/>
  <c r="H1662" i="1" a="1"/>
  <c r="H1658" i="1" a="1"/>
  <c r="H1654" i="1" a="1"/>
  <c r="H1650" i="1" a="1"/>
  <c r="H1646" i="1" a="1"/>
  <c r="H1642" i="1" a="1"/>
  <c r="H1638" i="1" a="1"/>
  <c r="H1634" i="1" a="1"/>
  <c r="H1630" i="1" a="1"/>
  <c r="H1626" i="1" a="1"/>
  <c r="H1622" i="1" a="1"/>
  <c r="H1618" i="1" a="1"/>
  <c r="H1614" i="1" a="1"/>
  <c r="H1610" i="1" a="1"/>
  <c r="H1606" i="1" a="1"/>
  <c r="H1602" i="1" a="1"/>
  <c r="H1598" i="1" a="1"/>
  <c r="H2187" i="1" a="1"/>
  <c r="H2137" i="1" a="1"/>
  <c r="H2113" i="1" a="1"/>
  <c r="H2063" i="1" a="1"/>
  <c r="H2039" i="1" a="1"/>
  <c r="H2021" i="1" a="1"/>
  <c r="H2006" i="1" a="1"/>
  <c r="H1978" i="1" a="1"/>
  <c r="H1964" i="1" a="1"/>
  <c r="H1951" i="1" a="1"/>
  <c r="H1936" i="1" a="1"/>
  <c r="H1926" i="1" a="1"/>
  <c r="H1905" i="1" a="1"/>
  <c r="H1884" i="1" a="1"/>
  <c r="H1864" i="1" a="1"/>
  <c r="H1855" i="1" a="1"/>
  <c r="H1846" i="1" a="1"/>
  <c r="H1810" i="1" a="1"/>
  <c r="H1788" i="1" a="1"/>
  <c r="H1781" i="1" a="1"/>
  <c r="H1773" i="1" a="1"/>
  <c r="H1754" i="1" a="1"/>
  <c r="H1748" i="1" a="1"/>
  <c r="H1743" i="1" a="1"/>
  <c r="H1737" i="1" a="1"/>
  <c r="H1732" i="1" a="1"/>
  <c r="H1727" i="1" a="1"/>
  <c r="H1721" i="1" a="1"/>
  <c r="H1716" i="1" a="1"/>
  <c r="H1711" i="1" a="1"/>
  <c r="H1705" i="1" a="1"/>
  <c r="H1700" i="1" a="1"/>
  <c r="H1695" i="1" a="1"/>
  <c r="H2161" i="1" a="1"/>
  <c r="H2111" i="1" a="1"/>
  <c r="H2087" i="1" a="1"/>
  <c r="H2004" i="1" a="1"/>
  <c r="H1949" i="1" a="1"/>
  <c r="H1904" i="1" a="1"/>
  <c r="H1894" i="1" a="1"/>
  <c r="H1873" i="1" a="1"/>
  <c r="H1845" i="1" a="1"/>
  <c r="H1836" i="1" a="1"/>
  <c r="H1827" i="1" a="1"/>
  <c r="H1818" i="1" a="1"/>
  <c r="H1809" i="1" a="1"/>
  <c r="H1802" i="1" a="1"/>
  <c r="H1795" i="1" a="1"/>
  <c r="H1787" i="1" a="1"/>
  <c r="H1766" i="1" a="1"/>
  <c r="H1760" i="1" a="1"/>
  <c r="H1753" i="1" a="1"/>
  <c r="H1742" i="1" a="1"/>
  <c r="H1726" i="1" a="1"/>
  <c r="H1710" i="1" a="1"/>
  <c r="H1694" i="1" a="1"/>
  <c r="H1689" i="1" a="1"/>
  <c r="H1685" i="1" a="1"/>
  <c r="H1681" i="1" a="1"/>
  <c r="H1677" i="1" a="1"/>
  <c r="H1673" i="1" a="1"/>
  <c r="H1669" i="1" a="1"/>
  <c r="H1665" i="1" a="1"/>
  <c r="H1661" i="1" a="1"/>
  <c r="H1657" i="1" a="1"/>
  <c r="H1653" i="1" a="1"/>
  <c r="H1649" i="1" a="1"/>
  <c r="H1645" i="1" a="1"/>
  <c r="H1641" i="1" a="1"/>
  <c r="H1637" i="1" a="1"/>
  <c r="H1633" i="1" a="1"/>
  <c r="H1629" i="1" a="1"/>
  <c r="H1625" i="1" a="1"/>
  <c r="H1621" i="1" a="1"/>
  <c r="H1617" i="1" a="1"/>
  <c r="H1613" i="1" a="1"/>
  <c r="H1609" i="1" a="1"/>
  <c r="H1605" i="1" a="1"/>
  <c r="H1601" i="1" a="1"/>
  <c r="H1597" i="1" a="1"/>
  <c r="H2155" i="1" a="1"/>
  <c r="H2106" i="1" a="1"/>
  <c r="H2082" i="1" a="1"/>
  <c r="H1989" i="1" a="1"/>
  <c r="H1975" i="1" a="1"/>
  <c r="H1962" i="1" a="1"/>
  <c r="H1933" i="1" a="1"/>
  <c r="H1912" i="1" a="1"/>
  <c r="H1902" i="1" a="1"/>
  <c r="H1891" i="1" a="1"/>
  <c r="H1881" i="1" a="1"/>
  <c r="H1861" i="1" a="1"/>
  <c r="H1852" i="1" a="1"/>
  <c r="H1843" i="1" a="1"/>
  <c r="H1834" i="1" a="1"/>
  <c r="H1779" i="1" a="1"/>
  <c r="H1772" i="1" a="1"/>
  <c r="H1765" i="1" a="1"/>
  <c r="H1747" i="1" a="1"/>
  <c r="H1741" i="1" a="1"/>
  <c r="H1736" i="1" a="1"/>
  <c r="H1731" i="1" a="1"/>
  <c r="H1725" i="1" a="1"/>
  <c r="H1720" i="1" a="1"/>
  <c r="H1715" i="1" a="1"/>
  <c r="H1709" i="1" a="1"/>
  <c r="H1704" i="1" a="1"/>
  <c r="H1699" i="1" a="1"/>
  <c r="H1693" i="1" a="1"/>
  <c r="H2179" i="1" a="1"/>
  <c r="H2051" i="1" a="1"/>
  <c r="H2001" i="1" a="1"/>
  <c r="H1931" i="1" a="1"/>
  <c r="H1900" i="1" a="1"/>
  <c r="H1878" i="1" a="1"/>
  <c r="H1805" i="1" a="1"/>
  <c r="H1785" i="1" a="1"/>
  <c r="H1750" i="1" a="1"/>
  <c r="H1735" i="1" a="1"/>
  <c r="H1692" i="1" a="1"/>
  <c r="H1680" i="1" a="1"/>
  <c r="H1671" i="1" a="1"/>
  <c r="H1648" i="1" a="1"/>
  <c r="H1639" i="1" a="1"/>
  <c r="H1616" i="1" a="1"/>
  <c r="H1607" i="1" a="1"/>
  <c r="H1584" i="1" a="1"/>
  <c r="H1579" i="1" a="1"/>
  <c r="H1568" i="1" a="1"/>
  <c r="H1563" i="1" a="1"/>
  <c r="H1552" i="1" a="1"/>
  <c r="H1547" i="1" a="1"/>
  <c r="H1536" i="1" a="1"/>
  <c r="H1531" i="1" a="1"/>
  <c r="H1520" i="1" a="1"/>
  <c r="H1515" i="1" a="1"/>
  <c r="H1504" i="1" a="1"/>
  <c r="H1499" i="1" a="1"/>
  <c r="H1489" i="1" a="1"/>
  <c r="H1485" i="1" a="1"/>
  <c r="H1481" i="1" a="1"/>
  <c r="H1477" i="1" a="1"/>
  <c r="H1473" i="1" a="1"/>
  <c r="H1469" i="1" a="1"/>
  <c r="H1465" i="1" a="1"/>
  <c r="H1461" i="1" a="1"/>
  <c r="H1457" i="1" a="1"/>
  <c r="H1453" i="1" a="1"/>
  <c r="H1449" i="1" a="1"/>
  <c r="H1445" i="1" a="1"/>
  <c r="H1441" i="1" a="1"/>
  <c r="H1437" i="1" a="1"/>
  <c r="H1433" i="1" a="1"/>
  <c r="H1429" i="1" a="1"/>
  <c r="H1425" i="1" a="1"/>
  <c r="H1421" i="1" a="1"/>
  <c r="H1417" i="1" a="1"/>
  <c r="H1413" i="1" a="1"/>
  <c r="H1409" i="1" a="1"/>
  <c r="H1405" i="1" a="1"/>
  <c r="H1401" i="1" a="1"/>
  <c r="H1397" i="1" a="1"/>
  <c r="H1393" i="1" a="1"/>
  <c r="H1389" i="1" a="1"/>
  <c r="H1999" i="1" a="1"/>
  <c r="H1959" i="1" a="1"/>
  <c r="H1869" i="1" a="1"/>
  <c r="H1850" i="1" a="1"/>
  <c r="H1823" i="1" a="1"/>
  <c r="H1800" i="1" a="1"/>
  <c r="H1764" i="1" a="1"/>
  <c r="H1746" i="1" a="1"/>
  <c r="H1734" i="1" a="1"/>
  <c r="H1719" i="1" a="1"/>
  <c r="H1668" i="1" a="1"/>
  <c r="H1659" i="1" a="1"/>
  <c r="H1636" i="1" a="1"/>
  <c r="H1627" i="1" a="1"/>
  <c r="H1604" i="1" a="1"/>
  <c r="H1595" i="1" a="1"/>
  <c r="H1589" i="1" a="1"/>
  <c r="H1578" i="1" a="1"/>
  <c r="H1573" i="1" a="1"/>
  <c r="H1562" i="1" a="1"/>
  <c r="H1557" i="1" a="1"/>
  <c r="H1546" i="1" a="1"/>
  <c r="H1541" i="1" a="1"/>
  <c r="H1530" i="1" a="1"/>
  <c r="H1525" i="1" a="1"/>
  <c r="H1514" i="1" a="1"/>
  <c r="H1509" i="1" a="1"/>
  <c r="H1498" i="1" a="1"/>
  <c r="H1493" i="1" a="1"/>
  <c r="H2173" i="1" a="1"/>
  <c r="H2033" i="1" a="1"/>
  <c r="H1899" i="1" a="1"/>
  <c r="H1842" i="1" a="1"/>
  <c r="H1778" i="1" a="1"/>
  <c r="H1745" i="1" a="1"/>
  <c r="H1730" i="1" a="1"/>
  <c r="H1718" i="1" a="1"/>
  <c r="H1703" i="1" a="1"/>
  <c r="H1688" i="1" a="1"/>
  <c r="H1679" i="1" a="1"/>
  <c r="H1656" i="1" a="1"/>
  <c r="H1647" i="1" a="1"/>
  <c r="H1624" i="1" a="1"/>
  <c r="H1615" i="1" a="1"/>
  <c r="H1594" i="1" a="1"/>
  <c r="H1588" i="1" a="1"/>
  <c r="H1583" i="1" a="1"/>
  <c r="H1572" i="1" a="1"/>
  <c r="H1567" i="1" a="1"/>
  <c r="H1556" i="1" a="1"/>
  <c r="H1551" i="1" a="1"/>
  <c r="H1540" i="1" a="1"/>
  <c r="H1535" i="1" a="1"/>
  <c r="H1524" i="1" a="1"/>
  <c r="H1519" i="1" a="1"/>
  <c r="H1508" i="1" a="1"/>
  <c r="H1503" i="1" a="1"/>
  <c r="H1488" i="1" a="1"/>
  <c r="H1484" i="1" a="1"/>
  <c r="H1480" i="1" a="1"/>
  <c r="H1476" i="1" a="1"/>
  <c r="H1472" i="1" a="1"/>
  <c r="H1468" i="1" a="1"/>
  <c r="H1464" i="1" a="1"/>
  <c r="H1460" i="1" a="1"/>
  <c r="H1456" i="1" a="1"/>
  <c r="H1452" i="1" a="1"/>
  <c r="H1448" i="1" a="1"/>
  <c r="H1444" i="1" a="1"/>
  <c r="H1440" i="1" a="1"/>
  <c r="H1436" i="1" a="1"/>
  <c r="H1432" i="1" a="1"/>
  <c r="H1428" i="1" a="1"/>
  <c r="H1424" i="1" a="1"/>
  <c r="H2154" i="1" a="1"/>
  <c r="H2099" i="1" a="1"/>
  <c r="H1957" i="1" a="1"/>
  <c r="H1921" i="1" a="1"/>
  <c r="H1890" i="1" a="1"/>
  <c r="H1868" i="1" a="1"/>
  <c r="H1841" i="1" a="1"/>
  <c r="H1799" i="1" a="1"/>
  <c r="H1777" i="1" a="1"/>
  <c r="H1758" i="1" a="1"/>
  <c r="H1729" i="1" a="1"/>
  <c r="H1714" i="1" a="1"/>
  <c r="H1702" i="1" a="1"/>
  <c r="H1676" i="1" a="1"/>
  <c r="H1667" i="1" a="1"/>
  <c r="H1644" i="1" a="1"/>
  <c r="H1635" i="1" a="1"/>
  <c r="H1612" i="1" a="1"/>
  <c r="H1603" i="1" a="1"/>
  <c r="H1593" i="1" a="1"/>
  <c r="H1582" i="1" a="1"/>
  <c r="H1577" i="1" a="1"/>
  <c r="H1566" i="1" a="1"/>
  <c r="H1561" i="1" a="1"/>
  <c r="H1550" i="1" a="1"/>
  <c r="H1545" i="1" a="1"/>
  <c r="H1534" i="1" a="1"/>
  <c r="H1529" i="1" a="1"/>
  <c r="H1518" i="1" a="1"/>
  <c r="H1513" i="1" a="1"/>
  <c r="H1502" i="1" a="1"/>
  <c r="H1497" i="1" a="1"/>
  <c r="H1492" i="1" a="1"/>
  <c r="H2149" i="1" a="1"/>
  <c r="H2027" i="1" a="1"/>
  <c r="H1946" i="1" a="1"/>
  <c r="H1920" i="1" a="1"/>
  <c r="H1860" i="1" a="1"/>
  <c r="H1814" i="1" a="1"/>
  <c r="H1757" i="1" a="1"/>
  <c r="H1713" i="1" a="1"/>
  <c r="H1698" i="1" a="1"/>
  <c r="H1687" i="1" a="1"/>
  <c r="H1664" i="1" a="1"/>
  <c r="H1655" i="1" a="1"/>
  <c r="H1632" i="1" a="1"/>
  <c r="H1623" i="1" a="1"/>
  <c r="H1600" i="1" a="1"/>
  <c r="H1592" i="1" a="1"/>
  <c r="H1587" i="1" a="1"/>
  <c r="H1576" i="1" a="1"/>
  <c r="H1571" i="1" a="1"/>
  <c r="H1560" i="1" a="1"/>
  <c r="H1555" i="1" a="1"/>
  <c r="H1544" i="1" a="1"/>
  <c r="H1539" i="1" a="1"/>
  <c r="H1528" i="1" a="1"/>
  <c r="H1523" i="1" a="1"/>
  <c r="H1512" i="1" a="1"/>
  <c r="H1507" i="1" a="1"/>
  <c r="H1496" i="1" a="1"/>
  <c r="H1487" i="1" a="1"/>
  <c r="H1483" i="1" a="1"/>
  <c r="H1479" i="1" a="1"/>
  <c r="H1475" i="1" a="1"/>
  <c r="H1471" i="1" a="1"/>
  <c r="H1467" i="1" a="1"/>
  <c r="H1463" i="1" a="1"/>
  <c r="H1459" i="1" a="1"/>
  <c r="H1455" i="1" a="1"/>
  <c r="H1451" i="1" a="1"/>
  <c r="H1447" i="1" a="1"/>
  <c r="H1443" i="1" a="1"/>
  <c r="H1439" i="1" a="1"/>
  <c r="H1435" i="1" a="1"/>
  <c r="H1431" i="1" a="1"/>
  <c r="H1427" i="1" a="1"/>
  <c r="H1423" i="1" a="1"/>
  <c r="H1419" i="1" a="1"/>
  <c r="H1415" i="1" a="1"/>
  <c r="H1983" i="1" a="1"/>
  <c r="H1911" i="1" a="1"/>
  <c r="H1889" i="1" a="1"/>
  <c r="H1813" i="1" a="1"/>
  <c r="H1740" i="1" a="1"/>
  <c r="H1697" i="1" a="1"/>
  <c r="H1684" i="1" a="1"/>
  <c r="H1675" i="1" a="1"/>
  <c r="H1652" i="1" a="1"/>
  <c r="H1643" i="1" a="1"/>
  <c r="H1620" i="1" a="1"/>
  <c r="H1611" i="1" a="1"/>
  <c r="H1586" i="1" a="1"/>
  <c r="H1581" i="1" a="1"/>
  <c r="H1570" i="1" a="1"/>
  <c r="H1565" i="1" a="1"/>
  <c r="H1554" i="1" a="1"/>
  <c r="H1549" i="1" a="1"/>
  <c r="H1538" i="1" a="1"/>
  <c r="H1533" i="1" a="1"/>
  <c r="H1522" i="1" a="1"/>
  <c r="H1517" i="1" a="1"/>
  <c r="H1506" i="1" a="1"/>
  <c r="H1501" i="1" a="1"/>
  <c r="H1491" i="1" a="1"/>
  <c r="H2130" i="1" a="1"/>
  <c r="H1832" i="1" a="1"/>
  <c r="H1752" i="1" a="1"/>
  <c r="H1608" i="1" a="1"/>
  <c r="H1580" i="1" a="1"/>
  <c r="H1559" i="1" a="1"/>
  <c r="H1516" i="1" a="1"/>
  <c r="H1495" i="1" a="1"/>
  <c r="H1478" i="1" a="1"/>
  <c r="H1462" i="1" a="1"/>
  <c r="H1446" i="1" a="1"/>
  <c r="H1430" i="1" a="1"/>
  <c r="H1408" i="1" a="1"/>
  <c r="H1400" i="1" a="1"/>
  <c r="H1392" i="1" a="1"/>
  <c r="H1385" i="1" a="1"/>
  <c r="H1378" i="1" a="1"/>
  <c r="H1372" i="1" a="1"/>
  <c r="H1359" i="1" a="1"/>
  <c r="H1353" i="1" a="1"/>
  <c r="H1346" i="1" a="1"/>
  <c r="H1340" i="1" a="1"/>
  <c r="H1327" i="1" a="1"/>
  <c r="H1321" i="1" a="1"/>
  <c r="H1314" i="1" a="1"/>
  <c r="H1308" i="1" a="1"/>
  <c r="H1295" i="1" a="1"/>
  <c r="H1291" i="1" a="1"/>
  <c r="H1287" i="1" a="1"/>
  <c r="H1283" i="1" a="1"/>
  <c r="H1279" i="1" a="1"/>
  <c r="H1275" i="1" a="1"/>
  <c r="H1271" i="1" a="1"/>
  <c r="H1267" i="1" a="1"/>
  <c r="H1263" i="1" a="1"/>
  <c r="H1259" i="1" a="1"/>
  <c r="H1255" i="1" a="1"/>
  <c r="H1251" i="1" a="1"/>
  <c r="H1247" i="1" a="1"/>
  <c r="H1243" i="1" a="1"/>
  <c r="H1239" i="1" a="1"/>
  <c r="H1235" i="1" a="1"/>
  <c r="H1231" i="1" a="1"/>
  <c r="H1227" i="1" a="1"/>
  <c r="H1223" i="1" a="1"/>
  <c r="H1219" i="1" a="1"/>
  <c r="H1215" i="1" a="1"/>
  <c r="H1211" i="1" a="1"/>
  <c r="H1207" i="1" a="1"/>
  <c r="H1203" i="1" a="1"/>
  <c r="H1199" i="1" a="1"/>
  <c r="H1195" i="1" a="1"/>
  <c r="H1191" i="1" a="1"/>
  <c r="H1187" i="1" a="1"/>
  <c r="H1183" i="1" a="1"/>
  <c r="H1179" i="1" a="1"/>
  <c r="H1175" i="1" a="1"/>
  <c r="H1171" i="1" a="1"/>
  <c r="H1167" i="1" a="1"/>
  <c r="H1163" i="1" a="1"/>
  <c r="H1159" i="1" a="1"/>
  <c r="H1155" i="1" a="1"/>
  <c r="H1151" i="1" a="1"/>
  <c r="H1147" i="1" a="1"/>
  <c r="H2125" i="1" a="1"/>
  <c r="H1651" i="1" a="1"/>
  <c r="H1558" i="1" a="1"/>
  <c r="H1537" i="1" a="1"/>
  <c r="H1494" i="1" a="1"/>
  <c r="H1416" i="1" a="1"/>
  <c r="H1407" i="1" a="1"/>
  <c r="H1399" i="1" a="1"/>
  <c r="H1391" i="1" a="1"/>
  <c r="H1384" i="1" a="1"/>
  <c r="H1371" i="1" a="1"/>
  <c r="H1365" i="1" a="1"/>
  <c r="H1358" i="1" a="1"/>
  <c r="H1352" i="1" a="1"/>
  <c r="H1339" i="1" a="1"/>
  <c r="H1333" i="1" a="1"/>
  <c r="H1326" i="1" a="1"/>
  <c r="H1320" i="1" a="1"/>
  <c r="H1307" i="1" a="1"/>
  <c r="H1301" i="1" a="1"/>
  <c r="H2075" i="1" a="1"/>
  <c r="H1910" i="1" a="1"/>
  <c r="H1808" i="1" a="1"/>
  <c r="H1640" i="1" a="1"/>
  <c r="H1599" i="1" a="1"/>
  <c r="H1575" i="1" a="1"/>
  <c r="H1532" i="1" a="1"/>
  <c r="H1511" i="1" a="1"/>
  <c r="H1490" i="1" a="1"/>
  <c r="H1474" i="1" a="1"/>
  <c r="H1458" i="1" a="1"/>
  <c r="H1442" i="1" a="1"/>
  <c r="H1426" i="1" a="1"/>
  <c r="H1414" i="1" a="1"/>
  <c r="H1406" i="1" a="1"/>
  <c r="H1398" i="1" a="1"/>
  <c r="H1390" i="1" a="1"/>
  <c r="H1383" i="1" a="1"/>
  <c r="H1377" i="1" a="1"/>
  <c r="H1370" i="1" a="1"/>
  <c r="H1364" i="1" a="1"/>
  <c r="H1351" i="1" a="1"/>
  <c r="H1345" i="1" a="1"/>
  <c r="H1338" i="1" a="1"/>
  <c r="H1332" i="1" a="1"/>
  <c r="H1319" i="1" a="1"/>
  <c r="H1313" i="1" a="1"/>
  <c r="H1306" i="1" a="1"/>
  <c r="H1300" i="1" a="1"/>
  <c r="H1294" i="1" a="1"/>
  <c r="H1290" i="1" a="1"/>
  <c r="H1286" i="1" a="1"/>
  <c r="H1282" i="1" a="1"/>
  <c r="H1278" i="1" a="1"/>
  <c r="H1274" i="1" a="1"/>
  <c r="H1270" i="1" a="1"/>
  <c r="H1266" i="1" a="1"/>
  <c r="H1262" i="1" a="1"/>
  <c r="H1258" i="1" a="1"/>
  <c r="H1254" i="1" a="1"/>
  <c r="H1250" i="1" a="1"/>
  <c r="H1246" i="1" a="1"/>
  <c r="H1242" i="1" a="1"/>
  <c r="H1238" i="1" a="1"/>
  <c r="H1234" i="1" a="1"/>
  <c r="H1230" i="1" a="1"/>
  <c r="H1226" i="1" a="1"/>
  <c r="H1222" i="1" a="1"/>
  <c r="H1218" i="1" a="1"/>
  <c r="H1214" i="1" a="1"/>
  <c r="H1210" i="1" a="1"/>
  <c r="H1206" i="1" a="1"/>
  <c r="H1202" i="1" a="1"/>
  <c r="H1198" i="1" a="1"/>
  <c r="H1194" i="1" a="1"/>
  <c r="H1190" i="1" a="1"/>
  <c r="H1186" i="1" a="1"/>
  <c r="H1182" i="1" a="1"/>
  <c r="H1178" i="1" a="1"/>
  <c r="H1174" i="1" a="1"/>
  <c r="H1170" i="1" a="1"/>
  <c r="H2057" i="1" a="1"/>
  <c r="H1683" i="1" a="1"/>
  <c r="H1596" i="1" a="1"/>
  <c r="H1574" i="1" a="1"/>
  <c r="H1553" i="1" a="1"/>
  <c r="H1510" i="1" a="1"/>
  <c r="H1382" i="1" a="1"/>
  <c r="H1376" i="1" a="1"/>
  <c r="H1363" i="1" a="1"/>
  <c r="H1357" i="1" a="1"/>
  <c r="H1350" i="1" a="1"/>
  <c r="H1344" i="1" a="1"/>
  <c r="H1331" i="1" a="1"/>
  <c r="H1325" i="1" a="1"/>
  <c r="H1318" i="1" a="1"/>
  <c r="H1312" i="1" a="1"/>
  <c r="H1299" i="1" a="1"/>
  <c r="H2014" i="1" a="1"/>
  <c r="H1791" i="1" a="1"/>
  <c r="H1724" i="1" a="1"/>
  <c r="H1672" i="1" a="1"/>
  <c r="H1631" i="1" a="1"/>
  <c r="H1591" i="1" a="1"/>
  <c r="H1548" i="1" a="1"/>
  <c r="H1527" i="1" a="1"/>
  <c r="H1486" i="1" a="1"/>
  <c r="H1470" i="1" a="1"/>
  <c r="H1454" i="1" a="1"/>
  <c r="H1438" i="1" a="1"/>
  <c r="H1422" i="1" a="1"/>
  <c r="H1412" i="1" a="1"/>
  <c r="H1404" i="1" a="1"/>
  <c r="H1396" i="1" a="1"/>
  <c r="H1388" i="1" a="1"/>
  <c r="H1375" i="1" a="1"/>
  <c r="H1369" i="1" a="1"/>
  <c r="H1362" i="1" a="1"/>
  <c r="H1356" i="1" a="1"/>
  <c r="H1343" i="1" a="1"/>
  <c r="H1337" i="1" a="1"/>
  <c r="H1330" i="1" a="1"/>
  <c r="H1324" i="1" a="1"/>
  <c r="H1311" i="1" a="1"/>
  <c r="H1305" i="1" a="1"/>
  <c r="H1298" i="1" a="1"/>
  <c r="H1293" i="1" a="1"/>
  <c r="H1289" i="1" a="1"/>
  <c r="H1285" i="1" a="1"/>
  <c r="H1281" i="1" a="1"/>
  <c r="H1277" i="1" a="1"/>
  <c r="H1273" i="1" a="1"/>
  <c r="H1269" i="1" a="1"/>
  <c r="H1265" i="1" a="1"/>
  <c r="H1261" i="1" a="1"/>
  <c r="H1257" i="1" a="1"/>
  <c r="H1253" i="1" a="1"/>
  <c r="H1249" i="1" a="1"/>
  <c r="H1245" i="1" a="1"/>
  <c r="H1241" i="1" a="1"/>
  <c r="H1237" i="1" a="1"/>
  <c r="H1233" i="1" a="1"/>
  <c r="H1229" i="1" a="1"/>
  <c r="H1225" i="1" a="1"/>
  <c r="H1221" i="1" a="1"/>
  <c r="H1879" i="1" a="1"/>
  <c r="H1786" i="1" a="1"/>
  <c r="H1628" i="1" a="1"/>
  <c r="H1590" i="1" a="1"/>
  <c r="H1569" i="1" a="1"/>
  <c r="H1526" i="1" a="1"/>
  <c r="H1505" i="1" a="1"/>
  <c r="H1411" i="1" a="1"/>
  <c r="H1403" i="1" a="1"/>
  <c r="H1395" i="1" a="1"/>
  <c r="H1387" i="1" a="1"/>
  <c r="H1381" i="1" a="1"/>
  <c r="H1374" i="1" a="1"/>
  <c r="H1368" i="1" a="1"/>
  <c r="H1355" i="1" a="1"/>
  <c r="H1349" i="1" a="1"/>
  <c r="H1342" i="1" a="1"/>
  <c r="H1336" i="1" a="1"/>
  <c r="H1323" i="1" a="1"/>
  <c r="H1317" i="1" a="1"/>
  <c r="H1310" i="1" a="1"/>
  <c r="H1304" i="1" a="1"/>
  <c r="H1973" i="1" a="1"/>
  <c r="H1663" i="1" a="1"/>
  <c r="H1543" i="1" a="1"/>
  <c r="H1466" i="1" a="1"/>
  <c r="H1410" i="1" a="1"/>
  <c r="H1380" i="1" a="1"/>
  <c r="H1354" i="1" a="1"/>
  <c r="H1329" i="1" a="1"/>
  <c r="H1303" i="1" a="1"/>
  <c r="H1284" i="1" a="1"/>
  <c r="H1268" i="1" a="1"/>
  <c r="H1252" i="1" a="1"/>
  <c r="H1236" i="1" a="1"/>
  <c r="H1220" i="1" a="1"/>
  <c r="H1209" i="1" a="1"/>
  <c r="H1188" i="1" a="1"/>
  <c r="H1177" i="1" a="1"/>
  <c r="H1137" i="1" a="1"/>
  <c r="H1131" i="1" a="1"/>
  <c r="H1124" i="1" a="1"/>
  <c r="H1118" i="1" a="1"/>
  <c r="H1105" i="1" a="1"/>
  <c r="H1099" i="1" a="1"/>
  <c r="H1092" i="1" a="1"/>
  <c r="H1086" i="1" a="1"/>
  <c r="H1073" i="1" a="1"/>
  <c r="H1067" i="1" a="1"/>
  <c r="H1972" i="1" a="1"/>
  <c r="H1660" i="1" a="1"/>
  <c r="H1542" i="1" a="1"/>
  <c r="H1379" i="1" a="1"/>
  <c r="H1328" i="1" a="1"/>
  <c r="H1302" i="1" a="1"/>
  <c r="H1208" i="1" a="1"/>
  <c r="H1197" i="1" a="1"/>
  <c r="H1176" i="1" a="1"/>
  <c r="H1166" i="1" a="1"/>
  <c r="H1158" i="1" a="1"/>
  <c r="H1150" i="1" a="1"/>
  <c r="H1143" i="1" a="1"/>
  <c r="H1136" i="1" a="1"/>
  <c r="H1130" i="1" a="1"/>
  <c r="H1117" i="1" a="1"/>
  <c r="H1111" i="1" a="1"/>
  <c r="H1104" i="1" a="1"/>
  <c r="H1098" i="1" a="1"/>
  <c r="H1085" i="1" a="1"/>
  <c r="H1079" i="1" a="1"/>
  <c r="H1072" i="1" a="1"/>
  <c r="H1066" i="1" a="1"/>
  <c r="H1062" i="1" a="1"/>
  <c r="H1058" i="1" a="1"/>
  <c r="H1054" i="1" a="1"/>
  <c r="H1050" i="1" a="1"/>
  <c r="H1046" i="1" a="1"/>
  <c r="H1042" i="1" a="1"/>
  <c r="H1038" i="1" a="1"/>
  <c r="H1034" i="1" a="1"/>
  <c r="H1030" i="1" a="1"/>
  <c r="H1026" i="1" a="1"/>
  <c r="H1022" i="1" a="1"/>
  <c r="H1018" i="1" a="1"/>
  <c r="H1014" i="1" a="1"/>
  <c r="H1010" i="1" a="1"/>
  <c r="H1006" i="1" a="1"/>
  <c r="H1002" i="1" a="1"/>
  <c r="H998" i="1" a="1"/>
  <c r="H994" i="1" a="1"/>
  <c r="H990" i="1" a="1"/>
  <c r="H986" i="1" a="1"/>
  <c r="H982" i="1" a="1"/>
  <c r="H978" i="1" a="1"/>
  <c r="H974" i="1" a="1"/>
  <c r="H970" i="1" a="1"/>
  <c r="H966" i="1" a="1"/>
  <c r="H962" i="1" a="1"/>
  <c r="H958" i="1" a="1"/>
  <c r="H954" i="1" a="1"/>
  <c r="H950" i="1" a="1"/>
  <c r="H946" i="1" a="1"/>
  <c r="H942" i="1" a="1"/>
  <c r="H938" i="1" a="1"/>
  <c r="H934" i="1" a="1"/>
  <c r="H930" i="1" a="1"/>
  <c r="H926" i="1" a="1"/>
  <c r="H922" i="1" a="1"/>
  <c r="H918" i="1" a="1"/>
  <c r="H914" i="1" a="1"/>
  <c r="H910" i="1" a="1"/>
  <c r="H906" i="1" a="1"/>
  <c r="H902" i="1" a="1"/>
  <c r="H898" i="1" a="1"/>
  <c r="H894" i="1" a="1"/>
  <c r="H890" i="1" a="1"/>
  <c r="H886" i="1" a="1"/>
  <c r="H882" i="1" a="1"/>
  <c r="H878" i="1" a="1"/>
  <c r="H874" i="1" a="1"/>
  <c r="H870" i="1" a="1"/>
  <c r="H866" i="1" a="1"/>
  <c r="H862" i="1" a="1"/>
  <c r="H858" i="1" a="1"/>
  <c r="H854" i="1" a="1"/>
  <c r="H850" i="1" a="1"/>
  <c r="H846" i="1" a="1"/>
  <c r="H842" i="1" a="1"/>
  <c r="H838" i="1" a="1"/>
  <c r="H834" i="1" a="1"/>
  <c r="H830" i="1" a="1"/>
  <c r="H826" i="1" a="1"/>
  <c r="H822" i="1" a="1"/>
  <c r="H818" i="1" a="1"/>
  <c r="H1859" i="1" a="1"/>
  <c r="H1450" i="1" a="1"/>
  <c r="H1402" i="1" a="1"/>
  <c r="H1348" i="1" a="1"/>
  <c r="H1322" i="1" a="1"/>
  <c r="H1297" i="1" a="1"/>
  <c r="H1280" i="1" a="1"/>
  <c r="H1264" i="1" a="1"/>
  <c r="H1248" i="1" a="1"/>
  <c r="H1232" i="1" a="1"/>
  <c r="H1217" i="1" a="1"/>
  <c r="H1196" i="1" a="1"/>
  <c r="H1185" i="1" a="1"/>
  <c r="H1165" i="1" a="1"/>
  <c r="H1157" i="1" a="1"/>
  <c r="H1149" i="1" a="1"/>
  <c r="H1142" i="1" a="1"/>
  <c r="H1129" i="1" a="1"/>
  <c r="H1123" i="1" a="1"/>
  <c r="H1116" i="1" a="1"/>
  <c r="H1110" i="1" a="1"/>
  <c r="H1097" i="1" a="1"/>
  <c r="H1091" i="1" a="1"/>
  <c r="H1084" i="1" a="1"/>
  <c r="H1078" i="1" a="1"/>
  <c r="H1851" i="1" a="1"/>
  <c r="H1619" i="1" a="1"/>
  <c r="H1521" i="1" a="1"/>
  <c r="H1373" i="1" a="1"/>
  <c r="H1347" i="1" a="1"/>
  <c r="H1296" i="1" a="1"/>
  <c r="H1216" i="1" a="1"/>
  <c r="H1205" i="1" a="1"/>
  <c r="H1184" i="1" a="1"/>
  <c r="H1173" i="1" a="1"/>
  <c r="H1164" i="1" a="1"/>
  <c r="H1156" i="1" a="1"/>
  <c r="H1148" i="1" a="1"/>
  <c r="H1141" i="1" a="1"/>
  <c r="H1135" i="1" a="1"/>
  <c r="H1128" i="1" a="1"/>
  <c r="H1122" i="1" a="1"/>
  <c r="H1109" i="1" a="1"/>
  <c r="H1103" i="1" a="1"/>
  <c r="H1096" i="1" a="1"/>
  <c r="H1090" i="1" a="1"/>
  <c r="H1077" i="1" a="1"/>
  <c r="H1071" i="1" a="1"/>
  <c r="H1065" i="1" a="1"/>
  <c r="H1061" i="1" a="1"/>
  <c r="H1057" i="1" a="1"/>
  <c r="H1053" i="1" a="1"/>
  <c r="H1049" i="1" a="1"/>
  <c r="H1045" i="1" a="1"/>
  <c r="H1041" i="1" a="1"/>
  <c r="H1037" i="1" a="1"/>
  <c r="H1033" i="1" a="1"/>
  <c r="H1029" i="1" a="1"/>
  <c r="H1025" i="1" a="1"/>
  <c r="H1021" i="1" a="1"/>
  <c r="H1017" i="1" a="1"/>
  <c r="H1013" i="1" a="1"/>
  <c r="H1009" i="1" a="1"/>
  <c r="H1005" i="1" a="1"/>
  <c r="H1001" i="1" a="1"/>
  <c r="H997" i="1" a="1"/>
  <c r="H993" i="1" a="1"/>
  <c r="H989" i="1" a="1"/>
  <c r="H985" i="1" a="1"/>
  <c r="H981" i="1" a="1"/>
  <c r="H977" i="1" a="1"/>
  <c r="H973" i="1" a="1"/>
  <c r="H969" i="1" a="1"/>
  <c r="H965" i="1" a="1"/>
  <c r="H961" i="1" a="1"/>
  <c r="H957" i="1" a="1"/>
  <c r="H953" i="1" a="1"/>
  <c r="H949" i="1" a="1"/>
  <c r="H945" i="1" a="1"/>
  <c r="H941" i="1" a="1"/>
  <c r="H937" i="1" a="1"/>
  <c r="H933" i="1" a="1"/>
  <c r="H929" i="1" a="1"/>
  <c r="H925" i="1" a="1"/>
  <c r="H921" i="1" a="1"/>
  <c r="H917" i="1" a="1"/>
  <c r="H913" i="1" a="1"/>
  <c r="H909" i="1" a="1"/>
  <c r="H905" i="1" a="1"/>
  <c r="H901" i="1" a="1"/>
  <c r="H897" i="1" a="1"/>
  <c r="H893" i="1" a="1"/>
  <c r="H889" i="1" a="1"/>
  <c r="H885" i="1" a="1"/>
  <c r="H881" i="1" a="1"/>
  <c r="H877" i="1" a="1"/>
  <c r="H873" i="1" a="1"/>
  <c r="H869" i="1" a="1"/>
  <c r="H865" i="1" a="1"/>
  <c r="H861" i="1" a="1"/>
  <c r="H857" i="1" a="1"/>
  <c r="H853" i="1" a="1"/>
  <c r="H849" i="1" a="1"/>
  <c r="H845" i="1" a="1"/>
  <c r="H841" i="1" a="1"/>
  <c r="H837" i="1" a="1"/>
  <c r="H1770" i="1" a="1"/>
  <c r="H1500" i="1" a="1"/>
  <c r="H1434" i="1" a="1"/>
  <c r="H1394" i="1" a="1"/>
  <c r="H1367" i="1" a="1"/>
  <c r="H1316" i="1" a="1"/>
  <c r="H1292" i="1" a="1"/>
  <c r="H1276" i="1" a="1"/>
  <c r="H1260" i="1" a="1"/>
  <c r="H1244" i="1" a="1"/>
  <c r="H1228" i="1" a="1"/>
  <c r="H1204" i="1" a="1"/>
  <c r="H1193" i="1" a="1"/>
  <c r="H1172" i="1" a="1"/>
  <c r="H1140" i="1" a="1"/>
  <c r="H1134" i="1" a="1"/>
  <c r="H1121" i="1" a="1"/>
  <c r="H1115" i="1" a="1"/>
  <c r="H1108" i="1" a="1"/>
  <c r="H1102" i="1" a="1"/>
  <c r="H1089" i="1" a="1"/>
  <c r="H1083" i="1" a="1"/>
  <c r="H1076" i="1" a="1"/>
  <c r="H1070" i="1" a="1"/>
  <c r="H1769" i="1" a="1"/>
  <c r="H1585" i="1" a="1"/>
  <c r="H1366" i="1" a="1"/>
  <c r="H1341" i="1" a="1"/>
  <c r="H1315" i="1" a="1"/>
  <c r="H1213" i="1" a="1"/>
  <c r="H1192" i="1" a="1"/>
  <c r="H1181" i="1" a="1"/>
  <c r="H1162" i="1" a="1"/>
  <c r="H1154" i="1" a="1"/>
  <c r="H1146" i="1" a="1"/>
  <c r="H1133" i="1" a="1"/>
  <c r="H1127" i="1" a="1"/>
  <c r="H1120" i="1" a="1"/>
  <c r="H1114" i="1" a="1"/>
  <c r="H1101" i="1" a="1"/>
  <c r="H1095" i="1" a="1"/>
  <c r="H1088" i="1" a="1"/>
  <c r="H1082" i="1" a="1"/>
  <c r="H1069" i="1" a="1"/>
  <c r="H1064" i="1" a="1"/>
  <c r="H1060" i="1" a="1"/>
  <c r="H1056" i="1" a="1"/>
  <c r="H1052" i="1" a="1"/>
  <c r="H1048" i="1" a="1"/>
  <c r="H1044" i="1" a="1"/>
  <c r="H1040" i="1" a="1"/>
  <c r="H1036" i="1" a="1"/>
  <c r="H1032" i="1" a="1"/>
  <c r="H1028" i="1" a="1"/>
  <c r="H1024" i="1" a="1"/>
  <c r="H1020" i="1" a="1"/>
  <c r="H1016" i="1" a="1"/>
  <c r="H1012" i="1" a="1"/>
  <c r="H1008" i="1" a="1"/>
  <c r="H1004" i="1" a="1"/>
  <c r="H1000" i="1" a="1"/>
  <c r="H996" i="1" a="1"/>
  <c r="H992" i="1" a="1"/>
  <c r="H988" i="1" a="1"/>
  <c r="H984" i="1" a="1"/>
  <c r="H980" i="1" a="1"/>
  <c r="H976" i="1" a="1"/>
  <c r="H972" i="1" a="1"/>
  <c r="H968" i="1" a="1"/>
  <c r="H964" i="1" a="1"/>
  <c r="H960" i="1" a="1"/>
  <c r="H956" i="1" a="1"/>
  <c r="H952" i="1" a="1"/>
  <c r="H948" i="1" a="1"/>
  <c r="H944" i="1" a="1"/>
  <c r="H940" i="1" a="1"/>
  <c r="H936" i="1" a="1"/>
  <c r="H932" i="1" a="1"/>
  <c r="H928" i="1" a="1"/>
  <c r="H924" i="1" a="1"/>
  <c r="H920" i="1" a="1"/>
  <c r="H916" i="1" a="1"/>
  <c r="H912" i="1" a="1"/>
  <c r="H908" i="1" a="1"/>
  <c r="H904" i="1" a="1"/>
  <c r="H900" i="1" a="1"/>
  <c r="H896" i="1" a="1"/>
  <c r="H892" i="1" a="1"/>
  <c r="H888" i="1" a="1"/>
  <c r="H884" i="1" a="1"/>
  <c r="H880" i="1" a="1"/>
  <c r="H876" i="1" a="1"/>
  <c r="H872" i="1" a="1"/>
  <c r="H868" i="1" a="1"/>
  <c r="H864" i="1" a="1"/>
  <c r="H860" i="1" a="1"/>
  <c r="H856" i="1" a="1"/>
  <c r="H852" i="1" a="1"/>
  <c r="H848" i="1" a="1"/>
  <c r="H844" i="1" a="1"/>
  <c r="H840" i="1" a="1"/>
  <c r="H836" i="1" a="1"/>
  <c r="H832" i="1" a="1"/>
  <c r="H828" i="1" a="1"/>
  <c r="H824" i="1" a="1"/>
  <c r="H1386" i="1" a="1"/>
  <c r="H1288" i="1" a="1"/>
  <c r="H1224" i="1" a="1"/>
  <c r="H1180" i="1" a="1"/>
  <c r="H1145" i="1" a="1"/>
  <c r="H1094" i="1" a="1"/>
  <c r="H1068" i="1" a="1"/>
  <c r="H831" i="1" a="1"/>
  <c r="H820" i="1" a="1"/>
  <c r="H813" i="1" a="1"/>
  <c r="H807" i="1" a="1"/>
  <c r="H800" i="1" a="1"/>
  <c r="H794" i="1" a="1"/>
  <c r="H781" i="1" a="1"/>
  <c r="H775" i="1" a="1"/>
  <c r="H768" i="1" a="1"/>
  <c r="H762" i="1" a="1"/>
  <c r="H749" i="1" a="1"/>
  <c r="H743" i="1" a="1"/>
  <c r="H736" i="1" a="1"/>
  <c r="H730" i="1" a="1"/>
  <c r="H717" i="1" a="1"/>
  <c r="H711" i="1" a="1"/>
  <c r="H704" i="1" a="1"/>
  <c r="H698" i="1" a="1"/>
  <c r="H685" i="1" a="1"/>
  <c r="H679" i="1" a="1"/>
  <c r="H672" i="1" a="1"/>
  <c r="H666" i="1" a="1"/>
  <c r="H653" i="1" a="1"/>
  <c r="H647" i="1" a="1"/>
  <c r="H640" i="1" a="1"/>
  <c r="H634" i="1" a="1"/>
  <c r="H621" i="1" a="1"/>
  <c r="H615" i="1" a="1"/>
  <c r="H608" i="1" a="1"/>
  <c r="H602" i="1" a="1"/>
  <c r="H589" i="1" a="1"/>
  <c r="H583" i="1" a="1"/>
  <c r="H576" i="1" a="1"/>
  <c r="H570" i="1" a="1"/>
  <c r="H557" i="1" a="1"/>
  <c r="H551" i="1" a="1"/>
  <c r="H544" i="1" a="1"/>
  <c r="H538" i="1" a="1"/>
  <c r="H525" i="1" a="1"/>
  <c r="H519" i="1" a="1"/>
  <c r="H512" i="1" a="1"/>
  <c r="H506" i="1" a="1"/>
  <c r="H493" i="1" a="1"/>
  <c r="H487" i="1" a="1"/>
  <c r="H482" i="1" a="1"/>
  <c r="H478" i="1" a="1"/>
  <c r="H474" i="1" a="1"/>
  <c r="H470" i="1" a="1"/>
  <c r="H466" i="1" a="1"/>
  <c r="H462" i="1" a="1"/>
  <c r="H458" i="1" a="1"/>
  <c r="H454" i="1" a="1"/>
  <c r="H450" i="1" a="1"/>
  <c r="H446" i="1" a="1"/>
  <c r="H442" i="1" a="1"/>
  <c r="H438" i="1" a="1"/>
  <c r="H434" i="1" a="1"/>
  <c r="H430" i="1" a="1"/>
  <c r="H426" i="1" a="1"/>
  <c r="H422" i="1" a="1"/>
  <c r="H418" i="1" a="1"/>
  <c r="H414" i="1" a="1"/>
  <c r="H410" i="1" a="1"/>
  <c r="H406" i="1" a="1"/>
  <c r="H402" i="1" a="1"/>
  <c r="H398" i="1" a="1"/>
  <c r="H394" i="1" a="1"/>
  <c r="H390" i="1" a="1"/>
  <c r="H386" i="1" a="1"/>
  <c r="H382" i="1" a="1"/>
  <c r="H378" i="1" a="1"/>
  <c r="H374" i="1" a="1"/>
  <c r="H370" i="1" a="1"/>
  <c r="H366" i="1" a="1"/>
  <c r="H362" i="1" a="1"/>
  <c r="H358" i="1" a="1"/>
  <c r="H354" i="1" a="1"/>
  <c r="H350" i="1" a="1"/>
  <c r="H346" i="1" a="1"/>
  <c r="H342" i="1" a="1"/>
  <c r="H338" i="1" a="1"/>
  <c r="H334" i="1" a="1"/>
  <c r="H330" i="1" a="1"/>
  <c r="H326" i="1" a="1"/>
  <c r="H322" i="1" a="1"/>
  <c r="H318" i="1" a="1"/>
  <c r="H314" i="1" a="1"/>
  <c r="H310" i="1" a="1"/>
  <c r="H306" i="1" a="1"/>
  <c r="H302" i="1" a="1"/>
  <c r="H298" i="1" a="1"/>
  <c r="H294" i="1" a="1"/>
  <c r="H290" i="1" a="1"/>
  <c r="H286" i="1" a="1"/>
  <c r="H282" i="1" a="1"/>
  <c r="H278" i="1" a="1"/>
  <c r="H274" i="1" a="1"/>
  <c r="H270" i="1" a="1"/>
  <c r="H266" i="1" a="1"/>
  <c r="H262" i="1" a="1"/>
  <c r="H258" i="1" a="1"/>
  <c r="H254" i="1" a="1"/>
  <c r="H250" i="1" a="1"/>
  <c r="H246" i="1" a="1"/>
  <c r="H242" i="1" a="1"/>
  <c r="H238" i="1" a="1"/>
  <c r="H234" i="1" a="1"/>
  <c r="H230" i="1" a="1"/>
  <c r="H226" i="1" a="1"/>
  <c r="H222" i="1" a="1"/>
  <c r="H218" i="1" a="1"/>
  <c r="H214" i="1" a="1"/>
  <c r="H210" i="1" a="1"/>
  <c r="H206" i="1" a="1"/>
  <c r="H202" i="1" a="1"/>
  <c r="H198" i="1" a="1"/>
  <c r="H194" i="1" a="1"/>
  <c r="H190" i="1" a="1"/>
  <c r="H186" i="1" a="1"/>
  <c r="H182" i="1" a="1"/>
  <c r="H178" i="1" a="1"/>
  <c r="H174" i="1" a="1"/>
  <c r="H170" i="1" a="1"/>
  <c r="H166" i="1" a="1"/>
  <c r="H162" i="1" a="1"/>
  <c r="H158" i="1" a="1"/>
  <c r="H154" i="1" a="1"/>
  <c r="H150" i="1" a="1"/>
  <c r="H146" i="1" a="1"/>
  <c r="H142" i="1" a="1"/>
  <c r="H138" i="1" a="1"/>
  <c r="H134" i="1" a="1"/>
  <c r="H130" i="1" a="1"/>
  <c r="H126" i="1" a="1"/>
  <c r="H122" i="1" a="1"/>
  <c r="H118" i="1" a="1"/>
  <c r="H114" i="1" a="1"/>
  <c r="H110" i="1" a="1"/>
  <c r="H106" i="1" a="1"/>
  <c r="H102" i="1" a="1"/>
  <c r="H98" i="1" a="1"/>
  <c r="H91" i="1" a="1"/>
  <c r="H1708" i="1" a="1"/>
  <c r="H1144" i="1" a="1"/>
  <c r="H1119" i="1" a="1"/>
  <c r="H1093" i="1" a="1"/>
  <c r="H1051" i="1" a="1"/>
  <c r="H1035" i="1" a="1"/>
  <c r="H1019" i="1" a="1"/>
  <c r="H1003" i="1" a="1"/>
  <c r="H987" i="1" a="1"/>
  <c r="H971" i="1" a="1"/>
  <c r="H955" i="1" a="1"/>
  <c r="H939" i="1" a="1"/>
  <c r="H923" i="1" a="1"/>
  <c r="H907" i="1" a="1"/>
  <c r="H891" i="1" a="1"/>
  <c r="H875" i="1" a="1"/>
  <c r="H859" i="1" a="1"/>
  <c r="H843" i="1" a="1"/>
  <c r="H829" i="1" a="1"/>
  <c r="H812" i="1" a="1"/>
  <c r="H806" i="1" a="1"/>
  <c r="H793" i="1" a="1"/>
  <c r="H787" i="1" a="1"/>
  <c r="H780" i="1" a="1"/>
  <c r="H774" i="1" a="1"/>
  <c r="H761" i="1" a="1"/>
  <c r="H755" i="1" a="1"/>
  <c r="H748" i="1" a="1"/>
  <c r="H742" i="1" a="1"/>
  <c r="H729" i="1" a="1"/>
  <c r="H723" i="1" a="1"/>
  <c r="H716" i="1" a="1"/>
  <c r="H710" i="1" a="1"/>
  <c r="H697" i="1" a="1"/>
  <c r="H691" i="1" a="1"/>
  <c r="H684" i="1" a="1"/>
  <c r="H678" i="1" a="1"/>
  <c r="H665" i="1" a="1"/>
  <c r="H659" i="1" a="1"/>
  <c r="H652" i="1" a="1"/>
  <c r="H646" i="1" a="1"/>
  <c r="H633" i="1" a="1"/>
  <c r="H627" i="1" a="1"/>
  <c r="H620" i="1" a="1"/>
  <c r="H614" i="1" a="1"/>
  <c r="H601" i="1" a="1"/>
  <c r="H595" i="1" a="1"/>
  <c r="H588" i="1" a="1"/>
  <c r="H582" i="1" a="1"/>
  <c r="H569" i="1" a="1"/>
  <c r="H563" i="1" a="1"/>
  <c r="H556" i="1" a="1"/>
  <c r="H550" i="1" a="1"/>
  <c r="H537" i="1" a="1"/>
  <c r="H531" i="1" a="1"/>
  <c r="H524" i="1" a="1"/>
  <c r="H518" i="1" a="1"/>
  <c r="H505" i="1" a="1"/>
  <c r="H499" i="1" a="1"/>
  <c r="H492" i="1" a="1"/>
  <c r="H486" i="1" a="1"/>
  <c r="H94" i="1" a="1"/>
  <c r="H1564" i="1" a="1"/>
  <c r="H1361" i="1" a="1"/>
  <c r="H1272" i="1" a="1"/>
  <c r="H1212" i="1" a="1"/>
  <c r="H1169" i="1" a="1"/>
  <c r="H1139" i="1" a="1"/>
  <c r="H1113" i="1" a="1"/>
  <c r="H819" i="1" a="1"/>
  <c r="H805" i="1" a="1"/>
  <c r="H799" i="1" a="1"/>
  <c r="H792" i="1" a="1"/>
  <c r="H786" i="1" a="1"/>
  <c r="H773" i="1" a="1"/>
  <c r="H767" i="1" a="1"/>
  <c r="H760" i="1" a="1"/>
  <c r="H754" i="1" a="1"/>
  <c r="H741" i="1" a="1"/>
  <c r="H735" i="1" a="1"/>
  <c r="H728" i="1" a="1"/>
  <c r="H722" i="1" a="1"/>
  <c r="H709" i="1" a="1"/>
  <c r="H703" i="1" a="1"/>
  <c r="H696" i="1" a="1"/>
  <c r="H690" i="1" a="1"/>
  <c r="H677" i="1" a="1"/>
  <c r="H671" i="1" a="1"/>
  <c r="H664" i="1" a="1"/>
  <c r="H658" i="1" a="1"/>
  <c r="H645" i="1" a="1"/>
  <c r="H639" i="1" a="1"/>
  <c r="H632" i="1" a="1"/>
  <c r="H626" i="1" a="1"/>
  <c r="H613" i="1" a="1"/>
  <c r="H607" i="1" a="1"/>
  <c r="H600" i="1" a="1"/>
  <c r="H594" i="1" a="1"/>
  <c r="H581" i="1" a="1"/>
  <c r="H575" i="1" a="1"/>
  <c r="H568" i="1" a="1"/>
  <c r="H562" i="1" a="1"/>
  <c r="H549" i="1" a="1"/>
  <c r="H543" i="1" a="1"/>
  <c r="H536" i="1" a="1"/>
  <c r="H530" i="1" a="1"/>
  <c r="H517" i="1" a="1"/>
  <c r="H511" i="1" a="1"/>
  <c r="H504" i="1" a="1"/>
  <c r="H498" i="1" a="1"/>
  <c r="H485" i="1" a="1"/>
  <c r="H481" i="1" a="1"/>
  <c r="H477" i="1" a="1"/>
  <c r="H473" i="1" a="1"/>
  <c r="H469" i="1" a="1"/>
  <c r="H465" i="1" a="1"/>
  <c r="H461" i="1" a="1"/>
  <c r="H457" i="1" a="1"/>
  <c r="H453" i="1" a="1"/>
  <c r="H449" i="1" a="1"/>
  <c r="H445" i="1" a="1"/>
  <c r="H441" i="1" a="1"/>
  <c r="H437" i="1" a="1"/>
  <c r="H433" i="1" a="1"/>
  <c r="H429" i="1" a="1"/>
  <c r="H425" i="1" a="1"/>
  <c r="H421" i="1" a="1"/>
  <c r="H417" i="1" a="1"/>
  <c r="H413" i="1" a="1"/>
  <c r="H409" i="1" a="1"/>
  <c r="H405" i="1" a="1"/>
  <c r="H401" i="1" a="1"/>
  <c r="H397" i="1" a="1"/>
  <c r="H393" i="1" a="1"/>
  <c r="H389" i="1" a="1"/>
  <c r="H385" i="1" a="1"/>
  <c r="H381" i="1" a="1"/>
  <c r="H377" i="1" a="1"/>
  <c r="H373" i="1" a="1"/>
  <c r="H369" i="1" a="1"/>
  <c r="H365" i="1" a="1"/>
  <c r="H361" i="1" a="1"/>
  <c r="H357" i="1" a="1"/>
  <c r="H353" i="1" a="1"/>
  <c r="H349" i="1" a="1"/>
  <c r="H345" i="1" a="1"/>
  <c r="H341" i="1" a="1"/>
  <c r="H337" i="1" a="1"/>
  <c r="H333" i="1" a="1"/>
  <c r="H329" i="1" a="1"/>
  <c r="H325" i="1" a="1"/>
  <c r="H321" i="1" a="1"/>
  <c r="H317" i="1" a="1"/>
  <c r="H313" i="1" a="1"/>
  <c r="H309" i="1" a="1"/>
  <c r="H305" i="1" a="1"/>
  <c r="H301" i="1" a="1"/>
  <c r="H297" i="1" a="1"/>
  <c r="H293" i="1" a="1"/>
  <c r="H289" i="1" a="1"/>
  <c r="H285" i="1" a="1"/>
  <c r="H281" i="1" a="1"/>
  <c r="H277" i="1" a="1"/>
  <c r="H273" i="1" a="1"/>
  <c r="H269" i="1" a="1"/>
  <c r="H265" i="1" a="1"/>
  <c r="H261" i="1" a="1"/>
  <c r="H257" i="1" a="1"/>
  <c r="H253" i="1" a="1"/>
  <c r="H249" i="1" a="1"/>
  <c r="H245" i="1" a="1"/>
  <c r="H241" i="1" a="1"/>
  <c r="H237" i="1" a="1"/>
  <c r="H233" i="1" a="1"/>
  <c r="H229" i="1" a="1"/>
  <c r="H225" i="1" a="1"/>
  <c r="H221" i="1" a="1"/>
  <c r="H217" i="1" a="1"/>
  <c r="H213" i="1" a="1"/>
  <c r="H209" i="1" a="1"/>
  <c r="H205" i="1" a="1"/>
  <c r="H201" i="1" a="1"/>
  <c r="H197" i="1" a="1"/>
  <c r="H193" i="1" a="1"/>
  <c r="H189" i="1" a="1"/>
  <c r="H185" i="1" a="1"/>
  <c r="H181" i="1" a="1"/>
  <c r="H177" i="1" a="1"/>
  <c r="H173" i="1" a="1"/>
  <c r="H169" i="1" a="1"/>
  <c r="H165" i="1" a="1"/>
  <c r="H161" i="1" a="1"/>
  <c r="H157" i="1" a="1"/>
  <c r="H153" i="1" a="1"/>
  <c r="H149" i="1" a="1"/>
  <c r="H145" i="1" a="1"/>
  <c r="H141" i="1" a="1"/>
  <c r="H137" i="1" a="1"/>
  <c r="H133" i="1" a="1"/>
  <c r="H129" i="1" a="1"/>
  <c r="H125" i="1" a="1"/>
  <c r="H121" i="1" a="1"/>
  <c r="H117" i="1" a="1"/>
  <c r="H113" i="1" a="1"/>
  <c r="H109" i="1" a="1"/>
  <c r="H105" i="1" a="1"/>
  <c r="H101" i="1" a="1"/>
  <c r="H97" i="1" a="1"/>
  <c r="H89" i="1" a="1"/>
  <c r="H1360" i="1" a="1"/>
  <c r="H1168" i="1" a="1"/>
  <c r="H1138" i="1" a="1"/>
  <c r="H1112" i="1" a="1"/>
  <c r="H1087" i="1" a="1"/>
  <c r="H1063" i="1" a="1"/>
  <c r="H1047" i="1" a="1"/>
  <c r="H1031" i="1" a="1"/>
  <c r="H1015" i="1" a="1"/>
  <c r="H999" i="1" a="1"/>
  <c r="H983" i="1" a="1"/>
  <c r="H967" i="1" a="1"/>
  <c r="H951" i="1" a="1"/>
  <c r="H935" i="1" a="1"/>
  <c r="H919" i="1" a="1"/>
  <c r="H903" i="1" a="1"/>
  <c r="H887" i="1" a="1"/>
  <c r="H871" i="1" a="1"/>
  <c r="H855" i="1" a="1"/>
  <c r="H839" i="1" a="1"/>
  <c r="H827" i="1" a="1"/>
  <c r="H817" i="1" a="1"/>
  <c r="H811" i="1" a="1"/>
  <c r="H804" i="1" a="1"/>
  <c r="H798" i="1" a="1"/>
  <c r="H785" i="1" a="1"/>
  <c r="H779" i="1" a="1"/>
  <c r="H772" i="1" a="1"/>
  <c r="H766" i="1" a="1"/>
  <c r="H753" i="1" a="1"/>
  <c r="H747" i="1" a="1"/>
  <c r="H740" i="1" a="1"/>
  <c r="H734" i="1" a="1"/>
  <c r="H721" i="1" a="1"/>
  <c r="H715" i="1" a="1"/>
  <c r="H708" i="1" a="1"/>
  <c r="H702" i="1" a="1"/>
  <c r="H689" i="1" a="1"/>
  <c r="H683" i="1" a="1"/>
  <c r="H676" i="1" a="1"/>
  <c r="H670" i="1" a="1"/>
  <c r="H657" i="1" a="1"/>
  <c r="H651" i="1" a="1"/>
  <c r="H644" i="1" a="1"/>
  <c r="H638" i="1" a="1"/>
  <c r="H625" i="1" a="1"/>
  <c r="H619" i="1" a="1"/>
  <c r="H612" i="1" a="1"/>
  <c r="H606" i="1" a="1"/>
  <c r="H593" i="1" a="1"/>
  <c r="H587" i="1" a="1"/>
  <c r="H580" i="1" a="1"/>
  <c r="H574" i="1" a="1"/>
  <c r="H561" i="1" a="1"/>
  <c r="H555" i="1" a="1"/>
  <c r="H548" i="1" a="1"/>
  <c r="H542" i="1" a="1"/>
  <c r="H529" i="1" a="1"/>
  <c r="H523" i="1" a="1"/>
  <c r="H516" i="1" a="1"/>
  <c r="H510" i="1" a="1"/>
  <c r="H497" i="1" a="1"/>
  <c r="H491" i="1" a="1"/>
  <c r="H92" i="1" a="1"/>
  <c r="H1482" i="1" a="1"/>
  <c r="H1335" i="1" a="1"/>
  <c r="H1256" i="1" a="1"/>
  <c r="H1201" i="1" a="1"/>
  <c r="H1161" i="1" a="1"/>
  <c r="H1132" i="1" a="1"/>
  <c r="H1107" i="1" a="1"/>
  <c r="H1081" i="1" a="1"/>
  <c r="H825" i="1" a="1"/>
  <c r="H816" i="1" a="1"/>
  <c r="H810" i="1" a="1"/>
  <c r="H797" i="1" a="1"/>
  <c r="H791" i="1" a="1"/>
  <c r="H784" i="1" a="1"/>
  <c r="H778" i="1" a="1"/>
  <c r="H765" i="1" a="1"/>
  <c r="H759" i="1" a="1"/>
  <c r="H752" i="1" a="1"/>
  <c r="H746" i="1" a="1"/>
  <c r="H733" i="1" a="1"/>
  <c r="H727" i="1" a="1"/>
  <c r="H720" i="1" a="1"/>
  <c r="H714" i="1" a="1"/>
  <c r="H701" i="1" a="1"/>
  <c r="H695" i="1" a="1"/>
  <c r="H688" i="1" a="1"/>
  <c r="H682" i="1" a="1"/>
  <c r="H669" i="1" a="1"/>
  <c r="H663" i="1" a="1"/>
  <c r="H656" i="1" a="1"/>
  <c r="H650" i="1" a="1"/>
  <c r="H637" i="1" a="1"/>
  <c r="H631" i="1" a="1"/>
  <c r="H624" i="1" a="1"/>
  <c r="H618" i="1" a="1"/>
  <c r="H605" i="1" a="1"/>
  <c r="H599" i="1" a="1"/>
  <c r="H592" i="1" a="1"/>
  <c r="H586" i="1" a="1"/>
  <c r="H573" i="1" a="1"/>
  <c r="H567" i="1" a="1"/>
  <c r="H560" i="1" a="1"/>
  <c r="H554" i="1" a="1"/>
  <c r="H541" i="1" a="1"/>
  <c r="H535" i="1" a="1"/>
  <c r="H528" i="1" a="1"/>
  <c r="H522" i="1" a="1"/>
  <c r="H509" i="1" a="1"/>
  <c r="H503" i="1" a="1"/>
  <c r="H496" i="1" a="1"/>
  <c r="H490" i="1" a="1"/>
  <c r="H484" i="1" a="1"/>
  <c r="H480" i="1" a="1"/>
  <c r="H476" i="1" a="1"/>
  <c r="H472" i="1" a="1"/>
  <c r="H468" i="1" a="1"/>
  <c r="H464" i="1" a="1"/>
  <c r="H460" i="1" a="1"/>
  <c r="H456" i="1" a="1"/>
  <c r="H452" i="1" a="1"/>
  <c r="H448" i="1" a="1"/>
  <c r="H444" i="1" a="1"/>
  <c r="H440" i="1" a="1"/>
  <c r="H436" i="1" a="1"/>
  <c r="H432" i="1" a="1"/>
  <c r="H428" i="1" a="1"/>
  <c r="H424" i="1" a="1"/>
  <c r="H420" i="1" a="1"/>
  <c r="H416" i="1" a="1"/>
  <c r="H412" i="1" a="1"/>
  <c r="H1334" i="1" a="1"/>
  <c r="H1200" i="1" a="1"/>
  <c r="H1160" i="1" a="1"/>
  <c r="H1106" i="1" a="1"/>
  <c r="H1080" i="1" a="1"/>
  <c r="H1059" i="1" a="1"/>
  <c r="H1043" i="1" a="1"/>
  <c r="H1027" i="1" a="1"/>
  <c r="H1011" i="1" a="1"/>
  <c r="H995" i="1" a="1"/>
  <c r="H979" i="1" a="1"/>
  <c r="H963" i="1" a="1"/>
  <c r="H947" i="1" a="1"/>
  <c r="H931" i="1" a="1"/>
  <c r="H915" i="1" a="1"/>
  <c r="H899" i="1" a="1"/>
  <c r="H883" i="1" a="1"/>
  <c r="H867" i="1" a="1"/>
  <c r="H851" i="1" a="1"/>
  <c r="H835" i="1" a="1"/>
  <c r="H809" i="1" a="1"/>
  <c r="H803" i="1" a="1"/>
  <c r="H796" i="1" a="1"/>
  <c r="H790" i="1" a="1"/>
  <c r="H777" i="1" a="1"/>
  <c r="H771" i="1" a="1"/>
  <c r="H764" i="1" a="1"/>
  <c r="H758" i="1" a="1"/>
  <c r="H745" i="1" a="1"/>
  <c r="H739" i="1" a="1"/>
  <c r="H732" i="1" a="1"/>
  <c r="H726" i="1" a="1"/>
  <c r="H713" i="1" a="1"/>
  <c r="H707" i="1" a="1"/>
  <c r="H700" i="1" a="1"/>
  <c r="H694" i="1" a="1"/>
  <c r="H681" i="1" a="1"/>
  <c r="H675" i="1" a="1"/>
  <c r="H668" i="1" a="1"/>
  <c r="H662" i="1" a="1"/>
  <c r="H649" i="1" a="1"/>
  <c r="H643" i="1" a="1"/>
  <c r="H636" i="1" a="1"/>
  <c r="H1420" i="1" a="1"/>
  <c r="H1153" i="1" a="1"/>
  <c r="H815" i="1" a="1"/>
  <c r="H789" i="1" a="1"/>
  <c r="H738" i="1" a="1"/>
  <c r="H712" i="1" a="1"/>
  <c r="H687" i="1" a="1"/>
  <c r="H661" i="1" a="1"/>
  <c r="H617" i="1" a="1"/>
  <c r="H603" i="1" a="1"/>
  <c r="H584" i="1" a="1"/>
  <c r="H566" i="1" a="1"/>
  <c r="H533" i="1" a="1"/>
  <c r="H515" i="1" a="1"/>
  <c r="H500" i="1" a="1"/>
  <c r="H483" i="1" a="1"/>
  <c r="H451" i="1" a="1"/>
  <c r="H419" i="1" a="1"/>
  <c r="H408" i="1" a="1"/>
  <c r="H400" i="1" a="1"/>
  <c r="H392" i="1" a="1"/>
  <c r="H384" i="1" a="1"/>
  <c r="H376" i="1" a="1"/>
  <c r="H368" i="1" a="1"/>
  <c r="H360" i="1" a="1"/>
  <c r="H352" i="1" a="1"/>
  <c r="H344" i="1" a="1"/>
  <c r="H336" i="1" a="1"/>
  <c r="H328" i="1" a="1"/>
  <c r="H320" i="1" a="1"/>
  <c r="H312" i="1" a="1"/>
  <c r="H304" i="1" a="1"/>
  <c r="H296" i="1" a="1"/>
  <c r="H288" i="1" a="1"/>
  <c r="H280" i="1" a="1"/>
  <c r="H272" i="1" a="1"/>
  <c r="H264" i="1" a="1"/>
  <c r="H256" i="1" a="1"/>
  <c r="H248" i="1" a="1"/>
  <c r="H240" i="1" a="1"/>
  <c r="H232" i="1" a="1"/>
  <c r="H224" i="1" a="1"/>
  <c r="H216" i="1" a="1"/>
  <c r="H208" i="1" a="1"/>
  <c r="H200" i="1" a="1"/>
  <c r="H192" i="1" a="1"/>
  <c r="H184" i="1" a="1"/>
  <c r="H176" i="1" a="1"/>
  <c r="H168" i="1" a="1"/>
  <c r="H160" i="1" a="1"/>
  <c r="H152" i="1" a="1"/>
  <c r="H144" i="1" a="1"/>
  <c r="H136" i="1" a="1"/>
  <c r="H128" i="1" a="1"/>
  <c r="H120" i="1" a="1"/>
  <c r="H112" i="1" a="1"/>
  <c r="H104" i="1" a="1"/>
  <c r="H84" i="1" a="1"/>
  <c r="H81" i="1" a="1"/>
  <c r="H79" i="1" a="1"/>
  <c r="H77" i="1" a="1"/>
  <c r="H75" i="1" a="1"/>
  <c r="H73" i="1" a="1"/>
  <c r="H71" i="1" a="1"/>
  <c r="H1418" i="1" a="1"/>
  <c r="H1152" i="1" a="1"/>
  <c r="H1055" i="1" a="1"/>
  <c r="H991" i="1" a="1"/>
  <c r="H927" i="1" a="1"/>
  <c r="H863" i="1" a="1"/>
  <c r="H814" i="1" a="1"/>
  <c r="H788" i="1" a="1"/>
  <c r="H763" i="1" a="1"/>
  <c r="H737" i="1" a="1"/>
  <c r="H686" i="1" a="1"/>
  <c r="H660" i="1" a="1"/>
  <c r="H635" i="1" a="1"/>
  <c r="H616" i="1" a="1"/>
  <c r="H598" i="1" a="1"/>
  <c r="H565" i="1" a="1"/>
  <c r="H547" i="1" a="1"/>
  <c r="H532" i="1" a="1"/>
  <c r="H514" i="1" a="1"/>
  <c r="H471" i="1" a="1"/>
  <c r="H439" i="1" a="1"/>
  <c r="H90" i="1" a="1"/>
  <c r="H82" i="1" a="1"/>
  <c r="H1126" i="1" a="1"/>
  <c r="H808" i="1" a="1"/>
  <c r="H783" i="1" a="1"/>
  <c r="H757" i="1" a="1"/>
  <c r="H706" i="1" a="1"/>
  <c r="H680" i="1" a="1"/>
  <c r="H655" i="1" a="1"/>
  <c r="H630" i="1" a="1"/>
  <c r="H597" i="1" a="1"/>
  <c r="H579" i="1" a="1"/>
  <c r="H564" i="1" a="1"/>
  <c r="H546" i="1" a="1"/>
  <c r="H513" i="1" a="1"/>
  <c r="H495" i="1" a="1"/>
  <c r="H459" i="1" a="1"/>
  <c r="H427" i="1" a="1"/>
  <c r="H407" i="1" a="1"/>
  <c r="H399" i="1" a="1"/>
  <c r="H391" i="1" a="1"/>
  <c r="H383" i="1" a="1"/>
  <c r="H375" i="1" a="1"/>
  <c r="H367" i="1" a="1"/>
  <c r="H359" i="1" a="1"/>
  <c r="H351" i="1" a="1"/>
  <c r="H343" i="1" a="1"/>
  <c r="H335" i="1" a="1"/>
  <c r="H327" i="1" a="1"/>
  <c r="H319" i="1" a="1"/>
  <c r="H311" i="1" a="1"/>
  <c r="H303" i="1" a="1"/>
  <c r="H295" i="1" a="1"/>
  <c r="H287" i="1" a="1"/>
  <c r="H279" i="1" a="1"/>
  <c r="H271" i="1" a="1"/>
  <c r="H263" i="1" a="1"/>
  <c r="H255" i="1" a="1"/>
  <c r="H247" i="1" a="1"/>
  <c r="H239" i="1" a="1"/>
  <c r="H231" i="1" a="1"/>
  <c r="H223" i="1" a="1"/>
  <c r="H215" i="1" a="1"/>
  <c r="H207" i="1" a="1"/>
  <c r="H199" i="1" a="1"/>
  <c r="H191" i="1" a="1"/>
  <c r="H183" i="1" a="1"/>
  <c r="H175" i="1" a="1"/>
  <c r="H167" i="1" a="1"/>
  <c r="H159" i="1" a="1"/>
  <c r="H151" i="1" a="1"/>
  <c r="H143" i="1" a="1"/>
  <c r="H135" i="1" a="1"/>
  <c r="H127" i="1" a="1"/>
  <c r="H119" i="1" a="1"/>
  <c r="H111" i="1" a="1"/>
  <c r="H103" i="1" a="1"/>
  <c r="H93" i="1" a="1"/>
  <c r="H87" i="1" a="1"/>
  <c r="H68" i="1" a="1"/>
  <c r="H66" i="1" a="1"/>
  <c r="H64" i="1" a="1"/>
  <c r="H62" i="1" a="1"/>
  <c r="H60" i="1" a="1"/>
  <c r="H58" i="1" a="1"/>
  <c r="H56" i="1" a="1"/>
  <c r="H54" i="1" a="1"/>
  <c r="H52" i="1" a="1"/>
  <c r="H50" i="1" a="1"/>
  <c r="H48" i="1" a="1"/>
  <c r="H46" i="1" a="1"/>
  <c r="H44" i="1" a="1"/>
  <c r="H42" i="1" a="1"/>
  <c r="H1309" i="1" a="1"/>
  <c r="H1125" i="1" a="1"/>
  <c r="H1039" i="1" a="1"/>
  <c r="H975" i="1" a="1"/>
  <c r="H911" i="1" a="1"/>
  <c r="H847" i="1" a="1"/>
  <c r="H782" i="1" a="1"/>
  <c r="H756" i="1" a="1"/>
  <c r="H731" i="1" a="1"/>
  <c r="H705" i="1" a="1"/>
  <c r="H654" i="1" a="1"/>
  <c r="H629" i="1" a="1"/>
  <c r="H611" i="1" a="1"/>
  <c r="H596" i="1" a="1"/>
  <c r="H578" i="1" a="1"/>
  <c r="H545" i="1" a="1"/>
  <c r="H527" i="1" a="1"/>
  <c r="H508" i="1" a="1"/>
  <c r="H494" i="1" a="1"/>
  <c r="H479" i="1" a="1"/>
  <c r="H447" i="1" a="1"/>
  <c r="H415" i="1" a="1"/>
  <c r="H96" i="1" a="1"/>
  <c r="H85" i="1" a="1"/>
  <c r="H70" i="1" a="1"/>
  <c r="H1240" i="1" a="1"/>
  <c r="H1100" i="1" a="1"/>
  <c r="H833" i="1" a="1"/>
  <c r="H802" i="1" a="1"/>
  <c r="H776" i="1" a="1"/>
  <c r="H751" i="1" a="1"/>
  <c r="H725" i="1" a="1"/>
  <c r="H674" i="1" a="1"/>
  <c r="H648" i="1" a="1"/>
  <c r="H628" i="1" a="1"/>
  <c r="H610" i="1" a="1"/>
  <c r="H577" i="1" a="1"/>
  <c r="H559" i="1" a="1"/>
  <c r="H540" i="1" a="1"/>
  <c r="H526" i="1" a="1"/>
  <c r="H489" i="1" a="1"/>
  <c r="H467" i="1" a="1"/>
  <c r="H435" i="1" a="1"/>
  <c r="H404" i="1" a="1"/>
  <c r="H396" i="1" a="1"/>
  <c r="H388" i="1" a="1"/>
  <c r="H380" i="1" a="1"/>
  <c r="H372" i="1" a="1"/>
  <c r="H364" i="1" a="1"/>
  <c r="H356" i="1" a="1"/>
  <c r="H348" i="1" a="1"/>
  <c r="H340" i="1" a="1"/>
  <c r="H332" i="1" a="1"/>
  <c r="H324" i="1" a="1"/>
  <c r="H316" i="1" a="1"/>
  <c r="H308" i="1" a="1"/>
  <c r="H300" i="1" a="1"/>
  <c r="H292" i="1" a="1"/>
  <c r="H284" i="1" a="1"/>
  <c r="H276" i="1" a="1"/>
  <c r="H268" i="1" a="1"/>
  <c r="H260" i="1" a="1"/>
  <c r="H252" i="1" a="1"/>
  <c r="H244" i="1" a="1"/>
  <c r="H236" i="1" a="1"/>
  <c r="H228" i="1" a="1"/>
  <c r="H220" i="1" a="1"/>
  <c r="H212" i="1" a="1"/>
  <c r="H204" i="1" a="1"/>
  <c r="H196" i="1" a="1"/>
  <c r="H188" i="1" a="1"/>
  <c r="H180" i="1" a="1"/>
  <c r="H172" i="1" a="1"/>
  <c r="H164" i="1" a="1"/>
  <c r="H156" i="1" a="1"/>
  <c r="H148" i="1" a="1"/>
  <c r="H140" i="1" a="1"/>
  <c r="H132" i="1" a="1"/>
  <c r="H124" i="1" a="1"/>
  <c r="H116" i="1" a="1"/>
  <c r="H108" i="1" a="1"/>
  <c r="H100" i="1" a="1"/>
  <c r="H95" i="1" a="1"/>
  <c r="H83" i="1" a="1"/>
  <c r="H78" i="1" a="1"/>
  <c r="H76" i="1" a="1"/>
  <c r="H74" i="1" a="1"/>
  <c r="H72" i="1" a="1"/>
  <c r="H1023" i="1" a="1"/>
  <c r="H959" i="1" a="1"/>
  <c r="H895" i="1" a="1"/>
  <c r="H801" i="1" a="1"/>
  <c r="H750" i="1" a="1"/>
  <c r="H724" i="1" a="1"/>
  <c r="H699" i="1" a="1"/>
  <c r="H673" i="1" a="1"/>
  <c r="H609" i="1" a="1"/>
  <c r="H591" i="1" a="1"/>
  <c r="H572" i="1" a="1"/>
  <c r="H558" i="1" a="1"/>
  <c r="H521" i="1" a="1"/>
  <c r="H507" i="1" a="1"/>
  <c r="H488" i="1" a="1"/>
  <c r="H455" i="1" a="1"/>
  <c r="H423" i="1" a="1"/>
  <c r="H744" i="1" a="1"/>
  <c r="H642" i="1" a="1"/>
  <c r="H502" i="1" a="1"/>
  <c r="H411" i="1" a="1"/>
  <c r="H379" i="1" a="1"/>
  <c r="H347" i="1" a="1"/>
  <c r="H315" i="1" a="1"/>
  <c r="H283" i="1" a="1"/>
  <c r="H251" i="1" a="1"/>
  <c r="H219" i="1" a="1"/>
  <c r="H187" i="1" a="1"/>
  <c r="H155" i="1" a="1"/>
  <c r="H123" i="1" a="1"/>
  <c r="H65" i="1" a="1"/>
  <c r="H57" i="1" a="1"/>
  <c r="H49" i="1" a="1"/>
  <c r="H13" i="1" a="1"/>
  <c r="H5" i="1" a="1"/>
  <c r="H1189" i="1" a="1"/>
  <c r="H879" i="1" a="1"/>
  <c r="H641" i="1" a="1"/>
  <c r="H571" i="1" a="1"/>
  <c r="H501" i="1" a="1"/>
  <c r="H10" i="1" a="1"/>
  <c r="H1075" i="1" a="1"/>
  <c r="H823" i="1" a="1"/>
  <c r="H719" i="1" a="1"/>
  <c r="H623" i="1" a="1"/>
  <c r="H553" i="1" a="1"/>
  <c r="H443" i="1" a="1"/>
  <c r="H403" i="1" a="1"/>
  <c r="H371" i="1" a="1"/>
  <c r="H339" i="1" a="1"/>
  <c r="H307" i="1" a="1"/>
  <c r="H275" i="1" a="1"/>
  <c r="H243" i="1" a="1"/>
  <c r="H211" i="1" a="1"/>
  <c r="H179" i="1" a="1"/>
  <c r="H147" i="1" a="1"/>
  <c r="H115" i="1" a="1"/>
  <c r="H86" i="1" a="1"/>
  <c r="H63" i="1" a="1"/>
  <c r="H55" i="1" a="1"/>
  <c r="H47" i="1" a="1"/>
  <c r="H41" i="1" a="1"/>
  <c r="H39" i="1" a="1"/>
  <c r="H37" i="1" a="1"/>
  <c r="H35" i="1" a="1"/>
  <c r="H33" i="1" a="1"/>
  <c r="H31" i="1" a="1"/>
  <c r="H29" i="1" a="1"/>
  <c r="H27" i="1" a="1"/>
  <c r="H25" i="1" a="1"/>
  <c r="H23" i="1" a="1"/>
  <c r="H21" i="1" a="1"/>
  <c r="H19" i="1" a="1"/>
  <c r="H17" i="1" a="1"/>
  <c r="H15" i="1" a="1"/>
  <c r="H7" i="1" a="1"/>
  <c r="H1074" i="1" a="1"/>
  <c r="H821" i="1" a="1"/>
  <c r="H718" i="1" a="1"/>
  <c r="H622" i="1" a="1"/>
  <c r="H552" i="1" a="1"/>
  <c r="H12" i="1" a="1"/>
  <c r="H4" i="1" a="1"/>
  <c r="H693" i="1" a="1"/>
  <c r="H604" i="1" a="1"/>
  <c r="H539" i="1" a="1"/>
  <c r="H475" i="1" a="1"/>
  <c r="H395" i="1" a="1"/>
  <c r="H363" i="1" a="1"/>
  <c r="H331" i="1" a="1"/>
  <c r="H299" i="1" a="1"/>
  <c r="H267" i="1" a="1"/>
  <c r="H235" i="1" a="1"/>
  <c r="H203" i="1" a="1"/>
  <c r="H171" i="1" a="1"/>
  <c r="H139" i="1" a="1"/>
  <c r="H107" i="1" a="1"/>
  <c r="H69" i="1" a="1"/>
  <c r="H61" i="1" a="1"/>
  <c r="H53" i="1" a="1"/>
  <c r="H45" i="1" a="1"/>
  <c r="H9" i="1" a="1"/>
  <c r="H1007" i="1" a="1"/>
  <c r="H795" i="1" a="1"/>
  <c r="H692" i="1" a="1"/>
  <c r="H534" i="1" a="1"/>
  <c r="H431" i="1" a="1"/>
  <c r="H88" i="1" a="1"/>
  <c r="H14" i="1" a="1"/>
  <c r="H6" i="1" a="1"/>
  <c r="H770" i="1" a="1"/>
  <c r="H590" i="1" a="1"/>
  <c r="H520" i="1" a="1"/>
  <c r="H387" i="1" a="1"/>
  <c r="H355" i="1" a="1"/>
  <c r="H323" i="1" a="1"/>
  <c r="H291" i="1" a="1"/>
  <c r="H259" i="1" a="1"/>
  <c r="H227" i="1" a="1"/>
  <c r="H195" i="1" a="1"/>
  <c r="H163" i="1" a="1"/>
  <c r="H131" i="1" a="1"/>
  <c r="H99" i="1" a="1"/>
  <c r="H67" i="1" a="1"/>
  <c r="H59" i="1" a="1"/>
  <c r="H51" i="1" a="1"/>
  <c r="H43" i="1" a="1"/>
  <c r="H40" i="1" a="1"/>
  <c r="H38" i="1" a="1"/>
  <c r="H36" i="1" a="1"/>
  <c r="H34" i="1" a="1"/>
  <c r="H32" i="1" a="1"/>
  <c r="H30" i="1" a="1"/>
  <c r="H28" i="1" a="1"/>
  <c r="H26" i="1" a="1"/>
  <c r="H24" i="1" a="1"/>
  <c r="H22" i="1" a="1"/>
  <c r="H943" i="1" a="1"/>
  <c r="H769" i="1" a="1"/>
  <c r="H667" i="1" a="1"/>
  <c r="H585" i="1" a="1"/>
  <c r="H463" i="1" a="1"/>
  <c r="H80" i="1" a="1"/>
  <c r="H20" i="1" a="1"/>
  <c r="H16" i="1" a="1"/>
  <c r="H2" i="1" a="1"/>
  <c r="H3" i="1" a="1"/>
  <c r="H8" i="1" a="1"/>
  <c r="H11" i="1" a="1"/>
  <c r="H18" i="1" a="1"/>
  <c r="H3836" i="1" l="1"/>
  <c r="H3804" i="1"/>
  <c r="H3770" i="1"/>
  <c r="H3731" i="1"/>
  <c r="H3682" i="1"/>
  <c r="H3641" i="1"/>
  <c r="H3540" i="1"/>
  <c r="H3470" i="1"/>
  <c r="H3238" i="1"/>
  <c r="H3184" i="1"/>
  <c r="H3096" i="1"/>
  <c r="H3915" i="1"/>
  <c r="H3899" i="1"/>
  <c r="H3883" i="1"/>
  <c r="H3867" i="1"/>
  <c r="H3851" i="1"/>
  <c r="H3830" i="1"/>
  <c r="H3798" i="1"/>
  <c r="H3775" i="1"/>
  <c r="H3743" i="1"/>
  <c r="H3725" i="1"/>
  <c r="H3625" i="1"/>
  <c r="H3539" i="1"/>
  <c r="H3342" i="1"/>
  <c r="H3206" i="1"/>
  <c r="H3084" i="1"/>
  <c r="H3824" i="1"/>
  <c r="H3769" i="1"/>
  <c r="H3737" i="1"/>
  <c r="H3651" i="1"/>
  <c r="H3566" i="1"/>
  <c r="H3496" i="1"/>
  <c r="H3174" i="1"/>
  <c r="H2851" i="1"/>
  <c r="H3898" i="1"/>
  <c r="H3877" i="1"/>
  <c r="H3861" i="1"/>
  <c r="H3845" i="1"/>
  <c r="H3829" i="1"/>
  <c r="H3813" i="1"/>
  <c r="H3797" i="1"/>
  <c r="H3786" i="1"/>
  <c r="H3774" i="1"/>
  <c r="H3749" i="1"/>
  <c r="H3722" i="1"/>
  <c r="H3706" i="1"/>
  <c r="H3678" i="1"/>
  <c r="H3635" i="1"/>
  <c r="H3608" i="1"/>
  <c r="H3507" i="1"/>
  <c r="H3480" i="1"/>
  <c r="H3294" i="1"/>
  <c r="H3227" i="1"/>
  <c r="H3110" i="1"/>
  <c r="H3022" i="1"/>
  <c r="H2565" i="1"/>
  <c r="H3908" i="1"/>
  <c r="H3892" i="1"/>
  <c r="H3876" i="1"/>
  <c r="H3860" i="1"/>
  <c r="H3844" i="1"/>
  <c r="H3828" i="1"/>
  <c r="H3812" i="1"/>
  <c r="H3796" i="1"/>
  <c r="H3779" i="1"/>
  <c r="H3761" i="1"/>
  <c r="H3754" i="1"/>
  <c r="H3747" i="1"/>
  <c r="H3729" i="1"/>
  <c r="H3662" i="1"/>
  <c r="H3619" i="1"/>
  <c r="H3604" i="1"/>
  <c r="H3592" i="1"/>
  <c r="H3577" i="1"/>
  <c r="H3534" i="1"/>
  <c r="H3491" i="1"/>
  <c r="H3476" i="1"/>
  <c r="H3464" i="1"/>
  <c r="H3449" i="1"/>
  <c r="H3398" i="1"/>
  <c r="H3334" i="1"/>
  <c r="H3270" i="1"/>
  <c r="H3195" i="1"/>
  <c r="H3164" i="1"/>
  <c r="H3066" i="1"/>
  <c r="H2958" i="1"/>
  <c r="H2847" i="1"/>
  <c r="H2695" i="1"/>
  <c r="H2554" i="1"/>
  <c r="H3916" i="1"/>
  <c r="H3884" i="1"/>
  <c r="H3868" i="1"/>
  <c r="H3777" i="1"/>
  <c r="H3745" i="1"/>
  <c r="H3668" i="1"/>
  <c r="H3555" i="1"/>
  <c r="H3513" i="1"/>
  <c r="H3366" i="1"/>
  <c r="H2636" i="1"/>
  <c r="H3905" i="1"/>
  <c r="H3889" i="1"/>
  <c r="H3878" i="1"/>
  <c r="H3862" i="1"/>
  <c r="H3841" i="1"/>
  <c r="H3825" i="1"/>
  <c r="H3809" i="1"/>
  <c r="H3787" i="1"/>
  <c r="H3709" i="1"/>
  <c r="H3667" i="1"/>
  <c r="H3524" i="1"/>
  <c r="H3454" i="1"/>
  <c r="H3121" i="1"/>
  <c r="H2801" i="1"/>
  <c r="H3904" i="1"/>
  <c r="H3872" i="1"/>
  <c r="H3762" i="1"/>
  <c r="H3624" i="1"/>
  <c r="H3508" i="1"/>
  <c r="H3318" i="1"/>
  <c r="H3228" i="1"/>
  <c r="H3120" i="1"/>
  <c r="H2978" i="1"/>
  <c r="H3914" i="1"/>
  <c r="H3893" i="1"/>
  <c r="H3866" i="1"/>
  <c r="H3839" i="1"/>
  <c r="H3802" i="1"/>
  <c r="H2778" i="1"/>
  <c r="H3918" i="1"/>
  <c r="H3902" i="1"/>
  <c r="H3891" i="1"/>
  <c r="H3881" i="1"/>
  <c r="H3870" i="1"/>
  <c r="H3865" i="1"/>
  <c r="H3859" i="1"/>
  <c r="H3854" i="1"/>
  <c r="H3849" i="1"/>
  <c r="H3843" i="1"/>
  <c r="H3838" i="1"/>
  <c r="H3833" i="1"/>
  <c r="H3827" i="1"/>
  <c r="H3822" i="1"/>
  <c r="H3817" i="1"/>
  <c r="H3811" i="1"/>
  <c r="H3806" i="1"/>
  <c r="H3801" i="1"/>
  <c r="H3795" i="1"/>
  <c r="H3790" i="1"/>
  <c r="H3785" i="1"/>
  <c r="H3773" i="1"/>
  <c r="H3766" i="1"/>
  <c r="H3759" i="1"/>
  <c r="H3741" i="1"/>
  <c r="H3734" i="1"/>
  <c r="H3727" i="1"/>
  <c r="H3721" i="1"/>
  <c r="H3713" i="1"/>
  <c r="H3705" i="1"/>
  <c r="H3697" i="1"/>
  <c r="H3686" i="1"/>
  <c r="H3646" i="1"/>
  <c r="H3603" i="1"/>
  <c r="H3588" i="1"/>
  <c r="H3576" i="1"/>
  <c r="H3561" i="1"/>
  <c r="H3518" i="1"/>
  <c r="H3475" i="1"/>
  <c r="H3460" i="1"/>
  <c r="H3448" i="1"/>
  <c r="H3433" i="1"/>
  <c r="H3374" i="1"/>
  <c r="H3310" i="1"/>
  <c r="H3246" i="1"/>
  <c r="H3163" i="1"/>
  <c r="H3132" i="1"/>
  <c r="H3109" i="1"/>
  <c r="H3002" i="1"/>
  <c r="H2894" i="1"/>
  <c r="H2825" i="1"/>
  <c r="H2774" i="1"/>
  <c r="H2691" i="1"/>
  <c r="H3852" i="1"/>
  <c r="H3820" i="1"/>
  <c r="H3857" i="1"/>
  <c r="H3835" i="1"/>
  <c r="H3814" i="1"/>
  <c r="H3793" i="1"/>
  <c r="H3757" i="1"/>
  <c r="H3701" i="1"/>
  <c r="H3652" i="1"/>
  <c r="H3582" i="1"/>
  <c r="H3497" i="1"/>
  <c r="H3406" i="1"/>
  <c r="H3152" i="1"/>
  <c r="H2635" i="1"/>
  <c r="H3840" i="1"/>
  <c r="H3792" i="1"/>
  <c r="H3690" i="1"/>
  <c r="H3636" i="1"/>
  <c r="H3523" i="1"/>
  <c r="H3481" i="1"/>
  <c r="H3382" i="1"/>
  <c r="H2566" i="1"/>
  <c r="H3909" i="1"/>
  <c r="H3887" i="1"/>
  <c r="H3871" i="1"/>
  <c r="H3850" i="1"/>
  <c r="H3818" i="1"/>
  <c r="H3735" i="1"/>
  <c r="H2848" i="1"/>
  <c r="H3907" i="1"/>
  <c r="H3886" i="1"/>
  <c r="H3896" i="1"/>
  <c r="H3880" i="1"/>
  <c r="H3864" i="1"/>
  <c r="H3848" i="1"/>
  <c r="H3832" i="1"/>
  <c r="H3816" i="1"/>
  <c r="H3800" i="1"/>
  <c r="H3784" i="1"/>
  <c r="H3778" i="1"/>
  <c r="H3771" i="1"/>
  <c r="H3753" i="1"/>
  <c r="H3746" i="1"/>
  <c r="H3739" i="1"/>
  <c r="H3673" i="1"/>
  <c r="H3630" i="1"/>
  <c r="H3587" i="1"/>
  <c r="H3572" i="1"/>
  <c r="H3560" i="1"/>
  <c r="H3545" i="1"/>
  <c r="H3502" i="1"/>
  <c r="H3459" i="1"/>
  <c r="H3444" i="1"/>
  <c r="H3432" i="1"/>
  <c r="H3414" i="1"/>
  <c r="H3350" i="1"/>
  <c r="H3286" i="1"/>
  <c r="H3217" i="1"/>
  <c r="H3131" i="1"/>
  <c r="H2938" i="1"/>
  <c r="H2750" i="1"/>
  <c r="H3900" i="1"/>
  <c r="H3788" i="1"/>
  <c r="H3763" i="1"/>
  <c r="H3738" i="1"/>
  <c r="H3656" i="1"/>
  <c r="H3598" i="1"/>
  <c r="H3528" i="1"/>
  <c r="H3427" i="1"/>
  <c r="H3302" i="1"/>
  <c r="H3153" i="1"/>
  <c r="H2749" i="1"/>
  <c r="H3910" i="1"/>
  <c r="H3894" i="1"/>
  <c r="H3873" i="1"/>
  <c r="H3846" i="1"/>
  <c r="H3819" i="1"/>
  <c r="H3803" i="1"/>
  <c r="H3782" i="1"/>
  <c r="H3750" i="1"/>
  <c r="H3717" i="1"/>
  <c r="H3640" i="1"/>
  <c r="H3512" i="1"/>
  <c r="H3278" i="1"/>
  <c r="H3042" i="1"/>
  <c r="H3888" i="1"/>
  <c r="H3856" i="1"/>
  <c r="H3808" i="1"/>
  <c r="H3755" i="1"/>
  <c r="H3730" i="1"/>
  <c r="H3609" i="1"/>
  <c r="H3438" i="1"/>
  <c r="H3254" i="1"/>
  <c r="H2722" i="1"/>
  <c r="H3903" i="1"/>
  <c r="H3882" i="1"/>
  <c r="H3855" i="1"/>
  <c r="H3834" i="1"/>
  <c r="H3823" i="1"/>
  <c r="H3807" i="1"/>
  <c r="H3791" i="1"/>
  <c r="H3781" i="1"/>
  <c r="H3767" i="1"/>
  <c r="H3742" i="1"/>
  <c r="H3714" i="1"/>
  <c r="H3698" i="1"/>
  <c r="H3620" i="1"/>
  <c r="H3593" i="1"/>
  <c r="H3550" i="1"/>
  <c r="H3492" i="1"/>
  <c r="H3465" i="1"/>
  <c r="H3422" i="1"/>
  <c r="H3358" i="1"/>
  <c r="H3196" i="1"/>
  <c r="H3142" i="1"/>
  <c r="H3082" i="1"/>
  <c r="H2914" i="1"/>
  <c r="H2718" i="1"/>
  <c r="H3913" i="1"/>
  <c r="H3897" i="1"/>
  <c r="H3875" i="1"/>
  <c r="H3912" i="1"/>
  <c r="H3917" i="1"/>
  <c r="H3911" i="1"/>
  <c r="H3906" i="1"/>
  <c r="H3901" i="1"/>
  <c r="H3895" i="1"/>
  <c r="H3890" i="1"/>
  <c r="H3885" i="1"/>
  <c r="H3879" i="1"/>
  <c r="H3874" i="1"/>
  <c r="H3869" i="1"/>
  <c r="H3863" i="1"/>
  <c r="H3858" i="1"/>
  <c r="H3853" i="1"/>
  <c r="H3847" i="1"/>
  <c r="H3842" i="1"/>
  <c r="H3837" i="1"/>
  <c r="H3831" i="1"/>
  <c r="H3826" i="1"/>
  <c r="H3821" i="1"/>
  <c r="H3815" i="1"/>
  <c r="H3810" i="1"/>
  <c r="H3805" i="1"/>
  <c r="H3799" i="1"/>
  <c r="H3794" i="1"/>
  <c r="H3789" i="1"/>
  <c r="H3783" i="1"/>
  <c r="H3765" i="1"/>
  <c r="H3758" i="1"/>
  <c r="H3751" i="1"/>
  <c r="H3733" i="1"/>
  <c r="H3726" i="1"/>
  <c r="H3718" i="1"/>
  <c r="H3710" i="1"/>
  <c r="H3702" i="1"/>
  <c r="H3694" i="1"/>
  <c r="H3672" i="1"/>
  <c r="H3657" i="1"/>
  <c r="H3614" i="1"/>
  <c r="H3571" i="1"/>
  <c r="H3556" i="1"/>
  <c r="H3544" i="1"/>
  <c r="H3529" i="1"/>
  <c r="H3486" i="1"/>
  <c r="H3443" i="1"/>
  <c r="H3428" i="1"/>
  <c r="H3390" i="1"/>
  <c r="H3326" i="1"/>
  <c r="H3262" i="1"/>
  <c r="H3216" i="1"/>
  <c r="H3185" i="1"/>
  <c r="H3097" i="1"/>
  <c r="H2874" i="1"/>
  <c r="H2824" i="1"/>
  <c r="H2639" i="1"/>
  <c r="H3650" i="1"/>
  <c r="H3645" i="1"/>
  <c r="H3639" i="1"/>
  <c r="H3634" i="1"/>
  <c r="H3629" i="1"/>
  <c r="H3623" i="1"/>
  <c r="H3613" i="1"/>
  <c r="H3607" i="1"/>
  <c r="H3602" i="1"/>
  <c r="H3597" i="1"/>
  <c r="H3591" i="1"/>
  <c r="H3586" i="1"/>
  <c r="H3581" i="1"/>
  <c r="H3575" i="1"/>
  <c r="H3570" i="1"/>
  <c r="H3565" i="1"/>
  <c r="H3559" i="1"/>
  <c r="H3554" i="1"/>
  <c r="H3549" i="1"/>
  <c r="H3543" i="1"/>
  <c r="H3538" i="1"/>
  <c r="H3533" i="1"/>
  <c r="H3527" i="1"/>
  <c r="H3522" i="1"/>
  <c r="H3517" i="1"/>
  <c r="H3511" i="1"/>
  <c r="H3506" i="1"/>
  <c r="H3501" i="1"/>
  <c r="H3495" i="1"/>
  <c r="H3490" i="1"/>
  <c r="H3485" i="1"/>
  <c r="H3479" i="1"/>
  <c r="H3474" i="1"/>
  <c r="H3469" i="1"/>
  <c r="H3463" i="1"/>
  <c r="H3458" i="1"/>
  <c r="H3453" i="1"/>
  <c r="H3447" i="1"/>
  <c r="H3442" i="1"/>
  <c r="H3437" i="1"/>
  <c r="H3431" i="1"/>
  <c r="H3426" i="1"/>
  <c r="H3421" i="1"/>
  <c r="H3413" i="1"/>
  <c r="H3405" i="1"/>
  <c r="H3397" i="1"/>
  <c r="H3389" i="1"/>
  <c r="H3381" i="1"/>
  <c r="H3373" i="1"/>
  <c r="H3365" i="1"/>
  <c r="H3357" i="1"/>
  <c r="H3349" i="1"/>
  <c r="H3341" i="1"/>
  <c r="H3333" i="1"/>
  <c r="H3325" i="1"/>
  <c r="H3317" i="1"/>
  <c r="H3309" i="1"/>
  <c r="H3301" i="1"/>
  <c r="H3293" i="1"/>
  <c r="H3285" i="1"/>
  <c r="H3277" i="1"/>
  <c r="H3269" i="1"/>
  <c r="H3261" i="1"/>
  <c r="H3253" i="1"/>
  <c r="H3245" i="1"/>
  <c r="H3237" i="1"/>
  <c r="H3226" i="1"/>
  <c r="H3215" i="1"/>
  <c r="H3205" i="1"/>
  <c r="H3194" i="1"/>
  <c r="H3183" i="1"/>
  <c r="H3173" i="1"/>
  <c r="H3162" i="1"/>
  <c r="H3151" i="1"/>
  <c r="H3141" i="1"/>
  <c r="H3130" i="1"/>
  <c r="H3119" i="1"/>
  <c r="H3108" i="1"/>
  <c r="H3062" i="1"/>
  <c r="H2998" i="1"/>
  <c r="H2934" i="1"/>
  <c r="H2870" i="1"/>
  <c r="H2797" i="1"/>
  <c r="H2745" i="1"/>
  <c r="H2690" i="1"/>
  <c r="H2625" i="1"/>
  <c r="H2437" i="1"/>
  <c r="H3693" i="1"/>
  <c r="H3689" i="1"/>
  <c r="H3685" i="1"/>
  <c r="H3681" i="1"/>
  <c r="H3677" i="1"/>
  <c r="H3671" i="1"/>
  <c r="H3666" i="1"/>
  <c r="H3661" i="1"/>
  <c r="H3655" i="1"/>
  <c r="H3618" i="1"/>
  <c r="H3676" i="1"/>
  <c r="H3660" i="1"/>
  <c r="H3644" i="1"/>
  <c r="H3628" i="1"/>
  <c r="H3612" i="1"/>
  <c r="H3596" i="1"/>
  <c r="H3580" i="1"/>
  <c r="H3564" i="1"/>
  <c r="H3548" i="1"/>
  <c r="H3532" i="1"/>
  <c r="H3516" i="1"/>
  <c r="H3500" i="1"/>
  <c r="H3484" i="1"/>
  <c r="H3468" i="1"/>
  <c r="H3452" i="1"/>
  <c r="H3436" i="1"/>
  <c r="H3212" i="1"/>
  <c r="H3180" i="1"/>
  <c r="H3148" i="1"/>
  <c r="H3116" i="1"/>
  <c r="H3104" i="1"/>
  <c r="H3076" i="1"/>
  <c r="H3034" i="1"/>
  <c r="H2970" i="1"/>
  <c r="H2906" i="1"/>
  <c r="H2838" i="1"/>
  <c r="H2765" i="1"/>
  <c r="H2738" i="1"/>
  <c r="H2707" i="1"/>
  <c r="H2675" i="1"/>
  <c r="H2607" i="1"/>
  <c r="H2515" i="1"/>
  <c r="H3776" i="1"/>
  <c r="H3768" i="1"/>
  <c r="H3760" i="1"/>
  <c r="H3752" i="1"/>
  <c r="H3744" i="1"/>
  <c r="H3736" i="1"/>
  <c r="H3728" i="1"/>
  <c r="H3720" i="1"/>
  <c r="H3712" i="1"/>
  <c r="H3704" i="1"/>
  <c r="H3700" i="1"/>
  <c r="H3696" i="1"/>
  <c r="H3692" i="1"/>
  <c r="H3688" i="1"/>
  <c r="H3684" i="1"/>
  <c r="H3675" i="1"/>
  <c r="H3670" i="1"/>
  <c r="H3665" i="1"/>
  <c r="H3659" i="1"/>
  <c r="H3654" i="1"/>
  <c r="H3649" i="1"/>
  <c r="H3643" i="1"/>
  <c r="H3638" i="1"/>
  <c r="H3633" i="1"/>
  <c r="H3627" i="1"/>
  <c r="H3622" i="1"/>
  <c r="H3617" i="1"/>
  <c r="H3611" i="1"/>
  <c r="H3606" i="1"/>
  <c r="H3601" i="1"/>
  <c r="H3595" i="1"/>
  <c r="H3590" i="1"/>
  <c r="H3585" i="1"/>
  <c r="H3579" i="1"/>
  <c r="H3574" i="1"/>
  <c r="H3569" i="1"/>
  <c r="H3563" i="1"/>
  <c r="H3558" i="1"/>
  <c r="H3553" i="1"/>
  <c r="H3547" i="1"/>
  <c r="H3542" i="1"/>
  <c r="H3537" i="1"/>
  <c r="H3531" i="1"/>
  <c r="H3526" i="1"/>
  <c r="H3521" i="1"/>
  <c r="H3515" i="1"/>
  <c r="H3510" i="1"/>
  <c r="H3505" i="1"/>
  <c r="H3499" i="1"/>
  <c r="H3494" i="1"/>
  <c r="H3489" i="1"/>
  <c r="H3483" i="1"/>
  <c r="H3478" i="1"/>
  <c r="H3473" i="1"/>
  <c r="H3467" i="1"/>
  <c r="H3462" i="1"/>
  <c r="H3457" i="1"/>
  <c r="H3451" i="1"/>
  <c r="H3446" i="1"/>
  <c r="H3441" i="1"/>
  <c r="H3435" i="1"/>
  <c r="H3430" i="1"/>
  <c r="H3425" i="1"/>
  <c r="H3418" i="1"/>
  <c r="H3410" i="1"/>
  <c r="H3402" i="1"/>
  <c r="H3394" i="1"/>
  <c r="H3386" i="1"/>
  <c r="H3378" i="1"/>
  <c r="H3370" i="1"/>
  <c r="H3362" i="1"/>
  <c r="H3354" i="1"/>
  <c r="H3346" i="1"/>
  <c r="H3338" i="1"/>
  <c r="H3330" i="1"/>
  <c r="H3322" i="1"/>
  <c r="H3314" i="1"/>
  <c r="H3306" i="1"/>
  <c r="H3298" i="1"/>
  <c r="H3290" i="1"/>
  <c r="H3282" i="1"/>
  <c r="H3274" i="1"/>
  <c r="H3266" i="1"/>
  <c r="H3258" i="1"/>
  <c r="H3250" i="1"/>
  <c r="H3242" i="1"/>
  <c r="H3233" i="1"/>
  <c r="H3222" i="1"/>
  <c r="H3211" i="1"/>
  <c r="H3201" i="1"/>
  <c r="H3190" i="1"/>
  <c r="H3179" i="1"/>
  <c r="H3169" i="1"/>
  <c r="H3158" i="1"/>
  <c r="H3147" i="1"/>
  <c r="H3137" i="1"/>
  <c r="H3126" i="1"/>
  <c r="H3115" i="1"/>
  <c r="H3090" i="1"/>
  <c r="H3054" i="1"/>
  <c r="H2990" i="1"/>
  <c r="H2926" i="1"/>
  <c r="H2861" i="1"/>
  <c r="H2811" i="1"/>
  <c r="H2788" i="1"/>
  <c r="H2734" i="1"/>
  <c r="H2597" i="1"/>
  <c r="H2514" i="1"/>
  <c r="H2357" i="1"/>
  <c r="H3780" i="1"/>
  <c r="H3772" i="1"/>
  <c r="H3764" i="1"/>
  <c r="H3756" i="1"/>
  <c r="H3748" i="1"/>
  <c r="H3740" i="1"/>
  <c r="H3732" i="1"/>
  <c r="H3724" i="1"/>
  <c r="H3716" i="1"/>
  <c r="H3708" i="1"/>
  <c r="H3680" i="1"/>
  <c r="H3664" i="1"/>
  <c r="H3648" i="1"/>
  <c r="H3632" i="1"/>
  <c r="H3616" i="1"/>
  <c r="H3600" i="1"/>
  <c r="H3584" i="1"/>
  <c r="H3568" i="1"/>
  <c r="H3552" i="1"/>
  <c r="H3536" i="1"/>
  <c r="H3520" i="1"/>
  <c r="H3504" i="1"/>
  <c r="H3488" i="1"/>
  <c r="H3472" i="1"/>
  <c r="H3456" i="1"/>
  <c r="H3440" i="1"/>
  <c r="H3424" i="1"/>
  <c r="H3232" i="1"/>
  <c r="H3200" i="1"/>
  <c r="H3168" i="1"/>
  <c r="H3136" i="1"/>
  <c r="H3102" i="1"/>
  <c r="H3074" i="1"/>
  <c r="H3010" i="1"/>
  <c r="H2946" i="1"/>
  <c r="H2882" i="1"/>
  <c r="H2834" i="1"/>
  <c r="H2787" i="1"/>
  <c r="H2761" i="1"/>
  <c r="H2706" i="1"/>
  <c r="H2666" i="1"/>
  <c r="H2512" i="1"/>
  <c r="H3723" i="1"/>
  <c r="H3719" i="1"/>
  <c r="H3715" i="1"/>
  <c r="H3711" i="1"/>
  <c r="H3707" i="1"/>
  <c r="H3703" i="1"/>
  <c r="H3699" i="1"/>
  <c r="H3695" i="1"/>
  <c r="H3691" i="1"/>
  <c r="H3687" i="1"/>
  <c r="H3683" i="1"/>
  <c r="H3679" i="1"/>
  <c r="H3674" i="1"/>
  <c r="H3669" i="1"/>
  <c r="H3663" i="1"/>
  <c r="H3658" i="1"/>
  <c r="H3653" i="1"/>
  <c r="H3647" i="1"/>
  <c r="H3642" i="1"/>
  <c r="H3637" i="1"/>
  <c r="H3631" i="1"/>
  <c r="H3626" i="1"/>
  <c r="H3621" i="1"/>
  <c r="H3615" i="1"/>
  <c r="H3610" i="1"/>
  <c r="H3605" i="1"/>
  <c r="H3599" i="1"/>
  <c r="H3594" i="1"/>
  <c r="H3589" i="1"/>
  <c r="H3583" i="1"/>
  <c r="H3578" i="1"/>
  <c r="H3573" i="1"/>
  <c r="H3567" i="1"/>
  <c r="H3562" i="1"/>
  <c r="H3557" i="1"/>
  <c r="H3551" i="1"/>
  <c r="H3546" i="1"/>
  <c r="H3541" i="1"/>
  <c r="H3535" i="1"/>
  <c r="H3530" i="1"/>
  <c r="H3525" i="1"/>
  <c r="H3519" i="1"/>
  <c r="H3514" i="1"/>
  <c r="H3509" i="1"/>
  <c r="H3503" i="1"/>
  <c r="H3498" i="1"/>
  <c r="H3493" i="1"/>
  <c r="H3487" i="1"/>
  <c r="H3482" i="1"/>
  <c r="H3477" i="1"/>
  <c r="H3471" i="1"/>
  <c r="H3466" i="1"/>
  <c r="H3461" i="1"/>
  <c r="H3455" i="1"/>
  <c r="H3450" i="1"/>
  <c r="H3445" i="1"/>
  <c r="H3439" i="1"/>
  <c r="H3434" i="1"/>
  <c r="H3429" i="1"/>
  <c r="H3423" i="1"/>
  <c r="H3417" i="1"/>
  <c r="H3409" i="1"/>
  <c r="H3401" i="1"/>
  <c r="H3393" i="1"/>
  <c r="H3385" i="1"/>
  <c r="H3377" i="1"/>
  <c r="H3369" i="1"/>
  <c r="H3361" i="1"/>
  <c r="H3353" i="1"/>
  <c r="H3345" i="1"/>
  <c r="H3337" i="1"/>
  <c r="H3329" i="1"/>
  <c r="H3321" i="1"/>
  <c r="H3313" i="1"/>
  <c r="H3305" i="1"/>
  <c r="H3297" i="1"/>
  <c r="H3289" i="1"/>
  <c r="H3281" i="1"/>
  <c r="H3273" i="1"/>
  <c r="H3265" i="1"/>
  <c r="H3257" i="1"/>
  <c r="H3249" i="1"/>
  <c r="H3241" i="1"/>
  <c r="H3231" i="1"/>
  <c r="H3221" i="1"/>
  <c r="H3210" i="1"/>
  <c r="H3199" i="1"/>
  <c r="H3189" i="1"/>
  <c r="H3178" i="1"/>
  <c r="H3167" i="1"/>
  <c r="H3157" i="1"/>
  <c r="H3146" i="1"/>
  <c r="H3135" i="1"/>
  <c r="H3125" i="1"/>
  <c r="H3114" i="1"/>
  <c r="H3089" i="1"/>
  <c r="H3030" i="1"/>
  <c r="H2966" i="1"/>
  <c r="H2902" i="1"/>
  <c r="H2857" i="1"/>
  <c r="H2810" i="1"/>
  <c r="H2784" i="1"/>
  <c r="H2733" i="1"/>
  <c r="H2702" i="1"/>
  <c r="H2665" i="1"/>
  <c r="H2593" i="1"/>
  <c r="H2496" i="1"/>
  <c r="H2326" i="1"/>
  <c r="H3236" i="1"/>
  <c r="H3220" i="1"/>
  <c r="H3204" i="1"/>
  <c r="H3188" i="1"/>
  <c r="H3172" i="1"/>
  <c r="H3156" i="1"/>
  <c r="H3140" i="1"/>
  <c r="H3124" i="1"/>
  <c r="H3101" i="1"/>
  <c r="H3094" i="1"/>
  <c r="H3088" i="1"/>
  <c r="H3080" i="1"/>
  <c r="H3050" i="1"/>
  <c r="H3018" i="1"/>
  <c r="H2986" i="1"/>
  <c r="H2954" i="1"/>
  <c r="H2922" i="1"/>
  <c r="H2890" i="1"/>
  <c r="H2843" i="1"/>
  <c r="H2833" i="1"/>
  <c r="H2820" i="1"/>
  <c r="H2783" i="1"/>
  <c r="H2770" i="1"/>
  <c r="H2759" i="1"/>
  <c r="H2729" i="1"/>
  <c r="H2717" i="1"/>
  <c r="H2623" i="1"/>
  <c r="H2582" i="1"/>
  <c r="H2550" i="1"/>
  <c r="H2491" i="1"/>
  <c r="H2321" i="1"/>
  <c r="H3420" i="1"/>
  <c r="H3416" i="1"/>
  <c r="H3412" i="1"/>
  <c r="H3408" i="1"/>
  <c r="H3404" i="1"/>
  <c r="H3400" i="1"/>
  <c r="H3396" i="1"/>
  <c r="H3392" i="1"/>
  <c r="H3388" i="1"/>
  <c r="H3384" i="1"/>
  <c r="H3380" i="1"/>
  <c r="H3376" i="1"/>
  <c r="H3372" i="1"/>
  <c r="H3368" i="1"/>
  <c r="H3364" i="1"/>
  <c r="H3360" i="1"/>
  <c r="H3356" i="1"/>
  <c r="H3352" i="1"/>
  <c r="H3348" i="1"/>
  <c r="H3344" i="1"/>
  <c r="H3340" i="1"/>
  <c r="H3336" i="1"/>
  <c r="H3332" i="1"/>
  <c r="H3328" i="1"/>
  <c r="H3324" i="1"/>
  <c r="H3320" i="1"/>
  <c r="H3316" i="1"/>
  <c r="H3312" i="1"/>
  <c r="H3308" i="1"/>
  <c r="H3304" i="1"/>
  <c r="H3300" i="1"/>
  <c r="H3296" i="1"/>
  <c r="H3292" i="1"/>
  <c r="H3288" i="1"/>
  <c r="H3284" i="1"/>
  <c r="H3280" i="1"/>
  <c r="H3276" i="1"/>
  <c r="H3272" i="1"/>
  <c r="H3268" i="1"/>
  <c r="H3264" i="1"/>
  <c r="H3260" i="1"/>
  <c r="H3256" i="1"/>
  <c r="H3252" i="1"/>
  <c r="H3248" i="1"/>
  <c r="H3244" i="1"/>
  <c r="H3240" i="1"/>
  <c r="H3235" i="1"/>
  <c r="H3230" i="1"/>
  <c r="H3225" i="1"/>
  <c r="H3219" i="1"/>
  <c r="H3214" i="1"/>
  <c r="H3209" i="1"/>
  <c r="H3203" i="1"/>
  <c r="H3198" i="1"/>
  <c r="H3193" i="1"/>
  <c r="H3187" i="1"/>
  <c r="H3182" i="1"/>
  <c r="H3177" i="1"/>
  <c r="H3171" i="1"/>
  <c r="H3166" i="1"/>
  <c r="H3161" i="1"/>
  <c r="H3155" i="1"/>
  <c r="H3150" i="1"/>
  <c r="H3145" i="1"/>
  <c r="H3139" i="1"/>
  <c r="H3134" i="1"/>
  <c r="H3129" i="1"/>
  <c r="H3123" i="1"/>
  <c r="H3118" i="1"/>
  <c r="H3113" i="1"/>
  <c r="H3106" i="1"/>
  <c r="H3100" i="1"/>
  <c r="H3070" i="1"/>
  <c r="H3038" i="1"/>
  <c r="H3006" i="1"/>
  <c r="H2974" i="1"/>
  <c r="H2942" i="1"/>
  <c r="H2910" i="1"/>
  <c r="H2878" i="1"/>
  <c r="H2866" i="1"/>
  <c r="H2856" i="1"/>
  <c r="H2819" i="1"/>
  <c r="H2806" i="1"/>
  <c r="H2793" i="1"/>
  <c r="H2755" i="1"/>
  <c r="H2743" i="1"/>
  <c r="H2713" i="1"/>
  <c r="H2701" i="1"/>
  <c r="H2652" i="1"/>
  <c r="H2620" i="1"/>
  <c r="H2581" i="1"/>
  <c r="H2535" i="1"/>
  <c r="H2291" i="1"/>
  <c r="H3224" i="1"/>
  <c r="H3208" i="1"/>
  <c r="H3192" i="1"/>
  <c r="H3176" i="1"/>
  <c r="H3160" i="1"/>
  <c r="H3144" i="1"/>
  <c r="H3128" i="1"/>
  <c r="H3112" i="1"/>
  <c r="H3093" i="1"/>
  <c r="H3086" i="1"/>
  <c r="H3078" i="1"/>
  <c r="H3058" i="1"/>
  <c r="H3026" i="1"/>
  <c r="H2994" i="1"/>
  <c r="H2962" i="1"/>
  <c r="H2930" i="1"/>
  <c r="H2898" i="1"/>
  <c r="H2842" i="1"/>
  <c r="H2829" i="1"/>
  <c r="H2816" i="1"/>
  <c r="H2779" i="1"/>
  <c r="H2769" i="1"/>
  <c r="H2739" i="1"/>
  <c r="H2727" i="1"/>
  <c r="H2697" i="1"/>
  <c r="H2683" i="1"/>
  <c r="H2651" i="1"/>
  <c r="H2534" i="1"/>
  <c r="H2474" i="1"/>
  <c r="H3419" i="1"/>
  <c r="H3415" i="1"/>
  <c r="H3411" i="1"/>
  <c r="H3407" i="1"/>
  <c r="H3403" i="1"/>
  <c r="H3399" i="1"/>
  <c r="H3395" i="1"/>
  <c r="H3391" i="1"/>
  <c r="H3387" i="1"/>
  <c r="H3383" i="1"/>
  <c r="H3379" i="1"/>
  <c r="H3375" i="1"/>
  <c r="H3371" i="1"/>
  <c r="H3367" i="1"/>
  <c r="H3363" i="1"/>
  <c r="H3359" i="1"/>
  <c r="H3355" i="1"/>
  <c r="H3351" i="1"/>
  <c r="H3347" i="1"/>
  <c r="H3343" i="1"/>
  <c r="H3339" i="1"/>
  <c r="H3335" i="1"/>
  <c r="H3331" i="1"/>
  <c r="H3327" i="1"/>
  <c r="H3323" i="1"/>
  <c r="H3319" i="1"/>
  <c r="H3315" i="1"/>
  <c r="H3311" i="1"/>
  <c r="H3307" i="1"/>
  <c r="H3303" i="1"/>
  <c r="H3299" i="1"/>
  <c r="H3295" i="1"/>
  <c r="H3291" i="1"/>
  <c r="H3287" i="1"/>
  <c r="H3283" i="1"/>
  <c r="H3279" i="1"/>
  <c r="H3275" i="1"/>
  <c r="H3271" i="1"/>
  <c r="H3267" i="1"/>
  <c r="H3263" i="1"/>
  <c r="H3259" i="1"/>
  <c r="H3255" i="1"/>
  <c r="H3251" i="1"/>
  <c r="H3247" i="1"/>
  <c r="H3243" i="1"/>
  <c r="H3239" i="1"/>
  <c r="H3234" i="1"/>
  <c r="H3229" i="1"/>
  <c r="H3223" i="1"/>
  <c r="H3218" i="1"/>
  <c r="H3213" i="1"/>
  <c r="H3207" i="1"/>
  <c r="H3202" i="1"/>
  <c r="H3197" i="1"/>
  <c r="H3191" i="1"/>
  <c r="H3186" i="1"/>
  <c r="H3181" i="1"/>
  <c r="H3175" i="1"/>
  <c r="H3170" i="1"/>
  <c r="H3165" i="1"/>
  <c r="H3159" i="1"/>
  <c r="H3154" i="1"/>
  <c r="H3149" i="1"/>
  <c r="H3143" i="1"/>
  <c r="H3138" i="1"/>
  <c r="H3133" i="1"/>
  <c r="H3127" i="1"/>
  <c r="H3122" i="1"/>
  <c r="H3117" i="1"/>
  <c r="H3105" i="1"/>
  <c r="H3098" i="1"/>
  <c r="H3092" i="1"/>
  <c r="H3046" i="1"/>
  <c r="H3014" i="1"/>
  <c r="H2982" i="1"/>
  <c r="H2950" i="1"/>
  <c r="H2918" i="1"/>
  <c r="H2886" i="1"/>
  <c r="H2865" i="1"/>
  <c r="H2852" i="1"/>
  <c r="H2815" i="1"/>
  <c r="H2802" i="1"/>
  <c r="H2792" i="1"/>
  <c r="H2754" i="1"/>
  <c r="H2723" i="1"/>
  <c r="H2711" i="1"/>
  <c r="H2677" i="1"/>
  <c r="H2650" i="1"/>
  <c r="H2609" i="1"/>
  <c r="H2529" i="1"/>
  <c r="H2470" i="1"/>
  <c r="H2368" i="1"/>
  <c r="H2275" i="1"/>
  <c r="H3085" i="1"/>
  <c r="H3081" i="1"/>
  <c r="H3077" i="1"/>
  <c r="H3073" i="1"/>
  <c r="H3069" i="1"/>
  <c r="H3065" i="1"/>
  <c r="H3061" i="1"/>
  <c r="H3057" i="1"/>
  <c r="H3053" i="1"/>
  <c r="H3049" i="1"/>
  <c r="H3045" i="1"/>
  <c r="H3041" i="1"/>
  <c r="H3037" i="1"/>
  <c r="H3033" i="1"/>
  <c r="H3029" i="1"/>
  <c r="H3025" i="1"/>
  <c r="H3021" i="1"/>
  <c r="H3017" i="1"/>
  <c r="H3013" i="1"/>
  <c r="H3009" i="1"/>
  <c r="H3005" i="1"/>
  <c r="H3001" i="1"/>
  <c r="H2997" i="1"/>
  <c r="H2993" i="1"/>
  <c r="H2989" i="1"/>
  <c r="H2985" i="1"/>
  <c r="H2981" i="1"/>
  <c r="H2977" i="1"/>
  <c r="H2973" i="1"/>
  <c r="H2969" i="1"/>
  <c r="H2965" i="1"/>
  <c r="H2961" i="1"/>
  <c r="H2957" i="1"/>
  <c r="H2953" i="1"/>
  <c r="H2949" i="1"/>
  <c r="H2945" i="1"/>
  <c r="H2941" i="1"/>
  <c r="H2937" i="1"/>
  <c r="H2933" i="1"/>
  <c r="H2929" i="1"/>
  <c r="H2925" i="1"/>
  <c r="H2921" i="1"/>
  <c r="H2917" i="1"/>
  <c r="H2913" i="1"/>
  <c r="H2909" i="1"/>
  <c r="H2905" i="1"/>
  <c r="H2901" i="1"/>
  <c r="H2897" i="1"/>
  <c r="H2893" i="1"/>
  <c r="H2889" i="1"/>
  <c r="H2885" i="1"/>
  <c r="H2881" i="1"/>
  <c r="H2877" i="1"/>
  <c r="H2873" i="1"/>
  <c r="H2869" i="1"/>
  <c r="H2860" i="1"/>
  <c r="H2855" i="1"/>
  <c r="H2846" i="1"/>
  <c r="H2837" i="1"/>
  <c r="H2828" i="1"/>
  <c r="H2823" i="1"/>
  <c r="H2814" i="1"/>
  <c r="H2805" i="1"/>
  <c r="H2796" i="1"/>
  <c r="H2791" i="1"/>
  <c r="H2782" i="1"/>
  <c r="H2773" i="1"/>
  <c r="H2764" i="1"/>
  <c r="H2673" i="1"/>
  <c r="H2662" i="1"/>
  <c r="H2634" i="1"/>
  <c r="H2619" i="1"/>
  <c r="H2604" i="1"/>
  <c r="H2591" i="1"/>
  <c r="H2577" i="1"/>
  <c r="H2548" i="1"/>
  <c r="H2528" i="1"/>
  <c r="H2487" i="1"/>
  <c r="H2463" i="1"/>
  <c r="H2427" i="1"/>
  <c r="H2353" i="1"/>
  <c r="H2864" i="1"/>
  <c r="H2859" i="1"/>
  <c r="H2850" i="1"/>
  <c r="H2841" i="1"/>
  <c r="H2832" i="1"/>
  <c r="H2827" i="1"/>
  <c r="H2818" i="1"/>
  <c r="H2809" i="1"/>
  <c r="H2800" i="1"/>
  <c r="H2795" i="1"/>
  <c r="H2786" i="1"/>
  <c r="H2777" i="1"/>
  <c r="H2768" i="1"/>
  <c r="H2763" i="1"/>
  <c r="H2758" i="1"/>
  <c r="H2753" i="1"/>
  <c r="H2747" i="1"/>
  <c r="H2742" i="1"/>
  <c r="H2737" i="1"/>
  <c r="H2731" i="1"/>
  <c r="H2726" i="1"/>
  <c r="H2721" i="1"/>
  <c r="H2715" i="1"/>
  <c r="H2710" i="1"/>
  <c r="H2705" i="1"/>
  <c r="H2699" i="1"/>
  <c r="H2694" i="1"/>
  <c r="H2671" i="1"/>
  <c r="H2661" i="1"/>
  <c r="H2646" i="1"/>
  <c r="H2618" i="1"/>
  <c r="H2603" i="1"/>
  <c r="H2588" i="1"/>
  <c r="H2575" i="1"/>
  <c r="H2561" i="1"/>
  <c r="H2527" i="1"/>
  <c r="H2507" i="1"/>
  <c r="H2482" i="1"/>
  <c r="H2459" i="1"/>
  <c r="H2384" i="1"/>
  <c r="H3072" i="1"/>
  <c r="H3068" i="1"/>
  <c r="H3064" i="1"/>
  <c r="H3060" i="1"/>
  <c r="H3056" i="1"/>
  <c r="H3052" i="1"/>
  <c r="H3048" i="1"/>
  <c r="H3044" i="1"/>
  <c r="H3040" i="1"/>
  <c r="H3036" i="1"/>
  <c r="H3032" i="1"/>
  <c r="H3028" i="1"/>
  <c r="H3024" i="1"/>
  <c r="H3020" i="1"/>
  <c r="H3016" i="1"/>
  <c r="H3012" i="1"/>
  <c r="H3008" i="1"/>
  <c r="H3004" i="1"/>
  <c r="H3000" i="1"/>
  <c r="H2996" i="1"/>
  <c r="H2992" i="1"/>
  <c r="H2988" i="1"/>
  <c r="H2984" i="1"/>
  <c r="H2980" i="1"/>
  <c r="H2976" i="1"/>
  <c r="H2972" i="1"/>
  <c r="H2968" i="1"/>
  <c r="H2964" i="1"/>
  <c r="H2960" i="1"/>
  <c r="H2956" i="1"/>
  <c r="H2952" i="1"/>
  <c r="H2948" i="1"/>
  <c r="H2944" i="1"/>
  <c r="H2940" i="1"/>
  <c r="H2936" i="1"/>
  <c r="H2932" i="1"/>
  <c r="H2928" i="1"/>
  <c r="H2924" i="1"/>
  <c r="H2920" i="1"/>
  <c r="H2916" i="1"/>
  <c r="H2912" i="1"/>
  <c r="H2908" i="1"/>
  <c r="H2904" i="1"/>
  <c r="H2900" i="1"/>
  <c r="H2896" i="1"/>
  <c r="H2892" i="1"/>
  <c r="H2888" i="1"/>
  <c r="H2884" i="1"/>
  <c r="H2880" i="1"/>
  <c r="H2876" i="1"/>
  <c r="H2872" i="1"/>
  <c r="H2868" i="1"/>
  <c r="H2863" i="1"/>
  <c r="H2854" i="1"/>
  <c r="H2845" i="1"/>
  <c r="H2836" i="1"/>
  <c r="H2831" i="1"/>
  <c r="H2822" i="1"/>
  <c r="H2813" i="1"/>
  <c r="H2804" i="1"/>
  <c r="H2799" i="1"/>
  <c r="H2790" i="1"/>
  <c r="H2781" i="1"/>
  <c r="H2772" i="1"/>
  <c r="H2767" i="1"/>
  <c r="H2687" i="1"/>
  <c r="H2670" i="1"/>
  <c r="H2645" i="1"/>
  <c r="H2630" i="1"/>
  <c r="H2602" i="1"/>
  <c r="H2587" i="1"/>
  <c r="H2572" i="1"/>
  <c r="H2559" i="1"/>
  <c r="H2543" i="1"/>
  <c r="H2506" i="1"/>
  <c r="H2481" i="1"/>
  <c r="H2453" i="1"/>
  <c r="H2422" i="1"/>
  <c r="H2342" i="1"/>
  <c r="H2309" i="1"/>
  <c r="H2867" i="1"/>
  <c r="H2858" i="1"/>
  <c r="H2849" i="1"/>
  <c r="H2840" i="1"/>
  <c r="H2835" i="1"/>
  <c r="H2826" i="1"/>
  <c r="H2817" i="1"/>
  <c r="H2808" i="1"/>
  <c r="H2803" i="1"/>
  <c r="H2794" i="1"/>
  <c r="H2785" i="1"/>
  <c r="H2776" i="1"/>
  <c r="H2771" i="1"/>
  <c r="H2762" i="1"/>
  <c r="H2757" i="1"/>
  <c r="H2751" i="1"/>
  <c r="H2746" i="1"/>
  <c r="H2741" i="1"/>
  <c r="H2735" i="1"/>
  <c r="H2730" i="1"/>
  <c r="H2725" i="1"/>
  <c r="H2719" i="1"/>
  <c r="H2714" i="1"/>
  <c r="H2709" i="1"/>
  <c r="H2703" i="1"/>
  <c r="H2698" i="1"/>
  <c r="H2693" i="1"/>
  <c r="H2668" i="1"/>
  <c r="H2657" i="1"/>
  <c r="H2629" i="1"/>
  <c r="H2614" i="1"/>
  <c r="H2586" i="1"/>
  <c r="H2571" i="1"/>
  <c r="H2556" i="1"/>
  <c r="H2540" i="1"/>
  <c r="H2522" i="1"/>
  <c r="H2500" i="1"/>
  <c r="H2452" i="1"/>
  <c r="H2379" i="1"/>
  <c r="H2341" i="1"/>
  <c r="H2299" i="1"/>
  <c r="H2235" i="1"/>
  <c r="H3111" i="1"/>
  <c r="H3107" i="1"/>
  <c r="H3103" i="1"/>
  <c r="H3099" i="1"/>
  <c r="H3095" i="1"/>
  <c r="H3091" i="1"/>
  <c r="H3087" i="1"/>
  <c r="H3083" i="1"/>
  <c r="H3079" i="1"/>
  <c r="H3075" i="1"/>
  <c r="H3071" i="1"/>
  <c r="H3067" i="1"/>
  <c r="H3063" i="1"/>
  <c r="H3059" i="1"/>
  <c r="H3055" i="1"/>
  <c r="H3051" i="1"/>
  <c r="H3047" i="1"/>
  <c r="H3043" i="1"/>
  <c r="H3039" i="1"/>
  <c r="H3035" i="1"/>
  <c r="H3031" i="1"/>
  <c r="H3027" i="1"/>
  <c r="H3023" i="1"/>
  <c r="H3019" i="1"/>
  <c r="H3015" i="1"/>
  <c r="H3011" i="1"/>
  <c r="H3007" i="1"/>
  <c r="H3003" i="1"/>
  <c r="H2999" i="1"/>
  <c r="H2995" i="1"/>
  <c r="H2991" i="1"/>
  <c r="H2987" i="1"/>
  <c r="H2983" i="1"/>
  <c r="H2979" i="1"/>
  <c r="H2975" i="1"/>
  <c r="H2971" i="1"/>
  <c r="H2967" i="1"/>
  <c r="H2963" i="1"/>
  <c r="H2959" i="1"/>
  <c r="H2955" i="1"/>
  <c r="H2951" i="1"/>
  <c r="H2947" i="1"/>
  <c r="H2943" i="1"/>
  <c r="H2939" i="1"/>
  <c r="H2935" i="1"/>
  <c r="H2931" i="1"/>
  <c r="H2927" i="1"/>
  <c r="H2923" i="1"/>
  <c r="H2919" i="1"/>
  <c r="H2915" i="1"/>
  <c r="H2911" i="1"/>
  <c r="H2907" i="1"/>
  <c r="H2903" i="1"/>
  <c r="H2899" i="1"/>
  <c r="H2895" i="1"/>
  <c r="H2891" i="1"/>
  <c r="H2887" i="1"/>
  <c r="H2883" i="1"/>
  <c r="H2879" i="1"/>
  <c r="H2875" i="1"/>
  <c r="H2871" i="1"/>
  <c r="H2862" i="1"/>
  <c r="H2853" i="1"/>
  <c r="H2844" i="1"/>
  <c r="H2839" i="1"/>
  <c r="H2830" i="1"/>
  <c r="H2821" i="1"/>
  <c r="H2812" i="1"/>
  <c r="H2807" i="1"/>
  <c r="H2798" i="1"/>
  <c r="H2789" i="1"/>
  <c r="H2780" i="1"/>
  <c r="H2775" i="1"/>
  <c r="H2766" i="1"/>
  <c r="H2686" i="1"/>
  <c r="H2678" i="1"/>
  <c r="H2667" i="1"/>
  <c r="H2655" i="1"/>
  <c r="H2641" i="1"/>
  <c r="H2613" i="1"/>
  <c r="H2598" i="1"/>
  <c r="H2570" i="1"/>
  <c r="H2555" i="1"/>
  <c r="H2536" i="1"/>
  <c r="H2519" i="1"/>
  <c r="H2498" i="1"/>
  <c r="H2448" i="1"/>
  <c r="H2411" i="1"/>
  <c r="H2369" i="1"/>
  <c r="H2336" i="1"/>
  <c r="H2682" i="1"/>
  <c r="H2672" i="1"/>
  <c r="H2656" i="1"/>
  <c r="H2640" i="1"/>
  <c r="H2624" i="1"/>
  <c r="H2608" i="1"/>
  <c r="H2592" i="1"/>
  <c r="H2576" i="1"/>
  <c r="H2560" i="1"/>
  <c r="H2549" i="1"/>
  <c r="H2542" i="1"/>
  <c r="H2520" i="1"/>
  <c r="H2513" i="1"/>
  <c r="H2497" i="1"/>
  <c r="H2490" i="1"/>
  <c r="H2480" i="1"/>
  <c r="H2449" i="1"/>
  <c r="H2438" i="1"/>
  <c r="H2395" i="1"/>
  <c r="H2352" i="1"/>
  <c r="H2337" i="1"/>
  <c r="H2325" i="1"/>
  <c r="H2310" i="1"/>
  <c r="H2251" i="1"/>
  <c r="H2227" i="1"/>
  <c r="H2689" i="1"/>
  <c r="H2685" i="1"/>
  <c r="H2681" i="1"/>
  <c r="H2676" i="1"/>
  <c r="H2660" i="1"/>
  <c r="H2644" i="1"/>
  <c r="H2628" i="1"/>
  <c r="H2612" i="1"/>
  <c r="H2596" i="1"/>
  <c r="H2580" i="1"/>
  <c r="H2564" i="1"/>
  <c r="H2547" i="1"/>
  <c r="H2533" i="1"/>
  <c r="H2526" i="1"/>
  <c r="H2503" i="1"/>
  <c r="H2479" i="1"/>
  <c r="H2469" i="1"/>
  <c r="H2433" i="1"/>
  <c r="H2421" i="1"/>
  <c r="H2406" i="1"/>
  <c r="H2363" i="1"/>
  <c r="H2320" i="1"/>
  <c r="H2305" i="1"/>
  <c r="H2267" i="1"/>
  <c r="H2659" i="1"/>
  <c r="H2654" i="1"/>
  <c r="H2649" i="1"/>
  <c r="H2643" i="1"/>
  <c r="H2638" i="1"/>
  <c r="H2633" i="1"/>
  <c r="H2627" i="1"/>
  <c r="H2622" i="1"/>
  <c r="H2617" i="1"/>
  <c r="H2611" i="1"/>
  <c r="H2606" i="1"/>
  <c r="H2601" i="1"/>
  <c r="H2595" i="1"/>
  <c r="H2590" i="1"/>
  <c r="H2585" i="1"/>
  <c r="H2579" i="1"/>
  <c r="H2574" i="1"/>
  <c r="H2569" i="1"/>
  <c r="H2563" i="1"/>
  <c r="H2558" i="1"/>
  <c r="H2553" i="1"/>
  <c r="H2546" i="1"/>
  <c r="H2539" i="1"/>
  <c r="H2532" i="1"/>
  <c r="H2524" i="1"/>
  <c r="H2518" i="1"/>
  <c r="H2511" i="1"/>
  <c r="H2495" i="1"/>
  <c r="H2486" i="1"/>
  <c r="H2476" i="1"/>
  <c r="H2468" i="1"/>
  <c r="H2458" i="1"/>
  <c r="H2447" i="1"/>
  <c r="H2432" i="1"/>
  <c r="H2417" i="1"/>
  <c r="H2405" i="1"/>
  <c r="H2390" i="1"/>
  <c r="H2347" i="1"/>
  <c r="H2304" i="1"/>
  <c r="H2243" i="1"/>
  <c r="H2760" i="1"/>
  <c r="H2756" i="1"/>
  <c r="H2752" i="1"/>
  <c r="H2748" i="1"/>
  <c r="H2744" i="1"/>
  <c r="H2740" i="1"/>
  <c r="H2736" i="1"/>
  <c r="H2732" i="1"/>
  <c r="H2728" i="1"/>
  <c r="H2724" i="1"/>
  <c r="H2720" i="1"/>
  <c r="H2716" i="1"/>
  <c r="H2712" i="1"/>
  <c r="H2708" i="1"/>
  <c r="H2704" i="1"/>
  <c r="H2700" i="1"/>
  <c r="H2696" i="1"/>
  <c r="H2692" i="1"/>
  <c r="H2688" i="1"/>
  <c r="H2684" i="1"/>
  <c r="H2680" i="1"/>
  <c r="H2664" i="1"/>
  <c r="H2648" i="1"/>
  <c r="H2632" i="1"/>
  <c r="H2616" i="1"/>
  <c r="H2600" i="1"/>
  <c r="H2584" i="1"/>
  <c r="H2568" i="1"/>
  <c r="H2552" i="1"/>
  <c r="H2545" i="1"/>
  <c r="H2531" i="1"/>
  <c r="H2517" i="1"/>
  <c r="H2510" i="1"/>
  <c r="H2502" i="1"/>
  <c r="H2492" i="1"/>
  <c r="H2485" i="1"/>
  <c r="H2465" i="1"/>
  <c r="H2416" i="1"/>
  <c r="H2401" i="1"/>
  <c r="H2389" i="1"/>
  <c r="H2374" i="1"/>
  <c r="H2331" i="1"/>
  <c r="H2283" i="1"/>
  <c r="H2219" i="1"/>
  <c r="H2679" i="1"/>
  <c r="H2674" i="1"/>
  <c r="H2669" i="1"/>
  <c r="H2663" i="1"/>
  <c r="H2658" i="1"/>
  <c r="H2653" i="1"/>
  <c r="H2647" i="1"/>
  <c r="H2642" i="1"/>
  <c r="H2637" i="1"/>
  <c r="H2631" i="1"/>
  <c r="H2626" i="1"/>
  <c r="H2621" i="1"/>
  <c r="H2615" i="1"/>
  <c r="H2610" i="1"/>
  <c r="H2605" i="1"/>
  <c r="H2599" i="1"/>
  <c r="H2594" i="1"/>
  <c r="H2589" i="1"/>
  <c r="H2583" i="1"/>
  <c r="H2578" i="1"/>
  <c r="H2573" i="1"/>
  <c r="H2567" i="1"/>
  <c r="H2562" i="1"/>
  <c r="H2557" i="1"/>
  <c r="H2551" i="1"/>
  <c r="H2544" i="1"/>
  <c r="H2538" i="1"/>
  <c r="H2530" i="1"/>
  <c r="H2523" i="1"/>
  <c r="H2516" i="1"/>
  <c r="H2508" i="1"/>
  <c r="H2501" i="1"/>
  <c r="H2484" i="1"/>
  <c r="H2475" i="1"/>
  <c r="H2464" i="1"/>
  <c r="H2454" i="1"/>
  <c r="H2443" i="1"/>
  <c r="H2400" i="1"/>
  <c r="H2385" i="1"/>
  <c r="H2373" i="1"/>
  <c r="H2358" i="1"/>
  <c r="H2315" i="1"/>
  <c r="H2259" i="1"/>
  <c r="H2442" i="1"/>
  <c r="H2436" i="1"/>
  <c r="H2431" i="1"/>
  <c r="H2426" i="1"/>
  <c r="H2420" i="1"/>
  <c r="H2415" i="1"/>
  <c r="H2410" i="1"/>
  <c r="H2404" i="1"/>
  <c r="H2399" i="1"/>
  <c r="H2394" i="1"/>
  <c r="H2388" i="1"/>
  <c r="H2383" i="1"/>
  <c r="H2378" i="1"/>
  <c r="H2372" i="1"/>
  <c r="H2367" i="1"/>
  <c r="H2362" i="1"/>
  <c r="H2356" i="1"/>
  <c r="H2351" i="1"/>
  <c r="H2346" i="1"/>
  <c r="H2340" i="1"/>
  <c r="H2335" i="1"/>
  <c r="H2330" i="1"/>
  <c r="H2324" i="1"/>
  <c r="H2319" i="1"/>
  <c r="H2314" i="1"/>
  <c r="H2308" i="1"/>
  <c r="H2303" i="1"/>
  <c r="H2298" i="1"/>
  <c r="H2290" i="1"/>
  <c r="H2282" i="1"/>
  <c r="H2274" i="1"/>
  <c r="H2266" i="1"/>
  <c r="H2258" i="1"/>
  <c r="H2250" i="1"/>
  <c r="H2242" i="1"/>
  <c r="H2234" i="1"/>
  <c r="H2226" i="1"/>
  <c r="H2218" i="1"/>
  <c r="H2537" i="1"/>
  <c r="H2521" i="1"/>
  <c r="H2505" i="1"/>
  <c r="H2489" i="1"/>
  <c r="H2473" i="1"/>
  <c r="H2457" i="1"/>
  <c r="H2441" i="1"/>
  <c r="H2425" i="1"/>
  <c r="H2409" i="1"/>
  <c r="H2393" i="1"/>
  <c r="H2377" i="1"/>
  <c r="H2361" i="1"/>
  <c r="H2345" i="1"/>
  <c r="H2329" i="1"/>
  <c r="H2313" i="1"/>
  <c r="H2504" i="1"/>
  <c r="H2499" i="1"/>
  <c r="H2494" i="1"/>
  <c r="H2488" i="1"/>
  <c r="H2483" i="1"/>
  <c r="H2478" i="1"/>
  <c r="H2472" i="1"/>
  <c r="H2467" i="1"/>
  <c r="H2462" i="1"/>
  <c r="H2456" i="1"/>
  <c r="H2451" i="1"/>
  <c r="H2446" i="1"/>
  <c r="H2440" i="1"/>
  <c r="H2435" i="1"/>
  <c r="H2430" i="1"/>
  <c r="H2424" i="1"/>
  <c r="H2419" i="1"/>
  <c r="H2414" i="1"/>
  <c r="H2408" i="1"/>
  <c r="H2403" i="1"/>
  <c r="H2398" i="1"/>
  <c r="H2392" i="1"/>
  <c r="H2387" i="1"/>
  <c r="H2382" i="1"/>
  <c r="H2376" i="1"/>
  <c r="H2371" i="1"/>
  <c r="H2366" i="1"/>
  <c r="H2360" i="1"/>
  <c r="H2355" i="1"/>
  <c r="H2350" i="1"/>
  <c r="H2344" i="1"/>
  <c r="H2339" i="1"/>
  <c r="H2334" i="1"/>
  <c r="H2328" i="1"/>
  <c r="H2323" i="1"/>
  <c r="H2318" i="1"/>
  <c r="H2312" i="1"/>
  <c r="H2307" i="1"/>
  <c r="H2302" i="1"/>
  <c r="H2295" i="1"/>
  <c r="H2287" i="1"/>
  <c r="H2279" i="1"/>
  <c r="H2271" i="1"/>
  <c r="H2263" i="1"/>
  <c r="H2255" i="1"/>
  <c r="H2247" i="1"/>
  <c r="H2239" i="1"/>
  <c r="H2231" i="1"/>
  <c r="H2223" i="1"/>
  <c r="H2215" i="1"/>
  <c r="H2541" i="1"/>
  <c r="H2525" i="1"/>
  <c r="H2509" i="1"/>
  <c r="H2493" i="1"/>
  <c r="H2477" i="1"/>
  <c r="H2461" i="1"/>
  <c r="H2445" i="1"/>
  <c r="H2429" i="1"/>
  <c r="H2413" i="1"/>
  <c r="H2397" i="1"/>
  <c r="H2381" i="1"/>
  <c r="H2365" i="1"/>
  <c r="H2349" i="1"/>
  <c r="H2333" i="1"/>
  <c r="H2317" i="1"/>
  <c r="H2301" i="1"/>
  <c r="H2471" i="1"/>
  <c r="H2466" i="1"/>
  <c r="H2460" i="1"/>
  <c r="H2455" i="1"/>
  <c r="H2450" i="1"/>
  <c r="H2444" i="1"/>
  <c r="H2439" i="1"/>
  <c r="H2434" i="1"/>
  <c r="H2428" i="1"/>
  <c r="H2423" i="1"/>
  <c r="H2418" i="1"/>
  <c r="H2412" i="1"/>
  <c r="H2407" i="1"/>
  <c r="H2402" i="1"/>
  <c r="H2396" i="1"/>
  <c r="H2391" i="1"/>
  <c r="H2386" i="1"/>
  <c r="H2380" i="1"/>
  <c r="H2375" i="1"/>
  <c r="H2370" i="1"/>
  <c r="H2364" i="1"/>
  <c r="H2359" i="1"/>
  <c r="H2354" i="1"/>
  <c r="H2348" i="1"/>
  <c r="H2343" i="1"/>
  <c r="H2338" i="1"/>
  <c r="H2332" i="1"/>
  <c r="H2327" i="1"/>
  <c r="H2322" i="1"/>
  <c r="H2316" i="1"/>
  <c r="H2311" i="1"/>
  <c r="H2306" i="1"/>
  <c r="H2300" i="1"/>
  <c r="H2294" i="1"/>
  <c r="H2286" i="1"/>
  <c r="H2278" i="1"/>
  <c r="H2270" i="1"/>
  <c r="H2262" i="1"/>
  <c r="H2254" i="1"/>
  <c r="H2246" i="1"/>
  <c r="H2238" i="1"/>
  <c r="H2230" i="1"/>
  <c r="H2222" i="1"/>
  <c r="H2214" i="1"/>
  <c r="H2297" i="1"/>
  <c r="H2293" i="1"/>
  <c r="H2289" i="1"/>
  <c r="H2285" i="1"/>
  <c r="H2281" i="1"/>
  <c r="H2277" i="1"/>
  <c r="H2273" i="1"/>
  <c r="H2269" i="1"/>
  <c r="H2265" i="1"/>
  <c r="H2261" i="1"/>
  <c r="H2257" i="1"/>
  <c r="H2253" i="1"/>
  <c r="H2249" i="1"/>
  <c r="H2245" i="1"/>
  <c r="H2241" i="1"/>
  <c r="H2237" i="1"/>
  <c r="H2233" i="1"/>
  <c r="H2229" i="1"/>
  <c r="H2225" i="1"/>
  <c r="H2221" i="1"/>
  <c r="H2217" i="1"/>
  <c r="H2213" i="1"/>
  <c r="H2296" i="1"/>
  <c r="H2292" i="1"/>
  <c r="H2288" i="1"/>
  <c r="H2284" i="1"/>
  <c r="H2280" i="1"/>
  <c r="H2276" i="1"/>
  <c r="H2272" i="1"/>
  <c r="H2268" i="1"/>
  <c r="H2264" i="1"/>
  <c r="H2260" i="1"/>
  <c r="H2256" i="1"/>
  <c r="H2252" i="1"/>
  <c r="H2248" i="1"/>
  <c r="H2244" i="1"/>
  <c r="H2240" i="1"/>
  <c r="H2236" i="1"/>
  <c r="H2232" i="1"/>
  <c r="H2228" i="1"/>
  <c r="H2224" i="1"/>
  <c r="H2220" i="1"/>
  <c r="H2216" i="1"/>
  <c r="H2212" i="1"/>
  <c r="H18" i="1"/>
  <c r="H11" i="1"/>
  <c r="H8" i="1"/>
  <c r="H3" i="1"/>
  <c r="H2" i="1"/>
  <c r="H16" i="1"/>
  <c r="H20" i="1"/>
  <c r="H80" i="1"/>
  <c r="H463" i="1"/>
  <c r="H585" i="1"/>
  <c r="H667" i="1"/>
  <c r="H769" i="1"/>
  <c r="H943" i="1"/>
  <c r="H22" i="1"/>
  <c r="H24" i="1"/>
  <c r="H26" i="1"/>
  <c r="H28" i="1"/>
  <c r="H30" i="1"/>
  <c r="H32" i="1"/>
  <c r="H34" i="1"/>
  <c r="H36" i="1"/>
  <c r="H38" i="1"/>
  <c r="H40" i="1"/>
  <c r="H43" i="1"/>
  <c r="H51" i="1"/>
  <c r="H59" i="1"/>
  <c r="H67" i="1"/>
  <c r="H99" i="1"/>
  <c r="H131" i="1"/>
  <c r="H163" i="1"/>
  <c r="H195" i="1"/>
  <c r="H227" i="1"/>
  <c r="H259" i="1"/>
  <c r="H291" i="1"/>
  <c r="H323" i="1"/>
  <c r="H355" i="1"/>
  <c r="H387" i="1"/>
  <c r="H520" i="1"/>
  <c r="H590" i="1"/>
  <c r="H770" i="1"/>
  <c r="H6" i="1"/>
  <c r="H14" i="1"/>
  <c r="H88" i="1"/>
  <c r="H431" i="1"/>
  <c r="H534" i="1"/>
  <c r="H692" i="1"/>
  <c r="H795" i="1"/>
  <c r="H1007" i="1"/>
  <c r="H9" i="1"/>
  <c r="H45" i="1"/>
  <c r="H53" i="1"/>
  <c r="H61" i="1"/>
  <c r="H69" i="1"/>
  <c r="H107" i="1"/>
  <c r="H139" i="1"/>
  <c r="H171" i="1"/>
  <c r="H203" i="1"/>
  <c r="H235" i="1"/>
  <c r="H267" i="1"/>
  <c r="H299" i="1"/>
  <c r="H331" i="1"/>
  <c r="H363" i="1"/>
  <c r="H395" i="1"/>
  <c r="H475" i="1"/>
  <c r="H539" i="1"/>
  <c r="H604" i="1"/>
  <c r="H693" i="1"/>
  <c r="H4" i="1"/>
  <c r="H12" i="1"/>
  <c r="Q15" i="1" s="1" a="1"/>
  <c r="Q15" i="1" s="1"/>
  <c r="H552" i="1"/>
  <c r="H622" i="1"/>
  <c r="H718" i="1"/>
  <c r="H821" i="1"/>
  <c r="H1074" i="1"/>
  <c r="H7" i="1"/>
  <c r="H15" i="1"/>
  <c r="H17" i="1"/>
  <c r="H19" i="1"/>
  <c r="H21" i="1"/>
  <c r="H23" i="1"/>
  <c r="H25" i="1"/>
  <c r="H27" i="1"/>
  <c r="H29" i="1"/>
  <c r="H31" i="1"/>
  <c r="H33" i="1"/>
  <c r="H35" i="1"/>
  <c r="H37" i="1"/>
  <c r="H39" i="1"/>
  <c r="H41" i="1"/>
  <c r="H47" i="1"/>
  <c r="H55" i="1"/>
  <c r="H63" i="1"/>
  <c r="H86" i="1"/>
  <c r="H115" i="1"/>
  <c r="H147" i="1"/>
  <c r="H179" i="1"/>
  <c r="H211" i="1"/>
  <c r="H243" i="1"/>
  <c r="H275" i="1"/>
  <c r="H307" i="1"/>
  <c r="H339" i="1"/>
  <c r="H371" i="1"/>
  <c r="H403" i="1"/>
  <c r="H443" i="1"/>
  <c r="H553" i="1"/>
  <c r="H623" i="1"/>
  <c r="H719" i="1"/>
  <c r="H823" i="1"/>
  <c r="H1075" i="1"/>
  <c r="H10" i="1"/>
  <c r="H501" i="1"/>
  <c r="H571" i="1"/>
  <c r="H641" i="1"/>
  <c r="H879" i="1"/>
  <c r="H1189" i="1"/>
  <c r="H5" i="1"/>
  <c r="H13" i="1"/>
  <c r="H49" i="1"/>
  <c r="H57" i="1"/>
  <c r="H65" i="1"/>
  <c r="H123" i="1"/>
  <c r="H155" i="1"/>
  <c r="H187" i="1"/>
  <c r="H219" i="1"/>
  <c r="H251" i="1"/>
  <c r="H283" i="1"/>
  <c r="H315" i="1"/>
  <c r="H347" i="1"/>
  <c r="H379" i="1"/>
  <c r="H411" i="1"/>
  <c r="H502" i="1"/>
  <c r="H642" i="1"/>
  <c r="H744" i="1"/>
  <c r="H423" i="1"/>
  <c r="H455" i="1"/>
  <c r="H488" i="1"/>
  <c r="H507" i="1"/>
  <c r="H521" i="1"/>
  <c r="H558" i="1"/>
  <c r="H572" i="1"/>
  <c r="H591" i="1"/>
  <c r="H609" i="1"/>
  <c r="H673" i="1"/>
  <c r="H699" i="1"/>
  <c r="H724" i="1"/>
  <c r="H750" i="1"/>
  <c r="H801" i="1"/>
  <c r="H895" i="1"/>
  <c r="H959" i="1"/>
  <c r="H1023" i="1"/>
  <c r="H72" i="1"/>
  <c r="H74" i="1"/>
  <c r="H76" i="1"/>
  <c r="H78" i="1"/>
  <c r="H83" i="1"/>
  <c r="H95" i="1"/>
  <c r="H100" i="1"/>
  <c r="H108" i="1"/>
  <c r="H116" i="1"/>
  <c r="H124" i="1"/>
  <c r="H132" i="1"/>
  <c r="H140" i="1"/>
  <c r="H148" i="1"/>
  <c r="H156" i="1"/>
  <c r="H164" i="1"/>
  <c r="H172" i="1"/>
  <c r="H180" i="1"/>
  <c r="H188" i="1"/>
  <c r="H196" i="1"/>
  <c r="H204" i="1"/>
  <c r="H212" i="1"/>
  <c r="H220" i="1"/>
  <c r="H228" i="1"/>
  <c r="H236" i="1"/>
  <c r="H244" i="1"/>
  <c r="H252" i="1"/>
  <c r="H260" i="1"/>
  <c r="H268" i="1"/>
  <c r="H276" i="1"/>
  <c r="H284" i="1"/>
  <c r="H292" i="1"/>
  <c r="H300" i="1"/>
  <c r="H308" i="1"/>
  <c r="H316" i="1"/>
  <c r="H324" i="1"/>
  <c r="H332" i="1"/>
  <c r="H340" i="1"/>
  <c r="H348" i="1"/>
  <c r="H356" i="1"/>
  <c r="H364" i="1"/>
  <c r="H372" i="1"/>
  <c r="H380" i="1"/>
  <c r="H388" i="1"/>
  <c r="H396" i="1"/>
  <c r="H404" i="1"/>
  <c r="H435" i="1"/>
  <c r="H467" i="1"/>
  <c r="H489" i="1"/>
  <c r="H526" i="1"/>
  <c r="H540" i="1"/>
  <c r="H559" i="1"/>
  <c r="H577" i="1"/>
  <c r="H610" i="1"/>
  <c r="H628" i="1"/>
  <c r="H648" i="1"/>
  <c r="H674" i="1"/>
  <c r="H725" i="1"/>
  <c r="H751" i="1"/>
  <c r="H776" i="1"/>
  <c r="H802" i="1"/>
  <c r="H833" i="1"/>
  <c r="H1100" i="1"/>
  <c r="H1240" i="1"/>
  <c r="H70" i="1"/>
  <c r="H85" i="1"/>
  <c r="H96" i="1"/>
  <c r="H415" i="1"/>
  <c r="H447" i="1"/>
  <c r="H479" i="1"/>
  <c r="H494" i="1"/>
  <c r="H508" i="1"/>
  <c r="H527" i="1"/>
  <c r="H545" i="1"/>
  <c r="H578" i="1"/>
  <c r="H596" i="1"/>
  <c r="H611" i="1"/>
  <c r="H629" i="1"/>
  <c r="H654" i="1"/>
  <c r="H705" i="1"/>
  <c r="H731" i="1"/>
  <c r="H756" i="1"/>
  <c r="H782" i="1"/>
  <c r="H847" i="1"/>
  <c r="H911" i="1"/>
  <c r="H975" i="1"/>
  <c r="H1039" i="1"/>
  <c r="H1125" i="1"/>
  <c r="H1309" i="1"/>
  <c r="H42" i="1"/>
  <c r="H44" i="1"/>
  <c r="H46" i="1"/>
  <c r="H48" i="1"/>
  <c r="H50" i="1"/>
  <c r="H52" i="1"/>
  <c r="H54" i="1"/>
  <c r="H56" i="1"/>
  <c r="H58" i="1"/>
  <c r="H60" i="1"/>
  <c r="H62" i="1"/>
  <c r="H64" i="1"/>
  <c r="H66" i="1"/>
  <c r="H68" i="1"/>
  <c r="H87" i="1"/>
  <c r="H93" i="1"/>
  <c r="H103" i="1"/>
  <c r="H111" i="1"/>
  <c r="H119" i="1"/>
  <c r="H127" i="1"/>
  <c r="H135" i="1"/>
  <c r="H143" i="1"/>
  <c r="H151" i="1"/>
  <c r="H159" i="1"/>
  <c r="H167" i="1"/>
  <c r="H175" i="1"/>
  <c r="H183" i="1"/>
  <c r="H191" i="1"/>
  <c r="H199" i="1"/>
  <c r="H207" i="1"/>
  <c r="H215" i="1"/>
  <c r="H223" i="1"/>
  <c r="H231" i="1"/>
  <c r="H239" i="1"/>
  <c r="H247" i="1"/>
  <c r="H255" i="1"/>
  <c r="H263" i="1"/>
  <c r="H271" i="1"/>
  <c r="H279" i="1"/>
  <c r="H287" i="1"/>
  <c r="H295" i="1"/>
  <c r="H303" i="1"/>
  <c r="H311" i="1"/>
  <c r="H319" i="1"/>
  <c r="H327" i="1"/>
  <c r="H335" i="1"/>
  <c r="H343" i="1"/>
  <c r="H351" i="1"/>
  <c r="H359" i="1"/>
  <c r="H367" i="1"/>
  <c r="H375" i="1"/>
  <c r="H383" i="1"/>
  <c r="H391" i="1"/>
  <c r="H399" i="1"/>
  <c r="H407" i="1"/>
  <c r="H427" i="1"/>
  <c r="H459" i="1"/>
  <c r="H495" i="1"/>
  <c r="H513" i="1"/>
  <c r="H546" i="1"/>
  <c r="H564" i="1"/>
  <c r="H579" i="1"/>
  <c r="H597" i="1"/>
  <c r="H630" i="1"/>
  <c r="H655" i="1"/>
  <c r="H680" i="1"/>
  <c r="H706" i="1"/>
  <c r="H757" i="1"/>
  <c r="H783" i="1"/>
  <c r="H808" i="1"/>
  <c r="H1126" i="1"/>
  <c r="H82" i="1"/>
  <c r="H90" i="1"/>
  <c r="H439" i="1"/>
  <c r="H471" i="1"/>
  <c r="H514" i="1"/>
  <c r="H532" i="1"/>
  <c r="H547" i="1"/>
  <c r="H565" i="1"/>
  <c r="H598" i="1"/>
  <c r="H616" i="1"/>
  <c r="H635" i="1"/>
  <c r="H660" i="1"/>
  <c r="H686" i="1"/>
  <c r="H737" i="1"/>
  <c r="H763" i="1"/>
  <c r="H788" i="1"/>
  <c r="H814" i="1"/>
  <c r="H863" i="1"/>
  <c r="H927" i="1"/>
  <c r="H991" i="1"/>
  <c r="H1055" i="1"/>
  <c r="H1152" i="1"/>
  <c r="H1418" i="1"/>
  <c r="H71" i="1"/>
  <c r="H73" i="1"/>
  <c r="H75" i="1"/>
  <c r="H77" i="1"/>
  <c r="H79" i="1"/>
  <c r="H81" i="1"/>
  <c r="H84" i="1"/>
  <c r="H104" i="1"/>
  <c r="H112" i="1"/>
  <c r="H120" i="1"/>
  <c r="H128" i="1"/>
  <c r="H136" i="1"/>
  <c r="H144" i="1"/>
  <c r="H152" i="1"/>
  <c r="H160" i="1"/>
  <c r="H168" i="1"/>
  <c r="H176" i="1"/>
  <c r="H184" i="1"/>
  <c r="H192" i="1"/>
  <c r="H200" i="1"/>
  <c r="H208" i="1"/>
  <c r="H216" i="1"/>
  <c r="H224" i="1"/>
  <c r="H232" i="1"/>
  <c r="H240" i="1"/>
  <c r="H248" i="1"/>
  <c r="H256" i="1"/>
  <c r="H264" i="1"/>
  <c r="H272" i="1"/>
  <c r="H280" i="1"/>
  <c r="H288" i="1"/>
  <c r="H296" i="1"/>
  <c r="H304" i="1"/>
  <c r="H312" i="1"/>
  <c r="H320" i="1"/>
  <c r="H328" i="1"/>
  <c r="H336" i="1"/>
  <c r="H344" i="1"/>
  <c r="H352" i="1"/>
  <c r="H360" i="1"/>
  <c r="H368" i="1"/>
  <c r="H376" i="1"/>
  <c r="H384" i="1"/>
  <c r="H392" i="1"/>
  <c r="H400" i="1"/>
  <c r="H408" i="1"/>
  <c r="H419" i="1"/>
  <c r="H451" i="1"/>
  <c r="H483" i="1"/>
  <c r="H500" i="1"/>
  <c r="H515" i="1"/>
  <c r="H533" i="1"/>
  <c r="H566" i="1"/>
  <c r="H584" i="1"/>
  <c r="H603" i="1"/>
  <c r="H617" i="1"/>
  <c r="H661" i="1"/>
  <c r="H687" i="1"/>
  <c r="H712" i="1"/>
  <c r="H738" i="1"/>
  <c r="H789" i="1"/>
  <c r="H815" i="1"/>
  <c r="H1153" i="1"/>
  <c r="H1420" i="1"/>
  <c r="H636" i="1"/>
  <c r="H643" i="1"/>
  <c r="H649" i="1"/>
  <c r="H662" i="1"/>
  <c r="H668" i="1"/>
  <c r="H675" i="1"/>
  <c r="H681" i="1"/>
  <c r="H694" i="1"/>
  <c r="H700" i="1"/>
  <c r="H707" i="1"/>
  <c r="H713" i="1"/>
  <c r="H726" i="1"/>
  <c r="H732" i="1"/>
  <c r="H739" i="1"/>
  <c r="H745" i="1"/>
  <c r="H758" i="1"/>
  <c r="H764" i="1"/>
  <c r="H771" i="1"/>
  <c r="H777" i="1"/>
  <c r="H790" i="1"/>
  <c r="H796" i="1"/>
  <c r="H803" i="1"/>
  <c r="H809" i="1"/>
  <c r="H835" i="1"/>
  <c r="H851" i="1"/>
  <c r="H867" i="1"/>
  <c r="H883" i="1"/>
  <c r="H899" i="1"/>
  <c r="H915" i="1"/>
  <c r="H931" i="1"/>
  <c r="H947" i="1"/>
  <c r="H963" i="1"/>
  <c r="H979" i="1"/>
  <c r="H995" i="1"/>
  <c r="H1011" i="1"/>
  <c r="H1027" i="1"/>
  <c r="H1043" i="1"/>
  <c r="H1059" i="1"/>
  <c r="H1080" i="1"/>
  <c r="H1106" i="1"/>
  <c r="H1160" i="1"/>
  <c r="H1200" i="1"/>
  <c r="H1334" i="1"/>
  <c r="H412" i="1"/>
  <c r="H416" i="1"/>
  <c r="H420" i="1"/>
  <c r="H424" i="1"/>
  <c r="H428" i="1"/>
  <c r="H432" i="1"/>
  <c r="H436" i="1"/>
  <c r="H440" i="1"/>
  <c r="H444" i="1"/>
  <c r="H448" i="1"/>
  <c r="H452" i="1"/>
  <c r="H456" i="1"/>
  <c r="H460" i="1"/>
  <c r="H464" i="1"/>
  <c r="H468" i="1"/>
  <c r="H472" i="1"/>
  <c r="H476" i="1"/>
  <c r="H480" i="1"/>
  <c r="H484" i="1"/>
  <c r="H490" i="1"/>
  <c r="H496" i="1"/>
  <c r="H503" i="1"/>
  <c r="H509" i="1"/>
  <c r="H522" i="1"/>
  <c r="H528" i="1"/>
  <c r="H535" i="1"/>
  <c r="H541" i="1"/>
  <c r="H554" i="1"/>
  <c r="H560" i="1"/>
  <c r="H567" i="1"/>
  <c r="H573" i="1"/>
  <c r="H586" i="1"/>
  <c r="H592" i="1"/>
  <c r="H599" i="1"/>
  <c r="H605" i="1"/>
  <c r="H618" i="1"/>
  <c r="H624" i="1"/>
  <c r="H631" i="1"/>
  <c r="H637" i="1"/>
  <c r="H650" i="1"/>
  <c r="H656" i="1"/>
  <c r="H663" i="1"/>
  <c r="H669" i="1"/>
  <c r="H682" i="1"/>
  <c r="H688" i="1"/>
  <c r="H695" i="1"/>
  <c r="H701" i="1"/>
  <c r="H714" i="1"/>
  <c r="H720" i="1"/>
  <c r="H727" i="1"/>
  <c r="H733" i="1"/>
  <c r="H746" i="1"/>
  <c r="H752" i="1"/>
  <c r="H759" i="1"/>
  <c r="H765" i="1"/>
  <c r="H778" i="1"/>
  <c r="H784" i="1"/>
  <c r="H791" i="1"/>
  <c r="H797" i="1"/>
  <c r="H810" i="1"/>
  <c r="H816" i="1"/>
  <c r="H825" i="1"/>
  <c r="H1081" i="1"/>
  <c r="H1107" i="1"/>
  <c r="H1132" i="1"/>
  <c r="H1161" i="1"/>
  <c r="H1201" i="1"/>
  <c r="H1256" i="1"/>
  <c r="H1335" i="1"/>
  <c r="H1482" i="1"/>
  <c r="H92" i="1"/>
  <c r="H491" i="1"/>
  <c r="H497" i="1"/>
  <c r="H510" i="1"/>
  <c r="H516" i="1"/>
  <c r="H523" i="1"/>
  <c r="H529" i="1"/>
  <c r="H542" i="1"/>
  <c r="H548" i="1"/>
  <c r="H555" i="1"/>
  <c r="H561" i="1"/>
  <c r="H574" i="1"/>
  <c r="H580" i="1"/>
  <c r="H587" i="1"/>
  <c r="H593" i="1"/>
  <c r="H606" i="1"/>
  <c r="H612" i="1"/>
  <c r="H619" i="1"/>
  <c r="H625" i="1"/>
  <c r="H638" i="1"/>
  <c r="H644" i="1"/>
  <c r="H651" i="1"/>
  <c r="H657" i="1"/>
  <c r="H670" i="1"/>
  <c r="H676" i="1"/>
  <c r="H683" i="1"/>
  <c r="H689" i="1"/>
  <c r="H702" i="1"/>
  <c r="H708" i="1"/>
  <c r="H715" i="1"/>
  <c r="H721" i="1"/>
  <c r="H734" i="1"/>
  <c r="H740" i="1"/>
  <c r="H747" i="1"/>
  <c r="H753" i="1"/>
  <c r="H766" i="1"/>
  <c r="H772" i="1"/>
  <c r="H779" i="1"/>
  <c r="H785" i="1"/>
  <c r="H798" i="1"/>
  <c r="H804" i="1"/>
  <c r="H811" i="1"/>
  <c r="H817" i="1"/>
  <c r="H827" i="1"/>
  <c r="H839" i="1"/>
  <c r="H855" i="1"/>
  <c r="H871" i="1"/>
  <c r="H887" i="1"/>
  <c r="H903" i="1"/>
  <c r="H919" i="1"/>
  <c r="H935" i="1"/>
  <c r="H951" i="1"/>
  <c r="H967" i="1"/>
  <c r="H983" i="1"/>
  <c r="H999" i="1"/>
  <c r="H1015" i="1"/>
  <c r="H1031" i="1"/>
  <c r="H1047" i="1"/>
  <c r="H1063" i="1"/>
  <c r="H1087" i="1"/>
  <c r="H1112" i="1"/>
  <c r="H1138" i="1"/>
  <c r="H1168" i="1"/>
  <c r="H1360" i="1"/>
  <c r="H89" i="1"/>
  <c r="H97" i="1"/>
  <c r="H101" i="1"/>
  <c r="H105" i="1"/>
  <c r="H109" i="1"/>
  <c r="H113" i="1"/>
  <c r="H117" i="1"/>
  <c r="H121" i="1"/>
  <c r="H125" i="1"/>
  <c r="H129" i="1"/>
  <c r="H133" i="1"/>
  <c r="H137" i="1"/>
  <c r="H141" i="1"/>
  <c r="H145" i="1"/>
  <c r="H149" i="1"/>
  <c r="H153" i="1"/>
  <c r="H157" i="1"/>
  <c r="H161" i="1"/>
  <c r="H165" i="1"/>
  <c r="H169" i="1"/>
  <c r="H173" i="1"/>
  <c r="H177" i="1"/>
  <c r="H181" i="1"/>
  <c r="H185" i="1"/>
  <c r="H189" i="1"/>
  <c r="H193" i="1"/>
  <c r="H197" i="1"/>
  <c r="H201" i="1"/>
  <c r="H205" i="1"/>
  <c r="H209" i="1"/>
  <c r="H213" i="1"/>
  <c r="H217" i="1"/>
  <c r="H221" i="1"/>
  <c r="H225" i="1"/>
  <c r="H229" i="1"/>
  <c r="H233" i="1"/>
  <c r="H237" i="1"/>
  <c r="H241" i="1"/>
  <c r="H245" i="1"/>
  <c r="H249" i="1"/>
  <c r="H253" i="1"/>
  <c r="H257" i="1"/>
  <c r="H261" i="1"/>
  <c r="H265" i="1"/>
  <c r="H269" i="1"/>
  <c r="H273" i="1"/>
  <c r="H277" i="1"/>
  <c r="H281" i="1"/>
  <c r="H285" i="1"/>
  <c r="H289" i="1"/>
  <c r="H293" i="1"/>
  <c r="H297" i="1"/>
  <c r="H301" i="1"/>
  <c r="H305" i="1"/>
  <c r="H309" i="1"/>
  <c r="H313" i="1"/>
  <c r="H317" i="1"/>
  <c r="H321" i="1"/>
  <c r="H325" i="1"/>
  <c r="H329" i="1"/>
  <c r="H333" i="1"/>
  <c r="H337" i="1"/>
  <c r="H341" i="1"/>
  <c r="H345" i="1"/>
  <c r="H349" i="1"/>
  <c r="H353" i="1"/>
  <c r="H357" i="1"/>
  <c r="H361" i="1"/>
  <c r="H365" i="1"/>
  <c r="H369" i="1"/>
  <c r="H373" i="1"/>
  <c r="H377" i="1"/>
  <c r="H381" i="1"/>
  <c r="H385" i="1"/>
  <c r="H389" i="1"/>
  <c r="H393" i="1"/>
  <c r="H397" i="1"/>
  <c r="H401" i="1"/>
  <c r="H405" i="1"/>
  <c r="H409" i="1"/>
  <c r="H413" i="1"/>
  <c r="H417" i="1"/>
  <c r="H421" i="1"/>
  <c r="H425" i="1"/>
  <c r="H429" i="1"/>
  <c r="H433" i="1"/>
  <c r="H437" i="1"/>
  <c r="H441" i="1"/>
  <c r="H445" i="1"/>
  <c r="H449" i="1"/>
  <c r="H453" i="1"/>
  <c r="H457" i="1"/>
  <c r="H461" i="1"/>
  <c r="H465" i="1"/>
  <c r="H469" i="1"/>
  <c r="H473" i="1"/>
  <c r="H477" i="1"/>
  <c r="H481" i="1"/>
  <c r="H485" i="1"/>
  <c r="H498" i="1"/>
  <c r="H504" i="1"/>
  <c r="H511" i="1"/>
  <c r="H517" i="1"/>
  <c r="H530" i="1"/>
  <c r="H536" i="1"/>
  <c r="H543" i="1"/>
  <c r="H549" i="1"/>
  <c r="H562" i="1"/>
  <c r="H568" i="1"/>
  <c r="H575" i="1"/>
  <c r="H581" i="1"/>
  <c r="H594" i="1"/>
  <c r="H600" i="1"/>
  <c r="H607" i="1"/>
  <c r="H613" i="1"/>
  <c r="H626" i="1"/>
  <c r="H632" i="1"/>
  <c r="H639" i="1"/>
  <c r="H645" i="1"/>
  <c r="H658" i="1"/>
  <c r="H664" i="1"/>
  <c r="H671" i="1"/>
  <c r="H677" i="1"/>
  <c r="H690" i="1"/>
  <c r="H696" i="1"/>
  <c r="H703" i="1"/>
  <c r="H709" i="1"/>
  <c r="H722" i="1"/>
  <c r="H728" i="1"/>
  <c r="H735" i="1"/>
  <c r="H741" i="1"/>
  <c r="H754" i="1"/>
  <c r="H760" i="1"/>
  <c r="H767" i="1"/>
  <c r="H773" i="1"/>
  <c r="H786" i="1"/>
  <c r="H792" i="1"/>
  <c r="H799" i="1"/>
  <c r="H805" i="1"/>
  <c r="H819" i="1"/>
  <c r="H1113" i="1"/>
  <c r="H1139" i="1"/>
  <c r="H1169" i="1"/>
  <c r="H1212" i="1"/>
  <c r="H1272" i="1"/>
  <c r="H1361" i="1"/>
  <c r="H1564" i="1"/>
  <c r="H94" i="1"/>
  <c r="H486" i="1"/>
  <c r="H492" i="1"/>
  <c r="H499" i="1"/>
  <c r="H505" i="1"/>
  <c r="H518" i="1"/>
  <c r="H524" i="1"/>
  <c r="H531" i="1"/>
  <c r="H537" i="1"/>
  <c r="H550" i="1"/>
  <c r="H556" i="1"/>
  <c r="H563" i="1"/>
  <c r="H569" i="1"/>
  <c r="H582" i="1"/>
  <c r="H588" i="1"/>
  <c r="H595" i="1"/>
  <c r="H601" i="1"/>
  <c r="H614" i="1"/>
  <c r="H620" i="1"/>
  <c r="H627" i="1"/>
  <c r="H633" i="1"/>
  <c r="H646" i="1"/>
  <c r="H652" i="1"/>
  <c r="H659" i="1"/>
  <c r="H665" i="1"/>
  <c r="H678" i="1"/>
  <c r="H684" i="1"/>
  <c r="H691" i="1"/>
  <c r="H697" i="1"/>
  <c r="H710" i="1"/>
  <c r="H716" i="1"/>
  <c r="H723" i="1"/>
  <c r="H729" i="1"/>
  <c r="H742" i="1"/>
  <c r="H748" i="1"/>
  <c r="H755" i="1"/>
  <c r="H761" i="1"/>
  <c r="H774" i="1"/>
  <c r="H780" i="1"/>
  <c r="H787" i="1"/>
  <c r="H793" i="1"/>
  <c r="H806" i="1"/>
  <c r="H812" i="1"/>
  <c r="H829" i="1"/>
  <c r="H843" i="1"/>
  <c r="H859" i="1"/>
  <c r="H875" i="1"/>
  <c r="H891" i="1"/>
  <c r="H907" i="1"/>
  <c r="H923" i="1"/>
  <c r="H939" i="1"/>
  <c r="H955" i="1"/>
  <c r="H971" i="1"/>
  <c r="H987" i="1"/>
  <c r="H1003" i="1"/>
  <c r="H1019" i="1"/>
  <c r="H1035" i="1"/>
  <c r="H1051" i="1"/>
  <c r="H1093" i="1"/>
  <c r="H1119" i="1"/>
  <c r="H1144" i="1"/>
  <c r="H1708" i="1"/>
  <c r="H91" i="1"/>
  <c r="H98" i="1"/>
  <c r="H102" i="1"/>
  <c r="H106" i="1"/>
  <c r="H110" i="1"/>
  <c r="H114" i="1"/>
  <c r="H118" i="1"/>
  <c r="H122" i="1"/>
  <c r="H126" i="1"/>
  <c r="H130" i="1"/>
  <c r="H134" i="1"/>
  <c r="H138" i="1"/>
  <c r="H142" i="1"/>
  <c r="H146" i="1"/>
  <c r="H150" i="1"/>
  <c r="H154" i="1"/>
  <c r="H158" i="1"/>
  <c r="H162" i="1"/>
  <c r="H166" i="1"/>
  <c r="H170" i="1"/>
  <c r="H174" i="1"/>
  <c r="H178" i="1"/>
  <c r="H182" i="1"/>
  <c r="H186" i="1"/>
  <c r="H190" i="1"/>
  <c r="H194" i="1"/>
  <c r="H198" i="1"/>
  <c r="H202" i="1"/>
  <c r="H206" i="1"/>
  <c r="H210" i="1"/>
  <c r="H214" i="1"/>
  <c r="H218" i="1"/>
  <c r="H222" i="1"/>
  <c r="H226" i="1"/>
  <c r="H230" i="1"/>
  <c r="H234" i="1"/>
  <c r="H238" i="1"/>
  <c r="H242" i="1"/>
  <c r="H246" i="1"/>
  <c r="H250" i="1"/>
  <c r="H254" i="1"/>
  <c r="H258" i="1"/>
  <c r="H262" i="1"/>
  <c r="H266" i="1"/>
  <c r="H270" i="1"/>
  <c r="H274" i="1"/>
  <c r="H278" i="1"/>
  <c r="H282" i="1"/>
  <c r="H286" i="1"/>
  <c r="H290" i="1"/>
  <c r="H294" i="1"/>
  <c r="H298" i="1"/>
  <c r="H302" i="1"/>
  <c r="H306" i="1"/>
  <c r="H310" i="1"/>
  <c r="H314" i="1"/>
  <c r="H318" i="1"/>
  <c r="H322" i="1"/>
  <c r="H326" i="1"/>
  <c r="H330" i="1"/>
  <c r="H334" i="1"/>
  <c r="H338" i="1"/>
  <c r="H342" i="1"/>
  <c r="H346" i="1"/>
  <c r="H350" i="1"/>
  <c r="H354" i="1"/>
  <c r="H358" i="1"/>
  <c r="H362" i="1"/>
  <c r="H366" i="1"/>
  <c r="H370" i="1"/>
  <c r="H374" i="1"/>
  <c r="H378" i="1"/>
  <c r="H382" i="1"/>
  <c r="H386" i="1"/>
  <c r="H390" i="1"/>
  <c r="H394" i="1"/>
  <c r="H398" i="1"/>
  <c r="H402" i="1"/>
  <c r="H406" i="1"/>
  <c r="H410" i="1"/>
  <c r="H414" i="1"/>
  <c r="H418" i="1"/>
  <c r="H422" i="1"/>
  <c r="H426" i="1"/>
  <c r="H430" i="1"/>
  <c r="H434" i="1"/>
  <c r="H438" i="1"/>
  <c r="H442" i="1"/>
  <c r="H446" i="1"/>
  <c r="H450" i="1"/>
  <c r="H454" i="1"/>
  <c r="H458" i="1"/>
  <c r="H462" i="1"/>
  <c r="H466" i="1"/>
  <c r="H470" i="1"/>
  <c r="H474" i="1"/>
  <c r="H478" i="1"/>
  <c r="H482" i="1"/>
  <c r="H487" i="1"/>
  <c r="H493" i="1"/>
  <c r="H506" i="1"/>
  <c r="H512" i="1"/>
  <c r="H519" i="1"/>
  <c r="H525" i="1"/>
  <c r="H538" i="1"/>
  <c r="H544" i="1"/>
  <c r="H551" i="1"/>
  <c r="H557" i="1"/>
  <c r="H570" i="1"/>
  <c r="H576" i="1"/>
  <c r="H583" i="1"/>
  <c r="H589" i="1"/>
  <c r="H602" i="1"/>
  <c r="H608" i="1"/>
  <c r="H615" i="1"/>
  <c r="H621" i="1"/>
  <c r="H634" i="1"/>
  <c r="H640" i="1"/>
  <c r="H647" i="1"/>
  <c r="H653" i="1"/>
  <c r="H666" i="1"/>
  <c r="H672" i="1"/>
  <c r="H679" i="1"/>
  <c r="H685" i="1"/>
  <c r="H698" i="1"/>
  <c r="H704" i="1"/>
  <c r="H711" i="1"/>
  <c r="H717" i="1"/>
  <c r="H730" i="1"/>
  <c r="H736" i="1"/>
  <c r="H743" i="1"/>
  <c r="H749" i="1"/>
  <c r="H762" i="1"/>
  <c r="H768" i="1"/>
  <c r="H775" i="1"/>
  <c r="H781" i="1"/>
  <c r="H794" i="1"/>
  <c r="H800" i="1"/>
  <c r="H807" i="1"/>
  <c r="H813" i="1"/>
  <c r="H820" i="1"/>
  <c r="H831" i="1"/>
  <c r="H1068" i="1"/>
  <c r="H1094" i="1"/>
  <c r="H1145" i="1"/>
  <c r="H1180" i="1"/>
  <c r="H1224" i="1"/>
  <c r="H1288" i="1"/>
  <c r="H1386" i="1"/>
  <c r="H824" i="1"/>
  <c r="H828" i="1"/>
  <c r="H832" i="1"/>
  <c r="H836" i="1"/>
  <c r="H840" i="1"/>
  <c r="H844" i="1"/>
  <c r="H848" i="1"/>
  <c r="H852" i="1"/>
  <c r="H856" i="1"/>
  <c r="H860" i="1"/>
  <c r="H864" i="1"/>
  <c r="H868" i="1"/>
  <c r="H872" i="1"/>
  <c r="H876" i="1"/>
  <c r="H880" i="1"/>
  <c r="H884" i="1"/>
  <c r="H888" i="1"/>
  <c r="H892" i="1"/>
  <c r="H896" i="1"/>
  <c r="H900" i="1"/>
  <c r="H904" i="1"/>
  <c r="H908" i="1"/>
  <c r="H912" i="1"/>
  <c r="H916" i="1"/>
  <c r="H920" i="1"/>
  <c r="H924" i="1"/>
  <c r="H928" i="1"/>
  <c r="H932" i="1"/>
  <c r="H936" i="1"/>
  <c r="H940" i="1"/>
  <c r="H944" i="1"/>
  <c r="H948" i="1"/>
  <c r="H952" i="1"/>
  <c r="H956" i="1"/>
  <c r="H960" i="1"/>
  <c r="H964" i="1"/>
  <c r="H968" i="1"/>
  <c r="H972" i="1"/>
  <c r="H976" i="1"/>
  <c r="H980" i="1"/>
  <c r="H984" i="1"/>
  <c r="H988" i="1"/>
  <c r="H992" i="1"/>
  <c r="H996" i="1"/>
  <c r="H1000" i="1"/>
  <c r="H1004" i="1"/>
  <c r="H1008" i="1"/>
  <c r="H1012" i="1"/>
  <c r="H1016" i="1"/>
  <c r="H1020" i="1"/>
  <c r="H1024" i="1"/>
  <c r="H1028" i="1"/>
  <c r="H1032" i="1"/>
  <c r="H1036" i="1"/>
  <c r="H1040" i="1"/>
  <c r="H1044" i="1"/>
  <c r="H1048" i="1"/>
  <c r="H1052" i="1"/>
  <c r="H1056" i="1"/>
  <c r="H1060" i="1"/>
  <c r="H1064" i="1"/>
  <c r="H1069" i="1"/>
  <c r="H1082" i="1"/>
  <c r="H1088" i="1"/>
  <c r="H1095" i="1"/>
  <c r="H1101" i="1"/>
  <c r="H1114" i="1"/>
  <c r="H1120" i="1"/>
  <c r="H1127" i="1"/>
  <c r="H1133" i="1"/>
  <c r="H1146" i="1"/>
  <c r="H1154" i="1"/>
  <c r="H1162" i="1"/>
  <c r="H1181" i="1"/>
  <c r="H1192" i="1"/>
  <c r="H1213" i="1"/>
  <c r="H1315" i="1"/>
  <c r="H1341" i="1"/>
  <c r="H1366" i="1"/>
  <c r="H1585" i="1"/>
  <c r="H1769" i="1"/>
  <c r="H1070" i="1"/>
  <c r="H1076" i="1"/>
  <c r="H1083" i="1"/>
  <c r="H1089" i="1"/>
  <c r="H1102" i="1"/>
  <c r="H1108" i="1"/>
  <c r="H1115" i="1"/>
  <c r="H1121" i="1"/>
  <c r="H1134" i="1"/>
  <c r="H1140" i="1"/>
  <c r="H1172" i="1"/>
  <c r="H1193" i="1"/>
  <c r="H1204" i="1"/>
  <c r="H1228" i="1"/>
  <c r="H1244" i="1"/>
  <c r="H1260" i="1"/>
  <c r="H1276" i="1"/>
  <c r="H1292" i="1"/>
  <c r="H1316" i="1"/>
  <c r="H1367" i="1"/>
  <c r="H1394" i="1"/>
  <c r="H1434" i="1"/>
  <c r="H1500" i="1"/>
  <c r="H1770" i="1"/>
  <c r="H837" i="1"/>
  <c r="H841" i="1"/>
  <c r="H845" i="1"/>
  <c r="H849" i="1"/>
  <c r="H853" i="1"/>
  <c r="H857" i="1"/>
  <c r="H861" i="1"/>
  <c r="H865" i="1"/>
  <c r="H869" i="1"/>
  <c r="H873" i="1"/>
  <c r="H877" i="1"/>
  <c r="H881" i="1"/>
  <c r="H885" i="1"/>
  <c r="H889" i="1"/>
  <c r="H893" i="1"/>
  <c r="H897" i="1"/>
  <c r="H901" i="1"/>
  <c r="H905" i="1"/>
  <c r="H909" i="1"/>
  <c r="H913" i="1"/>
  <c r="H917" i="1"/>
  <c r="H921" i="1"/>
  <c r="H925" i="1"/>
  <c r="H929" i="1"/>
  <c r="H933" i="1"/>
  <c r="H937" i="1"/>
  <c r="H941" i="1"/>
  <c r="H945" i="1"/>
  <c r="H949" i="1"/>
  <c r="H953" i="1"/>
  <c r="H957" i="1"/>
  <c r="H961" i="1"/>
  <c r="H965" i="1"/>
  <c r="H969" i="1"/>
  <c r="H973" i="1"/>
  <c r="H977" i="1"/>
  <c r="H981" i="1"/>
  <c r="H985" i="1"/>
  <c r="H989" i="1"/>
  <c r="H993" i="1"/>
  <c r="H997" i="1"/>
  <c r="H1001" i="1"/>
  <c r="H1005" i="1"/>
  <c r="H1009" i="1"/>
  <c r="H1013" i="1"/>
  <c r="H1017" i="1"/>
  <c r="H1021" i="1"/>
  <c r="H1025" i="1"/>
  <c r="H1029" i="1"/>
  <c r="H1033" i="1"/>
  <c r="H1037" i="1"/>
  <c r="H1041" i="1"/>
  <c r="H1045" i="1"/>
  <c r="H1049" i="1"/>
  <c r="H1053" i="1"/>
  <c r="H1057" i="1"/>
  <c r="H1061" i="1"/>
  <c r="H1065" i="1"/>
  <c r="H1071" i="1"/>
  <c r="H1077" i="1"/>
  <c r="H1090" i="1"/>
  <c r="H1096" i="1"/>
  <c r="H1103" i="1"/>
  <c r="H1109" i="1"/>
  <c r="H1122" i="1"/>
  <c r="H1128" i="1"/>
  <c r="H1135" i="1"/>
  <c r="H1141" i="1"/>
  <c r="H1148" i="1"/>
  <c r="H1156" i="1"/>
  <c r="H1164" i="1"/>
  <c r="H1173" i="1"/>
  <c r="H1184" i="1"/>
  <c r="H1205" i="1"/>
  <c r="H1216" i="1"/>
  <c r="H1296" i="1"/>
  <c r="H1347" i="1"/>
  <c r="H1373" i="1"/>
  <c r="H1521" i="1"/>
  <c r="H1619" i="1"/>
  <c r="H1851" i="1"/>
  <c r="H1078" i="1"/>
  <c r="H1084" i="1"/>
  <c r="H1091" i="1"/>
  <c r="H1097" i="1"/>
  <c r="H1110" i="1"/>
  <c r="H1116" i="1"/>
  <c r="H1123" i="1"/>
  <c r="H1129" i="1"/>
  <c r="H1142" i="1"/>
  <c r="H1149" i="1"/>
  <c r="H1157" i="1"/>
  <c r="H1165" i="1"/>
  <c r="H1185" i="1"/>
  <c r="H1196" i="1"/>
  <c r="H1217" i="1"/>
  <c r="H1232" i="1"/>
  <c r="H1248" i="1"/>
  <c r="H1264" i="1"/>
  <c r="H1280" i="1"/>
  <c r="H1297" i="1"/>
  <c r="H1322" i="1"/>
  <c r="H1348" i="1"/>
  <c r="H1402" i="1"/>
  <c r="H1450" i="1"/>
  <c r="H1859" i="1"/>
  <c r="H818" i="1"/>
  <c r="H822" i="1"/>
  <c r="H826" i="1"/>
  <c r="H830" i="1"/>
  <c r="H834" i="1"/>
  <c r="H838" i="1"/>
  <c r="H842" i="1"/>
  <c r="H846" i="1"/>
  <c r="H850" i="1"/>
  <c r="H854" i="1"/>
  <c r="H858" i="1"/>
  <c r="H862" i="1"/>
  <c r="H866" i="1"/>
  <c r="H870" i="1"/>
  <c r="H874" i="1"/>
  <c r="H878" i="1"/>
  <c r="H882" i="1"/>
  <c r="H886" i="1"/>
  <c r="H890" i="1"/>
  <c r="H894" i="1"/>
  <c r="H898" i="1"/>
  <c r="H902" i="1"/>
  <c r="H906" i="1"/>
  <c r="H910" i="1"/>
  <c r="H914" i="1"/>
  <c r="H918" i="1"/>
  <c r="H922" i="1"/>
  <c r="H926" i="1"/>
  <c r="H930" i="1"/>
  <c r="H934" i="1"/>
  <c r="H938" i="1"/>
  <c r="H942" i="1"/>
  <c r="H946" i="1"/>
  <c r="H950" i="1"/>
  <c r="H954" i="1"/>
  <c r="H958" i="1"/>
  <c r="H962" i="1"/>
  <c r="H966" i="1"/>
  <c r="H970" i="1"/>
  <c r="H974" i="1"/>
  <c r="H978" i="1"/>
  <c r="H982" i="1"/>
  <c r="H986" i="1"/>
  <c r="H990" i="1"/>
  <c r="H994" i="1"/>
  <c r="H998" i="1"/>
  <c r="H1002" i="1"/>
  <c r="H1006" i="1"/>
  <c r="H1010" i="1"/>
  <c r="H1014" i="1"/>
  <c r="H1018" i="1"/>
  <c r="H1022" i="1"/>
  <c r="H1026" i="1"/>
  <c r="H1030" i="1"/>
  <c r="H1034" i="1"/>
  <c r="H1038" i="1"/>
  <c r="H1042" i="1"/>
  <c r="H1046" i="1"/>
  <c r="H1050" i="1"/>
  <c r="H1054" i="1"/>
  <c r="H1058" i="1"/>
  <c r="H1062" i="1"/>
  <c r="H1066" i="1"/>
  <c r="H1072" i="1"/>
  <c r="H1079" i="1"/>
  <c r="H1085" i="1"/>
  <c r="H1098" i="1"/>
  <c r="H1104" i="1"/>
  <c r="H1111" i="1"/>
  <c r="H1117" i="1"/>
  <c r="H1130" i="1"/>
  <c r="H1136" i="1"/>
  <c r="H1143" i="1"/>
  <c r="H1150" i="1"/>
  <c r="H1158" i="1"/>
  <c r="H1166" i="1"/>
  <c r="H1176" i="1"/>
  <c r="H1197" i="1"/>
  <c r="H1208" i="1"/>
  <c r="H1302" i="1"/>
  <c r="H1328" i="1"/>
  <c r="H1379" i="1"/>
  <c r="H1542" i="1"/>
  <c r="H1660" i="1"/>
  <c r="H1972" i="1"/>
  <c r="H1067" i="1"/>
  <c r="H1073" i="1"/>
  <c r="H1086" i="1"/>
  <c r="H1092" i="1"/>
  <c r="H1099" i="1"/>
  <c r="H1105" i="1"/>
  <c r="H1118" i="1"/>
  <c r="H1124" i="1"/>
  <c r="H1131" i="1"/>
  <c r="H1137" i="1"/>
  <c r="H1177" i="1"/>
  <c r="H1188" i="1"/>
  <c r="H1209" i="1"/>
  <c r="H1220" i="1"/>
  <c r="H1236" i="1"/>
  <c r="H1252" i="1"/>
  <c r="H1268" i="1"/>
  <c r="H1284" i="1"/>
  <c r="H1303" i="1"/>
  <c r="H1329" i="1"/>
  <c r="H1354" i="1"/>
  <c r="H1380" i="1"/>
  <c r="H1410" i="1"/>
  <c r="H1466" i="1"/>
  <c r="H1543" i="1"/>
  <c r="H1663" i="1"/>
  <c r="H1973" i="1"/>
  <c r="H1304" i="1"/>
  <c r="H1310" i="1"/>
  <c r="H1317" i="1"/>
  <c r="H1323" i="1"/>
  <c r="H1336" i="1"/>
  <c r="H1342" i="1"/>
  <c r="H1349" i="1"/>
  <c r="H1355" i="1"/>
  <c r="H1368" i="1"/>
  <c r="H1374" i="1"/>
  <c r="H1381" i="1"/>
  <c r="H1387" i="1"/>
  <c r="H1395" i="1"/>
  <c r="H1403" i="1"/>
  <c r="H1411" i="1"/>
  <c r="H1505" i="1"/>
  <c r="H1526" i="1"/>
  <c r="H1569" i="1"/>
  <c r="H1590" i="1"/>
  <c r="H1628" i="1"/>
  <c r="H1786" i="1"/>
  <c r="H1879" i="1"/>
  <c r="H1221" i="1"/>
  <c r="H1225" i="1"/>
  <c r="H1229" i="1"/>
  <c r="H1233" i="1"/>
  <c r="H1237" i="1"/>
  <c r="H1241" i="1"/>
  <c r="H1245" i="1"/>
  <c r="H1249" i="1"/>
  <c r="H1253" i="1"/>
  <c r="H1257" i="1"/>
  <c r="H1261" i="1"/>
  <c r="H1265" i="1"/>
  <c r="H1269" i="1"/>
  <c r="H1273" i="1"/>
  <c r="H1277" i="1"/>
  <c r="H1281" i="1"/>
  <c r="H1285" i="1"/>
  <c r="H1289" i="1"/>
  <c r="H1293" i="1"/>
  <c r="H1298" i="1"/>
  <c r="H1305" i="1"/>
  <c r="H1311" i="1"/>
  <c r="H1324" i="1"/>
  <c r="H1330" i="1"/>
  <c r="H1337" i="1"/>
  <c r="H1343" i="1"/>
  <c r="H1356" i="1"/>
  <c r="H1362" i="1"/>
  <c r="H1369" i="1"/>
  <c r="H1375" i="1"/>
  <c r="H1388" i="1"/>
  <c r="H1396" i="1"/>
  <c r="H1404" i="1"/>
  <c r="H1412" i="1"/>
  <c r="H1422" i="1"/>
  <c r="H1438" i="1"/>
  <c r="H1454" i="1"/>
  <c r="H1470" i="1"/>
  <c r="H1486" i="1"/>
  <c r="H1527" i="1"/>
  <c r="H1548" i="1"/>
  <c r="H1591" i="1"/>
  <c r="H1631" i="1"/>
  <c r="H1672" i="1"/>
  <c r="H1724" i="1"/>
  <c r="H1791" i="1"/>
  <c r="H2014" i="1"/>
  <c r="H1299" i="1"/>
  <c r="H1312" i="1"/>
  <c r="H1318" i="1"/>
  <c r="H1325" i="1"/>
  <c r="H1331" i="1"/>
  <c r="H1344" i="1"/>
  <c r="H1350" i="1"/>
  <c r="H1357" i="1"/>
  <c r="H1363" i="1"/>
  <c r="H1376" i="1"/>
  <c r="H1382" i="1"/>
  <c r="H1510" i="1"/>
  <c r="H1553" i="1"/>
  <c r="H1574" i="1"/>
  <c r="H1596" i="1"/>
  <c r="H1683" i="1"/>
  <c r="H2057" i="1"/>
  <c r="H1170" i="1"/>
  <c r="H1174" i="1"/>
  <c r="H1178" i="1"/>
  <c r="H1182" i="1"/>
  <c r="H1186" i="1"/>
  <c r="H1190" i="1"/>
  <c r="H1194" i="1"/>
  <c r="H1198" i="1"/>
  <c r="H1202" i="1"/>
  <c r="H1206" i="1"/>
  <c r="H1210" i="1"/>
  <c r="H1214" i="1"/>
  <c r="H1218" i="1"/>
  <c r="H1222" i="1"/>
  <c r="H1226" i="1"/>
  <c r="H1230" i="1"/>
  <c r="H1234" i="1"/>
  <c r="H1238" i="1"/>
  <c r="H1242" i="1"/>
  <c r="H1246" i="1"/>
  <c r="H1250" i="1"/>
  <c r="H1254" i="1"/>
  <c r="H1258" i="1"/>
  <c r="H1262" i="1"/>
  <c r="H1266" i="1"/>
  <c r="H1270" i="1"/>
  <c r="H1274" i="1"/>
  <c r="H1278" i="1"/>
  <c r="H1282" i="1"/>
  <c r="H1286" i="1"/>
  <c r="H1290" i="1"/>
  <c r="H1294" i="1"/>
  <c r="H1300" i="1"/>
  <c r="H1306" i="1"/>
  <c r="H1313" i="1"/>
  <c r="H1319" i="1"/>
  <c r="H1332" i="1"/>
  <c r="H1338" i="1"/>
  <c r="H1345" i="1"/>
  <c r="H1351" i="1"/>
  <c r="H1364" i="1"/>
  <c r="H1370" i="1"/>
  <c r="H1377" i="1"/>
  <c r="H1383" i="1"/>
  <c r="H1390" i="1"/>
  <c r="H1398" i="1"/>
  <c r="H1406" i="1"/>
  <c r="H1414" i="1"/>
  <c r="H1426" i="1"/>
  <c r="H1442" i="1"/>
  <c r="H1458" i="1"/>
  <c r="H1474" i="1"/>
  <c r="H1490" i="1"/>
  <c r="H1511" i="1"/>
  <c r="H1532" i="1"/>
  <c r="H1575" i="1"/>
  <c r="H1599" i="1"/>
  <c r="H1640" i="1"/>
  <c r="H1808" i="1"/>
  <c r="H1910" i="1"/>
  <c r="H2075" i="1"/>
  <c r="H1301" i="1"/>
  <c r="H1307" i="1"/>
  <c r="H1320" i="1"/>
  <c r="H1326" i="1"/>
  <c r="H1333" i="1"/>
  <c r="H1339" i="1"/>
  <c r="H1352" i="1"/>
  <c r="H1358" i="1"/>
  <c r="H1365" i="1"/>
  <c r="H1371" i="1"/>
  <c r="H1384" i="1"/>
  <c r="H1391" i="1"/>
  <c r="H1399" i="1"/>
  <c r="H1407" i="1"/>
  <c r="H1416" i="1"/>
  <c r="H1494" i="1"/>
  <c r="H1537" i="1"/>
  <c r="H1558" i="1"/>
  <c r="H1651" i="1"/>
  <c r="H2125" i="1"/>
  <c r="H1147" i="1"/>
  <c r="H1151" i="1"/>
  <c r="H1155" i="1"/>
  <c r="H1159" i="1"/>
  <c r="H1163" i="1"/>
  <c r="H1167" i="1"/>
  <c r="H1171" i="1"/>
  <c r="H1175" i="1"/>
  <c r="H1179" i="1"/>
  <c r="H1183" i="1"/>
  <c r="H1187" i="1"/>
  <c r="H1191" i="1"/>
  <c r="H1195" i="1"/>
  <c r="H1199" i="1"/>
  <c r="H1203" i="1"/>
  <c r="H1207" i="1"/>
  <c r="H1211" i="1"/>
  <c r="H1215" i="1"/>
  <c r="H1219" i="1"/>
  <c r="H1223" i="1"/>
  <c r="H1227" i="1"/>
  <c r="H1231" i="1"/>
  <c r="H1235" i="1"/>
  <c r="H1239" i="1"/>
  <c r="H1243" i="1"/>
  <c r="H1247" i="1"/>
  <c r="H1251" i="1"/>
  <c r="H1255" i="1"/>
  <c r="H1259" i="1"/>
  <c r="H1263" i="1"/>
  <c r="H1267" i="1"/>
  <c r="H1271" i="1"/>
  <c r="H1275" i="1"/>
  <c r="H1279" i="1"/>
  <c r="H1283" i="1"/>
  <c r="H1287" i="1"/>
  <c r="H1291" i="1"/>
  <c r="H1295" i="1"/>
  <c r="H1308" i="1"/>
  <c r="H1314" i="1"/>
  <c r="H1321" i="1"/>
  <c r="H1327" i="1"/>
  <c r="H1340" i="1"/>
  <c r="H1346" i="1"/>
  <c r="H1353" i="1"/>
  <c r="H1359" i="1"/>
  <c r="H1372" i="1"/>
  <c r="H1378" i="1"/>
  <c r="H1385" i="1"/>
  <c r="H1392" i="1"/>
  <c r="H1400" i="1"/>
  <c r="H1408" i="1"/>
  <c r="H1430" i="1"/>
  <c r="H1446" i="1"/>
  <c r="H1462" i="1"/>
  <c r="H1478" i="1"/>
  <c r="H1495" i="1"/>
  <c r="H1516" i="1"/>
  <c r="H1559" i="1"/>
  <c r="H1580" i="1"/>
  <c r="H1608" i="1"/>
  <c r="H1752" i="1"/>
  <c r="H1832" i="1"/>
  <c r="H2130" i="1"/>
  <c r="H1491" i="1"/>
  <c r="H1501" i="1"/>
  <c r="H1506" i="1"/>
  <c r="H1517" i="1"/>
  <c r="H1522" i="1"/>
  <c r="H1533" i="1"/>
  <c r="H1538" i="1"/>
  <c r="H1549" i="1"/>
  <c r="H1554" i="1"/>
  <c r="H1565" i="1"/>
  <c r="H1570" i="1"/>
  <c r="H1581" i="1"/>
  <c r="H1586" i="1"/>
  <c r="H1611" i="1"/>
  <c r="H1620" i="1"/>
  <c r="H1643" i="1"/>
  <c r="H1652" i="1"/>
  <c r="H1675" i="1"/>
  <c r="H1684" i="1"/>
  <c r="H1697" i="1"/>
  <c r="H1740" i="1"/>
  <c r="H1813" i="1"/>
  <c r="H1889" i="1"/>
  <c r="H1911" i="1"/>
  <c r="H1983" i="1"/>
  <c r="H1415" i="1"/>
  <c r="H1419" i="1"/>
  <c r="H1423" i="1"/>
  <c r="H1427" i="1"/>
  <c r="H1431" i="1"/>
  <c r="H1435" i="1"/>
  <c r="H1439" i="1"/>
  <c r="H1443" i="1"/>
  <c r="H1447" i="1"/>
  <c r="H1451" i="1"/>
  <c r="H1455" i="1"/>
  <c r="H1459" i="1"/>
  <c r="H1463" i="1"/>
  <c r="H1467" i="1"/>
  <c r="H1471" i="1"/>
  <c r="H1475" i="1"/>
  <c r="H1479" i="1"/>
  <c r="H1483" i="1"/>
  <c r="H1487" i="1"/>
  <c r="H1496" i="1"/>
  <c r="H1507" i="1"/>
  <c r="H1512" i="1"/>
  <c r="H1523" i="1"/>
  <c r="H1528" i="1"/>
  <c r="H1539" i="1"/>
  <c r="H1544" i="1"/>
  <c r="H1555" i="1"/>
  <c r="H1560" i="1"/>
  <c r="H1571" i="1"/>
  <c r="H1576" i="1"/>
  <c r="H1587" i="1"/>
  <c r="H1592" i="1"/>
  <c r="H1600" i="1"/>
  <c r="H1623" i="1"/>
  <c r="H1632" i="1"/>
  <c r="H1655" i="1"/>
  <c r="H1664" i="1"/>
  <c r="H1687" i="1"/>
  <c r="H1698" i="1"/>
  <c r="H1713" i="1"/>
  <c r="H1757" i="1"/>
  <c r="H1814" i="1"/>
  <c r="H1860" i="1"/>
  <c r="H1920" i="1"/>
  <c r="H1946" i="1"/>
  <c r="H2027" i="1"/>
  <c r="H2149" i="1"/>
  <c r="H1492" i="1"/>
  <c r="H1497" i="1"/>
  <c r="H1502" i="1"/>
  <c r="H1513" i="1"/>
  <c r="H1518" i="1"/>
  <c r="H1529" i="1"/>
  <c r="H1534" i="1"/>
  <c r="H1545" i="1"/>
  <c r="H1550" i="1"/>
  <c r="H1561" i="1"/>
  <c r="H1566" i="1"/>
  <c r="H1577" i="1"/>
  <c r="H1582" i="1"/>
  <c r="H1593" i="1"/>
  <c r="H1603" i="1"/>
  <c r="H1612" i="1"/>
  <c r="H1635" i="1"/>
  <c r="H1644" i="1"/>
  <c r="H1667" i="1"/>
  <c r="H1676" i="1"/>
  <c r="H1702" i="1"/>
  <c r="H1714" i="1"/>
  <c r="H1729" i="1"/>
  <c r="H1758" i="1"/>
  <c r="H1777" i="1"/>
  <c r="H1799" i="1"/>
  <c r="H1841" i="1"/>
  <c r="H1868" i="1"/>
  <c r="H1890" i="1"/>
  <c r="H1921" i="1"/>
  <c r="H1957" i="1"/>
  <c r="H2099" i="1"/>
  <c r="H2154" i="1"/>
  <c r="H1424" i="1"/>
  <c r="H1428" i="1"/>
  <c r="H1432" i="1"/>
  <c r="H1436" i="1"/>
  <c r="H1440" i="1"/>
  <c r="H1444" i="1"/>
  <c r="H1448" i="1"/>
  <c r="H1452" i="1"/>
  <c r="H1456" i="1"/>
  <c r="H1460" i="1"/>
  <c r="H1464" i="1"/>
  <c r="H1468" i="1"/>
  <c r="H1472" i="1"/>
  <c r="H1476" i="1"/>
  <c r="H1480" i="1"/>
  <c r="H1484" i="1"/>
  <c r="H1488" i="1"/>
  <c r="H1503" i="1"/>
  <c r="H1508" i="1"/>
  <c r="H1519" i="1"/>
  <c r="H1524" i="1"/>
  <c r="H1535" i="1"/>
  <c r="H1540" i="1"/>
  <c r="H1551" i="1"/>
  <c r="H1556" i="1"/>
  <c r="H1567" i="1"/>
  <c r="H1572" i="1"/>
  <c r="H1583" i="1"/>
  <c r="H1588" i="1"/>
  <c r="H1594" i="1"/>
  <c r="H1615" i="1"/>
  <c r="H1624" i="1"/>
  <c r="H1647" i="1"/>
  <c r="H1656" i="1"/>
  <c r="H1679" i="1"/>
  <c r="H1688" i="1"/>
  <c r="H1703" i="1"/>
  <c r="H1718" i="1"/>
  <c r="H1730" i="1"/>
  <c r="H1745" i="1"/>
  <c r="H1778" i="1"/>
  <c r="H1842" i="1"/>
  <c r="H1899" i="1"/>
  <c r="H2033" i="1"/>
  <c r="H2173" i="1"/>
  <c r="H1493" i="1"/>
  <c r="H1498" i="1"/>
  <c r="H1509" i="1"/>
  <c r="H1514" i="1"/>
  <c r="H1525" i="1"/>
  <c r="H1530" i="1"/>
  <c r="H1541" i="1"/>
  <c r="H1546" i="1"/>
  <c r="H1557" i="1"/>
  <c r="H1562" i="1"/>
  <c r="H1573" i="1"/>
  <c r="H1578" i="1"/>
  <c r="H1589" i="1"/>
  <c r="H1595" i="1"/>
  <c r="H1604" i="1"/>
  <c r="H1627" i="1"/>
  <c r="H1636" i="1"/>
  <c r="H1659" i="1"/>
  <c r="H1668" i="1"/>
  <c r="H1719" i="1"/>
  <c r="H1734" i="1"/>
  <c r="H1746" i="1"/>
  <c r="H1764" i="1"/>
  <c r="H1800" i="1"/>
  <c r="H1823" i="1"/>
  <c r="H1850" i="1"/>
  <c r="H1869" i="1"/>
  <c r="H1959" i="1"/>
  <c r="H1999" i="1"/>
  <c r="H1389" i="1"/>
  <c r="H1393" i="1"/>
  <c r="H1397" i="1"/>
  <c r="H1401" i="1"/>
  <c r="H1405" i="1"/>
  <c r="H1409" i="1"/>
  <c r="H1413" i="1"/>
  <c r="H1417" i="1"/>
  <c r="H1421" i="1"/>
  <c r="H1425" i="1"/>
  <c r="H1429" i="1"/>
  <c r="H1433" i="1"/>
  <c r="H1437" i="1"/>
  <c r="H1441" i="1"/>
  <c r="H1445" i="1"/>
  <c r="H1449" i="1"/>
  <c r="H1453" i="1"/>
  <c r="H1457" i="1"/>
  <c r="H1461" i="1"/>
  <c r="H1465" i="1"/>
  <c r="H1469" i="1"/>
  <c r="H1473" i="1"/>
  <c r="H1477" i="1"/>
  <c r="H1481" i="1"/>
  <c r="H1485" i="1"/>
  <c r="H1489" i="1"/>
  <c r="H1499" i="1"/>
  <c r="H1504" i="1"/>
  <c r="H1515" i="1"/>
  <c r="H1520" i="1"/>
  <c r="H1531" i="1"/>
  <c r="H1536" i="1"/>
  <c r="H1547" i="1"/>
  <c r="H1552" i="1"/>
  <c r="H1563" i="1"/>
  <c r="H1568" i="1"/>
  <c r="H1579" i="1"/>
  <c r="H1584" i="1"/>
  <c r="H1607" i="1"/>
  <c r="H1616" i="1"/>
  <c r="H1639" i="1"/>
  <c r="H1648" i="1"/>
  <c r="H1671" i="1"/>
  <c r="H1680" i="1"/>
  <c r="H1692" i="1"/>
  <c r="H1735" i="1"/>
  <c r="H1750" i="1"/>
  <c r="H1785" i="1"/>
  <c r="H1805" i="1"/>
  <c r="H1878" i="1"/>
  <c r="H1900" i="1"/>
  <c r="H1931" i="1"/>
  <c r="H2001" i="1"/>
  <c r="H2051" i="1"/>
  <c r="H2179" i="1"/>
  <c r="H1693" i="1"/>
  <c r="H1699" i="1"/>
  <c r="H1704" i="1"/>
  <c r="H1709" i="1"/>
  <c r="H1715" i="1"/>
  <c r="H1720" i="1"/>
  <c r="H1725" i="1"/>
  <c r="H1731" i="1"/>
  <c r="H1736" i="1"/>
  <c r="H1741" i="1"/>
  <c r="H1747" i="1"/>
  <c r="H1765" i="1"/>
  <c r="H1772" i="1"/>
  <c r="H1779" i="1"/>
  <c r="H1834" i="1"/>
  <c r="H1843" i="1"/>
  <c r="H1852" i="1"/>
  <c r="H1861" i="1"/>
  <c r="H1881" i="1"/>
  <c r="H1891" i="1"/>
  <c r="H1902" i="1"/>
  <c r="H1912" i="1"/>
  <c r="H1933" i="1"/>
  <c r="H1962" i="1"/>
  <c r="H1975" i="1"/>
  <c r="H1989" i="1"/>
  <c r="H2082" i="1"/>
  <c r="H2106" i="1"/>
  <c r="H2155" i="1"/>
  <c r="H1597" i="1"/>
  <c r="H1601" i="1"/>
  <c r="H1605" i="1"/>
  <c r="H1609" i="1"/>
  <c r="H1613" i="1"/>
  <c r="H1617" i="1"/>
  <c r="H1621" i="1"/>
  <c r="H1625" i="1"/>
  <c r="H1629" i="1"/>
  <c r="H1633" i="1"/>
  <c r="H1637" i="1"/>
  <c r="H1641" i="1"/>
  <c r="H1645" i="1"/>
  <c r="H1649" i="1"/>
  <c r="H1653" i="1"/>
  <c r="H1657" i="1"/>
  <c r="H1661" i="1"/>
  <c r="H1665" i="1"/>
  <c r="H1669" i="1"/>
  <c r="H1673" i="1"/>
  <c r="H1677" i="1"/>
  <c r="H1681" i="1"/>
  <c r="H1685" i="1"/>
  <c r="H1689" i="1"/>
  <c r="H1694" i="1"/>
  <c r="H1710" i="1"/>
  <c r="H1726" i="1"/>
  <c r="H1742" i="1"/>
  <c r="H1753" i="1"/>
  <c r="H1760" i="1"/>
  <c r="H1766" i="1"/>
  <c r="H1787" i="1"/>
  <c r="H1795" i="1"/>
  <c r="H1802" i="1"/>
  <c r="H1809" i="1"/>
  <c r="H1818" i="1"/>
  <c r="H1827" i="1"/>
  <c r="H1836" i="1"/>
  <c r="H1845" i="1"/>
  <c r="H1873" i="1"/>
  <c r="H1894" i="1"/>
  <c r="H1904" i="1"/>
  <c r="H1949" i="1"/>
  <c r="H2004" i="1"/>
  <c r="H2087" i="1"/>
  <c r="H2111" i="1"/>
  <c r="H2161" i="1"/>
  <c r="H1695" i="1"/>
  <c r="H1700" i="1"/>
  <c r="H1705" i="1"/>
  <c r="H1711" i="1"/>
  <c r="H1716" i="1"/>
  <c r="H1721" i="1"/>
  <c r="H1727" i="1"/>
  <c r="H1732" i="1"/>
  <c r="H1737" i="1"/>
  <c r="H1743" i="1"/>
  <c r="H1748" i="1"/>
  <c r="H1754" i="1"/>
  <c r="H1773" i="1"/>
  <c r="H1781" i="1"/>
  <c r="H1788" i="1"/>
  <c r="H1810" i="1"/>
  <c r="H1846" i="1"/>
  <c r="H1855" i="1"/>
  <c r="H1864" i="1"/>
  <c r="H1884" i="1"/>
  <c r="H1905" i="1"/>
  <c r="H1926" i="1"/>
  <c r="H1936" i="1"/>
  <c r="H1951" i="1"/>
  <c r="H1964" i="1"/>
  <c r="H1978" i="1"/>
  <c r="H2006" i="1"/>
  <c r="H2021" i="1"/>
  <c r="H2039" i="1"/>
  <c r="H2063" i="1"/>
  <c r="H2113" i="1"/>
  <c r="H2137" i="1"/>
  <c r="H2187" i="1"/>
  <c r="H1598" i="1"/>
  <c r="H1602" i="1"/>
  <c r="H1606" i="1"/>
  <c r="H1610" i="1"/>
  <c r="H1614" i="1"/>
  <c r="H1618" i="1"/>
  <c r="H1622" i="1"/>
  <c r="H1626" i="1"/>
  <c r="H1630" i="1"/>
  <c r="H1634" i="1"/>
  <c r="H1638" i="1"/>
  <c r="H1642" i="1"/>
  <c r="H1646" i="1"/>
  <c r="H1650" i="1"/>
  <c r="H1654" i="1"/>
  <c r="H1658" i="1"/>
  <c r="H1662" i="1"/>
  <c r="H1666" i="1"/>
  <c r="H1670" i="1"/>
  <c r="H1674" i="1"/>
  <c r="H1678" i="1"/>
  <c r="H1682" i="1"/>
  <c r="H1686" i="1"/>
  <c r="H1690" i="1"/>
  <c r="H1706" i="1"/>
  <c r="H1722" i="1"/>
  <c r="H1738" i="1"/>
  <c r="H1761" i="1"/>
  <c r="H1768" i="1"/>
  <c r="H1782" i="1"/>
  <c r="H1790" i="1"/>
  <c r="H1796" i="1"/>
  <c r="H1804" i="1"/>
  <c r="H1811" i="1"/>
  <c r="H1819" i="1"/>
  <c r="H1828" i="1"/>
  <c r="H1837" i="1"/>
  <c r="H1885" i="1"/>
  <c r="H1895" i="1"/>
  <c r="H1916" i="1"/>
  <c r="H1952" i="1"/>
  <c r="H1967" i="1"/>
  <c r="H1980" i="1"/>
  <c r="H1994" i="1"/>
  <c r="H2009" i="1"/>
  <c r="H2023" i="1"/>
  <c r="H2045" i="1"/>
  <c r="H2069" i="1"/>
  <c r="H2118" i="1"/>
  <c r="H2142" i="1"/>
  <c r="H1691" i="1"/>
  <c r="H1696" i="1"/>
  <c r="H1701" i="1"/>
  <c r="H1707" i="1"/>
  <c r="H1712" i="1"/>
  <c r="H1717" i="1"/>
  <c r="H1723" i="1"/>
  <c r="H1728" i="1"/>
  <c r="H1733" i="1"/>
  <c r="H1739" i="1"/>
  <c r="H1744" i="1"/>
  <c r="H1749" i="1"/>
  <c r="H1756" i="1"/>
  <c r="H1762" i="1"/>
  <c r="H1776" i="1"/>
  <c r="H1797" i="1"/>
  <c r="H1820" i="1"/>
  <c r="H1829" i="1"/>
  <c r="H1866" i="1"/>
  <c r="H1886" i="1"/>
  <c r="H1896" i="1"/>
  <c r="H1907" i="1"/>
  <c r="H1941" i="1"/>
  <c r="H1954" i="1"/>
  <c r="H2026" i="1"/>
  <c r="H2070" i="1"/>
  <c r="H2094" i="1"/>
  <c r="H2167" i="1"/>
  <c r="H2198" i="1"/>
  <c r="H1937" i="1"/>
  <c r="H1942" i="1"/>
  <c r="H1953" i="1"/>
  <c r="H1958" i="1"/>
  <c r="H1963" i="1"/>
  <c r="H1968" i="1"/>
  <c r="H1984" i="1"/>
  <c r="H2005" i="1"/>
  <c r="H2010" i="1"/>
  <c r="H2015" i="1"/>
  <c r="H2022" i="1"/>
  <c r="H2034" i="1"/>
  <c r="H2046" i="1"/>
  <c r="H2058" i="1"/>
  <c r="H2065" i="1"/>
  <c r="H2077" i="1"/>
  <c r="H2089" i="1"/>
  <c r="H2101" i="1"/>
  <c r="H2107" i="1"/>
  <c r="H2119" i="1"/>
  <c r="H2131" i="1"/>
  <c r="H2143" i="1"/>
  <c r="H2150" i="1"/>
  <c r="H2162" i="1"/>
  <c r="H2174" i="1"/>
  <c r="H1774" i="1"/>
  <c r="H1783" i="1"/>
  <c r="H1792" i="1"/>
  <c r="H1801" i="1"/>
  <c r="H1806" i="1"/>
  <c r="H1815" i="1"/>
  <c r="H1824" i="1"/>
  <c r="H1833" i="1"/>
  <c r="H1838" i="1"/>
  <c r="H1847" i="1"/>
  <c r="H1856" i="1"/>
  <c r="H1865" i="1"/>
  <c r="H1870" i="1"/>
  <c r="H1875" i="1"/>
  <c r="H1880" i="1"/>
  <c r="H1901" i="1"/>
  <c r="H1917" i="1"/>
  <c r="H1922" i="1"/>
  <c r="H1927" i="1"/>
  <c r="H1932" i="1"/>
  <c r="H1943" i="1"/>
  <c r="H1948" i="1"/>
  <c r="H1969" i="1"/>
  <c r="H1974" i="1"/>
  <c r="H1985" i="1"/>
  <c r="H1990" i="1"/>
  <c r="H1995" i="1"/>
  <c r="H2000" i="1"/>
  <c r="H2017" i="1"/>
  <c r="H2029" i="1"/>
  <c r="H2041" i="1"/>
  <c r="H2053" i="1"/>
  <c r="H2059" i="1"/>
  <c r="H2071" i="1"/>
  <c r="H2083" i="1"/>
  <c r="H2095" i="1"/>
  <c r="H2102" i="1"/>
  <c r="H2114" i="1"/>
  <c r="H2126" i="1"/>
  <c r="H2138" i="1"/>
  <c r="H2145" i="1"/>
  <c r="H2157" i="1"/>
  <c r="H2169" i="1"/>
  <c r="H2182" i="1"/>
  <c r="H2199" i="1"/>
  <c r="H2035" i="1"/>
  <c r="H2047" i="1"/>
  <c r="H2054" i="1"/>
  <c r="H2066" i="1"/>
  <c r="H2078" i="1"/>
  <c r="H2090" i="1"/>
  <c r="H2097" i="1"/>
  <c r="H2109" i="1"/>
  <c r="H2121" i="1"/>
  <c r="H2133" i="1"/>
  <c r="H2139" i="1"/>
  <c r="H2151" i="1"/>
  <c r="H2163" i="1"/>
  <c r="H2175" i="1"/>
  <c r="H2183" i="1"/>
  <c r="H2191" i="1"/>
  <c r="H1775" i="1"/>
  <c r="H1784" i="1"/>
  <c r="H1793" i="1"/>
  <c r="H1798" i="1"/>
  <c r="H1807" i="1"/>
  <c r="H1816" i="1"/>
  <c r="H1825" i="1"/>
  <c r="H1830" i="1"/>
  <c r="H1839" i="1"/>
  <c r="H1848" i="1"/>
  <c r="H1857" i="1"/>
  <c r="H1862" i="1"/>
  <c r="H1871" i="1"/>
  <c r="H1876" i="1"/>
  <c r="H1913" i="1"/>
  <c r="H1918" i="1"/>
  <c r="H1923" i="1"/>
  <c r="H1928" i="1"/>
  <c r="H1934" i="1"/>
  <c r="H1939" i="1"/>
  <c r="H1944" i="1"/>
  <c r="H1965" i="1"/>
  <c r="H1981" i="1"/>
  <c r="H1986" i="1"/>
  <c r="H1991" i="1"/>
  <c r="H1996" i="1"/>
  <c r="H2007" i="1"/>
  <c r="H2012" i="1"/>
  <c r="H2018" i="1"/>
  <c r="H2030" i="1"/>
  <c r="H2042" i="1"/>
  <c r="H2049" i="1"/>
  <c r="H2061" i="1"/>
  <c r="H2073" i="1"/>
  <c r="H2085" i="1"/>
  <c r="H2091" i="1"/>
  <c r="H2103" i="1"/>
  <c r="H2115" i="1"/>
  <c r="H2127" i="1"/>
  <c r="H2134" i="1"/>
  <c r="H2146" i="1"/>
  <c r="H2158" i="1"/>
  <c r="H2170" i="1"/>
  <c r="H2203" i="1"/>
  <c r="H1751" i="1"/>
  <c r="H1755" i="1"/>
  <c r="H1759" i="1"/>
  <c r="H1763" i="1"/>
  <c r="H1767" i="1"/>
  <c r="H1771" i="1"/>
  <c r="H1780" i="1"/>
  <c r="H1789" i="1"/>
  <c r="H1794" i="1"/>
  <c r="H1803" i="1"/>
  <c r="H1812" i="1"/>
  <c r="H1821" i="1"/>
  <c r="H1826" i="1"/>
  <c r="H1835" i="1"/>
  <c r="H1844" i="1"/>
  <c r="H1853" i="1"/>
  <c r="H1858" i="1"/>
  <c r="H1867" i="1"/>
  <c r="H1877" i="1"/>
  <c r="H1882" i="1"/>
  <c r="H1887" i="1"/>
  <c r="H1893" i="1"/>
  <c r="H1898" i="1"/>
  <c r="H1903" i="1"/>
  <c r="H1908" i="1"/>
  <c r="H1945" i="1"/>
  <c r="H1950" i="1"/>
  <c r="H1955" i="1"/>
  <c r="H1960" i="1"/>
  <c r="H1966" i="1"/>
  <c r="H1971" i="1"/>
  <c r="H1976" i="1"/>
  <c r="H1997" i="1"/>
  <c r="H2013" i="1"/>
  <c r="H2025" i="1"/>
  <c r="H2037" i="1"/>
  <c r="H2043" i="1"/>
  <c r="H2055" i="1"/>
  <c r="H2067" i="1"/>
  <c r="H2079" i="1"/>
  <c r="H2086" i="1"/>
  <c r="H2098" i="1"/>
  <c r="H2110" i="1"/>
  <c r="H2122" i="1"/>
  <c r="H2129" i="1"/>
  <c r="H2141" i="1"/>
  <c r="H2153" i="1"/>
  <c r="H2165" i="1"/>
  <c r="H2171" i="1"/>
  <c r="H2178" i="1"/>
  <c r="H1817" i="1"/>
  <c r="H1822" i="1"/>
  <c r="H1831" i="1"/>
  <c r="H1840" i="1"/>
  <c r="H1849" i="1"/>
  <c r="H1854" i="1"/>
  <c r="H1863" i="1"/>
  <c r="H1872" i="1"/>
  <c r="H1888" i="1"/>
  <c r="H1909" i="1"/>
  <c r="H1914" i="1"/>
  <c r="H1919" i="1"/>
  <c r="H1925" i="1"/>
  <c r="H1930" i="1"/>
  <c r="H1935" i="1"/>
  <c r="H1940" i="1"/>
  <c r="H1977" i="1"/>
  <c r="H1982" i="1"/>
  <c r="H1987" i="1"/>
  <c r="H1992" i="1"/>
  <c r="H1998" i="1"/>
  <c r="H2003" i="1"/>
  <c r="H2008" i="1"/>
  <c r="H2019" i="1"/>
  <c r="H2031" i="1"/>
  <c r="H2038" i="1"/>
  <c r="H2050" i="1"/>
  <c r="H2062" i="1"/>
  <c r="H2074" i="1"/>
  <c r="H2081" i="1"/>
  <c r="H2093" i="1"/>
  <c r="H2105" i="1"/>
  <c r="H2117" i="1"/>
  <c r="H2123" i="1"/>
  <c r="H2135" i="1"/>
  <c r="H2147" i="1"/>
  <c r="H2159" i="1"/>
  <c r="H2166" i="1"/>
  <c r="H2186" i="1"/>
  <c r="H2190" i="1"/>
  <c r="H2206" i="1"/>
  <c r="H2194" i="1"/>
  <c r="H2207" i="1"/>
  <c r="H1874" i="1"/>
  <c r="H1883" i="1"/>
  <c r="H1892" i="1"/>
  <c r="H1897" i="1"/>
  <c r="H1906" i="1"/>
  <c r="H1915" i="1"/>
  <c r="H1924" i="1"/>
  <c r="H1929" i="1"/>
  <c r="H1938" i="1"/>
  <c r="H1947" i="1"/>
  <c r="H1956" i="1"/>
  <c r="H1961" i="1"/>
  <c r="H1970" i="1"/>
  <c r="H1979" i="1"/>
  <c r="H1988" i="1"/>
  <c r="H1993" i="1"/>
  <c r="H2002" i="1"/>
  <c r="H2011" i="1"/>
  <c r="H2195" i="1"/>
  <c r="H2202" i="1"/>
  <c r="H2210" i="1"/>
  <c r="H2016" i="1"/>
  <c r="H2020" i="1"/>
  <c r="H2024" i="1"/>
  <c r="H2028" i="1"/>
  <c r="H2032" i="1"/>
  <c r="H2036" i="1"/>
  <c r="H2040" i="1"/>
  <c r="H2044" i="1"/>
  <c r="H2048" i="1"/>
  <c r="H2052" i="1"/>
  <c r="H2056" i="1"/>
  <c r="H2060" i="1"/>
  <c r="H2064" i="1"/>
  <c r="H2068" i="1"/>
  <c r="H2072" i="1"/>
  <c r="H2076" i="1"/>
  <c r="H2080" i="1"/>
  <c r="H2084" i="1"/>
  <c r="H2088" i="1"/>
  <c r="H2092" i="1"/>
  <c r="H2096" i="1"/>
  <c r="H2100" i="1"/>
  <c r="H2104" i="1"/>
  <c r="H2108" i="1"/>
  <c r="H2112" i="1"/>
  <c r="H2116" i="1"/>
  <c r="H2120" i="1"/>
  <c r="H2124" i="1"/>
  <c r="H2128" i="1"/>
  <c r="H2132" i="1"/>
  <c r="H2136" i="1"/>
  <c r="H2140" i="1"/>
  <c r="H2144" i="1"/>
  <c r="H2148" i="1"/>
  <c r="H2152" i="1"/>
  <c r="H2156" i="1"/>
  <c r="H2160" i="1"/>
  <c r="H2164" i="1"/>
  <c r="H2168" i="1"/>
  <c r="H2172" i="1"/>
  <c r="H2176" i="1"/>
  <c r="H2180" i="1"/>
  <c r="H2184" i="1"/>
  <c r="H2188" i="1"/>
  <c r="H2192" i="1"/>
  <c r="H2196" i="1"/>
  <c r="H2200" i="1"/>
  <c r="H2204" i="1"/>
  <c r="H2208" i="1"/>
  <c r="H2177" i="1"/>
  <c r="H2181" i="1"/>
  <c r="H2185" i="1"/>
  <c r="H2189" i="1"/>
  <c r="H2193" i="1"/>
  <c r="H2197" i="1"/>
  <c r="H2201" i="1"/>
  <c r="H2205" i="1"/>
  <c r="H2209" i="1"/>
  <c r="H2211" i="1"/>
  <c r="J6" i="1"/>
  <c r="J39" i="1"/>
  <c r="J28" i="1"/>
  <c r="L27" i="1"/>
  <c r="L5" i="1"/>
  <c r="J16" i="1"/>
  <c r="O4" i="1" a="1"/>
  <c r="O4" i="1" s="1"/>
  <c r="R15" i="1" a="1"/>
  <c r="R15" i="1" s="1"/>
  <c r="U78" i="1" l="1" a="1"/>
  <c r="U78" i="1" s="1"/>
  <c r="U86" i="1" a="1"/>
  <c r="U86" i="1" s="1"/>
  <c r="U95" i="1" a="1"/>
  <c r="U95" i="1" s="1"/>
  <c r="U83" i="1" a="1"/>
  <c r="U83" i="1" s="1"/>
  <c r="U87" i="1" a="1"/>
  <c r="U87" i="1" s="1"/>
  <c r="U79" i="1" a="1"/>
  <c r="U79" i="1" s="1"/>
  <c r="U91" i="1" a="1"/>
  <c r="U91" i="1" s="1"/>
  <c r="U80" i="1" a="1"/>
  <c r="U80" i="1" s="1"/>
  <c r="U92" i="1" a="1"/>
  <c r="U92" i="1" s="1"/>
  <c r="U96" i="1" a="1"/>
  <c r="U96" i="1" s="1"/>
  <c r="U84" i="1" a="1"/>
  <c r="U84" i="1" s="1"/>
  <c r="U88" i="1" a="1"/>
  <c r="U88" i="1" s="1"/>
  <c r="U81" i="1" a="1"/>
  <c r="U81" i="1" s="1"/>
  <c r="U93" i="1" a="1"/>
  <c r="U93" i="1" s="1"/>
  <c r="U85" i="1" a="1"/>
  <c r="U85" i="1" s="1"/>
  <c r="U89" i="1" a="1"/>
  <c r="U89" i="1" s="1"/>
  <c r="U94" i="1" a="1"/>
  <c r="U94" i="1" s="1"/>
  <c r="U82" i="1" a="1"/>
  <c r="U82" i="1" s="1"/>
  <c r="U90" i="1" a="1"/>
  <c r="U90" i="1" s="1"/>
  <c r="R82" i="1" a="1"/>
  <c r="R82" i="1" s="1"/>
  <c r="R90" i="1" a="1"/>
  <c r="R90" i="1" s="1"/>
  <c r="R87" i="1" a="1"/>
  <c r="R87" i="1" s="1"/>
  <c r="R91" i="1" a="1"/>
  <c r="R91" i="1" s="1"/>
  <c r="R83" i="1" a="1"/>
  <c r="R83" i="1" s="1"/>
  <c r="R84" i="1" a="1"/>
  <c r="R84" i="1" s="1"/>
  <c r="R92" i="1" a="1"/>
  <c r="R92" i="1" s="1"/>
  <c r="R88" i="1" a="1"/>
  <c r="R88" i="1" s="1"/>
  <c r="R96" i="1" a="1"/>
  <c r="R96" i="1" s="1"/>
  <c r="R85" i="1" a="1"/>
  <c r="R85" i="1" s="1"/>
  <c r="R95" i="1" a="1"/>
  <c r="R95" i="1" s="1"/>
  <c r="R89" i="1" a="1"/>
  <c r="R89" i="1" s="1"/>
  <c r="R93" i="1" a="1"/>
  <c r="R93" i="1" s="1"/>
  <c r="R86" i="1" a="1"/>
  <c r="R86" i="1" s="1"/>
  <c r="R94" i="1" a="1"/>
  <c r="R94" i="1" s="1"/>
  <c r="S83" i="1" a="1"/>
  <c r="S83" i="1" s="1"/>
  <c r="S88" i="1" a="1"/>
  <c r="S88" i="1" s="1"/>
  <c r="S92" i="1" a="1"/>
  <c r="S92" i="1" s="1"/>
  <c r="S84" i="1" a="1"/>
  <c r="S84" i="1" s="1"/>
  <c r="S85" i="1" a="1"/>
  <c r="S85" i="1" s="1"/>
  <c r="S93" i="1" a="1"/>
  <c r="S93" i="1" s="1"/>
  <c r="S89" i="1" a="1"/>
  <c r="S89" i="1" s="1"/>
  <c r="S96" i="1" a="1"/>
  <c r="S96" i="1" s="1"/>
  <c r="S86" i="1" a="1"/>
  <c r="S86" i="1" s="1"/>
  <c r="S94" i="1" a="1"/>
  <c r="S94" i="1" s="1"/>
  <c r="S90" i="1" a="1"/>
  <c r="S90" i="1" s="1"/>
  <c r="S95" i="1" a="1"/>
  <c r="S95" i="1" s="1"/>
  <c r="S87" i="1" a="1"/>
  <c r="S87" i="1" s="1"/>
  <c r="S91" i="1" a="1"/>
  <c r="S91" i="1" s="1"/>
  <c r="Q83" i="1" a="1"/>
  <c r="Q83" i="1" s="1"/>
  <c r="Q91" i="1" a="1"/>
  <c r="Q91" i="1" s="1"/>
  <c r="Q84" i="1" a="1"/>
  <c r="Q84" i="1" s="1"/>
  <c r="Q92" i="1" a="1"/>
  <c r="Q92" i="1" s="1"/>
  <c r="Q88" i="1" a="1"/>
  <c r="Q88" i="1" s="1"/>
  <c r="Q89" i="1" a="1"/>
  <c r="Q89" i="1" s="1"/>
  <c r="Q93" i="1" a="1"/>
  <c r="Q93" i="1" s="1"/>
  <c r="Q85" i="1" a="1"/>
  <c r="Q85" i="1" s="1"/>
  <c r="Q95" i="1" a="1"/>
  <c r="Q95" i="1" s="1"/>
  <c r="Q86" i="1" a="1"/>
  <c r="Q86" i="1" s="1"/>
  <c r="Q96" i="1" a="1"/>
  <c r="Q96" i="1" s="1"/>
  <c r="Q90" i="1" a="1"/>
  <c r="Q90" i="1" s="1"/>
  <c r="Q94" i="1" a="1"/>
  <c r="Q94" i="1" s="1"/>
  <c r="Q87" i="1" a="1"/>
  <c r="Q87" i="1" s="1"/>
  <c r="P83" i="1" a="1"/>
  <c r="P83" i="1" s="1"/>
  <c r="P95" i="1" a="1"/>
  <c r="P95" i="1" s="1"/>
  <c r="P88" i="1" a="1"/>
  <c r="P88" i="1" s="1"/>
  <c r="P92" i="1" a="1"/>
  <c r="P92" i="1" s="1"/>
  <c r="P84" i="1" a="1"/>
  <c r="P84" i="1" s="1"/>
  <c r="P96" i="1" a="1"/>
  <c r="P96" i="1" s="1"/>
  <c r="P85" i="1" a="1"/>
  <c r="P85" i="1" s="1"/>
  <c r="P89" i="1" a="1"/>
  <c r="P89" i="1" s="1"/>
  <c r="P93" i="1" a="1"/>
  <c r="P93" i="1" s="1"/>
  <c r="P86" i="1" a="1"/>
  <c r="P86" i="1" s="1"/>
  <c r="P91" i="1" a="1"/>
  <c r="P91" i="1" s="1"/>
  <c r="P90" i="1" a="1"/>
  <c r="P90" i="1" s="1"/>
  <c r="P94" i="1" a="1"/>
  <c r="P94" i="1" s="1"/>
  <c r="P87" i="1" a="1"/>
  <c r="P87" i="1" s="1"/>
  <c r="O87" i="1" a="1"/>
  <c r="O87" i="1" s="1"/>
  <c r="O92" i="1" a="1"/>
  <c r="O92" i="1" s="1"/>
  <c r="O88" i="1" a="1"/>
  <c r="O88" i="1" s="1"/>
  <c r="O89" i="1" a="1"/>
  <c r="O89" i="1" s="1"/>
  <c r="O93" i="1" a="1"/>
  <c r="O93" i="1" s="1"/>
  <c r="O90" i="1" a="1"/>
  <c r="O90" i="1" s="1"/>
  <c r="O95" i="1" a="1"/>
  <c r="O95" i="1" s="1"/>
  <c r="O94" i="1" a="1"/>
  <c r="O94" i="1" s="1"/>
  <c r="O91" i="1" a="1"/>
  <c r="O91" i="1" s="1"/>
  <c r="O96" i="1" a="1"/>
  <c r="O96" i="1" s="1"/>
  <c r="O82" i="1" a="1"/>
  <c r="O82" i="1" s="1"/>
  <c r="O85" i="1" a="1"/>
  <c r="O85" i="1" s="1"/>
  <c r="O83" i="1" a="1"/>
  <c r="O83" i="1" s="1"/>
  <c r="O84" i="1" a="1"/>
  <c r="O84" i="1" s="1"/>
  <c r="O81" i="1" a="1"/>
  <c r="O81" i="1" s="1"/>
  <c r="O86" i="1" a="1"/>
  <c r="O86" i="1" s="1"/>
  <c r="M87" i="1" a="1"/>
  <c r="M87" i="1" s="1"/>
  <c r="M96" i="1" a="1"/>
  <c r="M96" i="1" s="1"/>
  <c r="T96" i="1" s="1"/>
  <c r="M92" i="1" a="1"/>
  <c r="M92" i="1" s="1"/>
  <c r="T92" i="1" s="1"/>
  <c r="M88" i="1" a="1"/>
  <c r="M88" i="1" s="1"/>
  <c r="T88" i="1" s="1"/>
  <c r="M89" i="1" a="1"/>
  <c r="M89" i="1" s="1"/>
  <c r="T89" i="1" s="1"/>
  <c r="M93" i="1" a="1"/>
  <c r="M93" i="1" s="1"/>
  <c r="T93" i="1" s="1"/>
  <c r="M90" i="1" a="1"/>
  <c r="M90" i="1" s="1"/>
  <c r="T90" i="1" s="1"/>
  <c r="M95" i="1" a="1"/>
  <c r="M95" i="1" s="1"/>
  <c r="T95" i="1" s="1"/>
  <c r="M94" i="1" a="1"/>
  <c r="M94" i="1" s="1"/>
  <c r="T94" i="1" s="1"/>
  <c r="M91" i="1" a="1"/>
  <c r="M91" i="1" s="1"/>
  <c r="T91" i="1" s="1"/>
  <c r="M81" i="1" a="1"/>
  <c r="M81" i="1" s="1"/>
  <c r="M82" i="1" a="1"/>
  <c r="M82" i="1" s="1"/>
  <c r="M86" i="1" a="1"/>
  <c r="M86" i="1" s="1"/>
  <c r="M84" i="1" a="1"/>
  <c r="M84" i="1" s="1"/>
  <c r="M83" i="1" a="1"/>
  <c r="M83" i="1" s="1"/>
  <c r="M85" i="1" a="1"/>
  <c r="M85" i="1" s="1"/>
  <c r="N81" i="1" a="1"/>
  <c r="N81" i="1" s="1"/>
  <c r="N89" i="1" a="1"/>
  <c r="N89" i="1" s="1"/>
  <c r="N86" i="1" a="1"/>
  <c r="N86" i="1" s="1"/>
  <c r="N90" i="1" a="1"/>
  <c r="N90" i="1" s="1"/>
  <c r="N82" i="1" a="1"/>
  <c r="N82" i="1" s="1"/>
  <c r="N94" i="1" a="1"/>
  <c r="N94" i="1" s="1"/>
  <c r="N87" i="1" a="1"/>
  <c r="N87" i="1" s="1"/>
  <c r="N95" i="1" a="1"/>
  <c r="N95" i="1" s="1"/>
  <c r="N83" i="1" a="1"/>
  <c r="N83" i="1" s="1"/>
  <c r="N91" i="1" a="1"/>
  <c r="N91" i="1" s="1"/>
  <c r="N88" i="1" a="1"/>
  <c r="N88" i="1" s="1"/>
  <c r="N96" i="1" a="1"/>
  <c r="N96" i="1" s="1"/>
  <c r="N84" i="1" a="1"/>
  <c r="N84" i="1" s="1"/>
  <c r="N92" i="1" a="1"/>
  <c r="N92" i="1" s="1"/>
  <c r="N85" i="1" a="1"/>
  <c r="N85" i="1" s="1"/>
  <c r="N93" i="1" a="1"/>
  <c r="N93" i="1" s="1"/>
  <c r="S80" i="1" a="1"/>
  <c r="S80" i="1" s="1"/>
  <c r="M2" i="1" a="1"/>
  <c r="M2" i="1" s="1"/>
  <c r="U3" i="1" a="1"/>
  <c r="U3" i="1" s="1"/>
  <c r="U15" i="1" a="1"/>
  <c r="U15" i="1" s="1"/>
  <c r="U23" i="1" a="1"/>
  <c r="U23" i="1" s="1"/>
  <c r="U31" i="1" a="1"/>
  <c r="U31" i="1" s="1"/>
  <c r="U39" i="1" a="1"/>
  <c r="U39" i="1" s="1"/>
  <c r="U47" i="1" a="1"/>
  <c r="U47" i="1" s="1"/>
  <c r="U55" i="1" a="1"/>
  <c r="U55" i="1" s="1"/>
  <c r="U63" i="1" a="1"/>
  <c r="U63" i="1" s="1"/>
  <c r="U71" i="1" a="1"/>
  <c r="U71" i="1" s="1"/>
  <c r="U8" i="1" a="1"/>
  <c r="U8" i="1" s="1"/>
  <c r="U12" i="1" a="1"/>
  <c r="U12" i="1" s="1"/>
  <c r="U20" i="1" a="1"/>
  <c r="U20" i="1" s="1"/>
  <c r="U32" i="1" a="1"/>
  <c r="U32" i="1" s="1"/>
  <c r="U40" i="1" a="1"/>
  <c r="U40" i="1" s="1"/>
  <c r="U48" i="1" a="1"/>
  <c r="U48" i="1" s="1"/>
  <c r="U56" i="1" a="1"/>
  <c r="U56" i="1" s="1"/>
  <c r="U64" i="1" a="1"/>
  <c r="U64" i="1" s="1"/>
  <c r="U72" i="1" a="1"/>
  <c r="U72" i="1" s="1"/>
  <c r="U76" i="1" a="1"/>
  <c r="U76" i="1" s="1"/>
  <c r="U4" i="1" a="1"/>
  <c r="U4" i="1" s="1"/>
  <c r="U16" i="1" a="1"/>
  <c r="U16" i="1" s="1"/>
  <c r="U24" i="1" a="1"/>
  <c r="U24" i="1" s="1"/>
  <c r="U28" i="1" a="1"/>
  <c r="U28" i="1" s="1"/>
  <c r="U36" i="1" a="1"/>
  <c r="U36" i="1" s="1"/>
  <c r="U44" i="1" a="1"/>
  <c r="U44" i="1" s="1"/>
  <c r="U52" i="1" a="1"/>
  <c r="U52" i="1" s="1"/>
  <c r="U60" i="1" a="1"/>
  <c r="U60" i="1" s="1"/>
  <c r="U68" i="1" a="1"/>
  <c r="U68" i="1" s="1"/>
  <c r="U9" i="1" a="1"/>
  <c r="U9" i="1" s="1"/>
  <c r="U17" i="1" a="1"/>
  <c r="U17" i="1" s="1"/>
  <c r="U25" i="1" a="1"/>
  <c r="U25" i="1" s="1"/>
  <c r="U33" i="1" a="1"/>
  <c r="U33" i="1" s="1"/>
  <c r="U41" i="1" a="1"/>
  <c r="U41" i="1" s="1"/>
  <c r="U49" i="1" a="1"/>
  <c r="U49" i="1" s="1"/>
  <c r="U57" i="1" a="1"/>
  <c r="U57" i="1" s="1"/>
  <c r="U65" i="1" a="1"/>
  <c r="U65" i="1" s="1"/>
  <c r="U73" i="1" a="1"/>
  <c r="U73" i="1" s="1"/>
  <c r="U5" i="1" a="1"/>
  <c r="U5" i="1" s="1"/>
  <c r="U13" i="1" a="1"/>
  <c r="U13" i="1" s="1"/>
  <c r="U21" i="1" a="1"/>
  <c r="U21" i="1" s="1"/>
  <c r="U29" i="1" a="1"/>
  <c r="U29" i="1" s="1"/>
  <c r="U37" i="1" a="1"/>
  <c r="U37" i="1" s="1"/>
  <c r="U45" i="1" a="1"/>
  <c r="U45" i="1" s="1"/>
  <c r="U53" i="1" a="1"/>
  <c r="U53" i="1" s="1"/>
  <c r="U61" i="1" a="1"/>
  <c r="U61" i="1" s="1"/>
  <c r="U69" i="1" a="1"/>
  <c r="U69" i="1" s="1"/>
  <c r="U77" i="1" a="1"/>
  <c r="U77" i="1" s="1"/>
  <c r="U6" i="1" a="1"/>
  <c r="U6" i="1" s="1"/>
  <c r="U14" i="1" a="1"/>
  <c r="U14" i="1" s="1"/>
  <c r="U26" i="1" a="1"/>
  <c r="U26" i="1" s="1"/>
  <c r="U34" i="1" a="1"/>
  <c r="U34" i="1" s="1"/>
  <c r="U42" i="1" a="1"/>
  <c r="U42" i="1" s="1"/>
  <c r="U50" i="1" a="1"/>
  <c r="U50" i="1" s="1"/>
  <c r="U58" i="1" a="1"/>
  <c r="U58" i="1" s="1"/>
  <c r="U66" i="1" a="1"/>
  <c r="U66" i="1" s="1"/>
  <c r="U70" i="1" a="1"/>
  <c r="U70" i="1" s="1"/>
  <c r="U10" i="1" a="1"/>
  <c r="U10" i="1" s="1"/>
  <c r="U18" i="1" a="1"/>
  <c r="U18" i="1" s="1"/>
  <c r="U22" i="1" a="1"/>
  <c r="U22" i="1" s="1"/>
  <c r="U30" i="1" a="1"/>
  <c r="U30" i="1" s="1"/>
  <c r="U38" i="1" a="1"/>
  <c r="U38" i="1" s="1"/>
  <c r="U46" i="1" a="1"/>
  <c r="U46" i="1" s="1"/>
  <c r="U54" i="1" a="1"/>
  <c r="U54" i="1" s="1"/>
  <c r="U62" i="1" a="1"/>
  <c r="U62" i="1" s="1"/>
  <c r="U74" i="1" a="1"/>
  <c r="U74" i="1" s="1"/>
  <c r="U7" i="1" a="1"/>
  <c r="U7" i="1" s="1"/>
  <c r="U11" i="1" a="1"/>
  <c r="U11" i="1" s="1"/>
  <c r="U19" i="1" a="1"/>
  <c r="U19" i="1" s="1"/>
  <c r="U27" i="1" a="1"/>
  <c r="U27" i="1" s="1"/>
  <c r="U35" i="1" a="1"/>
  <c r="U35" i="1" s="1"/>
  <c r="U43" i="1" a="1"/>
  <c r="U43" i="1" s="1"/>
  <c r="U51" i="1" a="1"/>
  <c r="U51" i="1" s="1"/>
  <c r="U59" i="1" a="1"/>
  <c r="U59" i="1" s="1"/>
  <c r="U67" i="1" a="1"/>
  <c r="U67" i="1" s="1"/>
  <c r="U75" i="1" a="1"/>
  <c r="U75" i="1" s="1"/>
  <c r="U2" i="1" a="1"/>
  <c r="U2" i="1" s="1"/>
  <c r="O15" i="1" a="1"/>
  <c r="O15" i="1" s="1"/>
  <c r="M27" i="1" a="1"/>
  <c r="M27" i="1" s="1"/>
  <c r="N15" i="1" a="1"/>
  <c r="N15" i="1" s="1"/>
  <c r="M5" i="1" a="1"/>
  <c r="M5" i="1" s="1"/>
  <c r="M15" i="1" a="1"/>
  <c r="M15" i="1" s="1"/>
  <c r="R4" i="1" a="1"/>
  <c r="R4" i="1" s="1"/>
  <c r="S15" i="1" a="1"/>
  <c r="S15" i="1" s="1"/>
  <c r="O27" i="1" a="1"/>
  <c r="O27" i="1" s="1"/>
  <c r="S27" i="1" a="1"/>
  <c r="S27" i="1" s="1"/>
  <c r="P27" i="1" a="1"/>
  <c r="P27" i="1" s="1"/>
  <c r="S2" i="1" a="1"/>
  <c r="S2" i="1" s="1"/>
  <c r="Q27" i="1" a="1"/>
  <c r="Q27" i="1" s="1"/>
  <c r="S5" i="1" a="1"/>
  <c r="S5" i="1" s="1"/>
  <c r="N27" i="1" a="1"/>
  <c r="N27" i="1" s="1"/>
  <c r="R27" i="1" a="1"/>
  <c r="R27" i="1" s="1"/>
  <c r="N5" i="1" a="1"/>
  <c r="N5" i="1" s="1"/>
  <c r="R5" i="1" a="1"/>
  <c r="R5" i="1" s="1"/>
  <c r="O5" i="1" a="1"/>
  <c r="O5" i="1" s="1"/>
  <c r="S4" i="1" a="1"/>
  <c r="S4" i="1" s="1"/>
  <c r="P5" i="1" a="1"/>
  <c r="P5" i="1" s="1"/>
  <c r="Q5" i="1" a="1"/>
  <c r="Q5" i="1" s="1"/>
  <c r="R3" i="1" a="1"/>
  <c r="R3" i="1" s="1"/>
  <c r="P4" i="1" a="1"/>
  <c r="P4" i="1" s="1"/>
  <c r="Q3" i="1" a="1"/>
  <c r="Q3" i="1" s="1"/>
  <c r="Q2" i="1" a="1"/>
  <c r="Q2" i="1" s="1"/>
  <c r="P3" i="1" a="1"/>
  <c r="P3" i="1" s="1"/>
  <c r="N4" i="1" a="1"/>
  <c r="N4" i="1" s="1"/>
  <c r="R2" i="1" a="1"/>
  <c r="R2" i="1" s="1"/>
  <c r="S3" i="1" a="1"/>
  <c r="S3" i="1" s="1"/>
  <c r="M3" i="1" a="1"/>
  <c r="M3" i="1" s="1"/>
  <c r="P2" i="1" a="1"/>
  <c r="P2" i="1" s="1"/>
  <c r="M4" i="1" a="1"/>
  <c r="M4" i="1" s="1"/>
  <c r="Q4" i="1" a="1"/>
  <c r="Q4" i="1" s="1"/>
  <c r="N2" i="1" a="1"/>
  <c r="N2" i="1" s="1"/>
  <c r="O2" i="1" a="1"/>
  <c r="O2" i="1" s="1"/>
  <c r="P15" i="1" a="1"/>
  <c r="P15" i="1" s="1"/>
  <c r="T15" i="1" s="1"/>
  <c r="O3" i="1" a="1"/>
  <c r="O3" i="1" s="1"/>
  <c r="N3" i="1" a="1"/>
  <c r="N3" i="1" s="1"/>
  <c r="J51" i="1"/>
  <c r="S39" i="1" a="1"/>
  <c r="S39" i="1" s="1"/>
  <c r="O39" i="1" a="1"/>
  <c r="O39" i="1" s="1"/>
  <c r="R39" i="1" a="1"/>
  <c r="R39" i="1" s="1"/>
  <c r="N39" i="1" a="1"/>
  <c r="N39" i="1" s="1"/>
  <c r="J40" i="1"/>
  <c r="Q39" i="1" a="1"/>
  <c r="Q39" i="1" s="1"/>
  <c r="M39" i="1" a="1"/>
  <c r="M39" i="1" s="1"/>
  <c r="P39" i="1" a="1"/>
  <c r="P39" i="1" s="1"/>
  <c r="L39" i="1"/>
  <c r="T27" i="1"/>
  <c r="J17" i="1"/>
  <c r="Q16" i="1" a="1"/>
  <c r="Q16" i="1" s="1"/>
  <c r="M16" i="1" a="1"/>
  <c r="M16" i="1" s="1"/>
  <c r="P16" i="1" a="1"/>
  <c r="P16" i="1" s="1"/>
  <c r="L16" i="1"/>
  <c r="S16" i="1" a="1"/>
  <c r="S16" i="1" s="1"/>
  <c r="O16" i="1" a="1"/>
  <c r="O16" i="1" s="1"/>
  <c r="N16" i="1" a="1"/>
  <c r="N16" i="1" s="1"/>
  <c r="R16" i="1" a="1"/>
  <c r="R16" i="1" s="1"/>
  <c r="J29" i="1"/>
  <c r="Q28" i="1" a="1"/>
  <c r="Q28" i="1" s="1"/>
  <c r="M28" i="1" a="1"/>
  <c r="M28" i="1" s="1"/>
  <c r="P28" i="1" a="1"/>
  <c r="P28" i="1" s="1"/>
  <c r="L28" i="1"/>
  <c r="S28" i="1" a="1"/>
  <c r="S28" i="1" s="1"/>
  <c r="O28" i="1" a="1"/>
  <c r="O28" i="1" s="1"/>
  <c r="R28" i="1" a="1"/>
  <c r="R28" i="1" s="1"/>
  <c r="N28" i="1" a="1"/>
  <c r="N28" i="1" s="1"/>
  <c r="J7" i="1"/>
  <c r="Q6" i="1" a="1"/>
  <c r="Q6" i="1" s="1"/>
  <c r="M6" i="1" a="1"/>
  <c r="M6" i="1" s="1"/>
  <c r="P6" i="1" a="1"/>
  <c r="P6" i="1" s="1"/>
  <c r="L6" i="1"/>
  <c r="S6" i="1" a="1"/>
  <c r="S6" i="1" s="1"/>
  <c r="O6" i="1" a="1"/>
  <c r="O6" i="1" s="1"/>
  <c r="R6" i="1" a="1"/>
  <c r="R6" i="1" s="1"/>
  <c r="N6" i="1" a="1"/>
  <c r="N6" i="1" s="1"/>
  <c r="T83" i="1" l="1"/>
  <c r="T84" i="1"/>
  <c r="T86" i="1"/>
  <c r="T87" i="1"/>
  <c r="T85" i="1"/>
  <c r="T4" i="1"/>
  <c r="T5" i="1"/>
  <c r="T28" i="1"/>
  <c r="S17" i="1" a="1"/>
  <c r="S17" i="1" s="1"/>
  <c r="O17" i="1" a="1"/>
  <c r="O17" i="1" s="1"/>
  <c r="R17" i="1" a="1"/>
  <c r="R17" i="1" s="1"/>
  <c r="N17" i="1" a="1"/>
  <c r="N17" i="1" s="1"/>
  <c r="J18" i="1"/>
  <c r="Q17" i="1" a="1"/>
  <c r="Q17" i="1" s="1"/>
  <c r="M17" i="1" a="1"/>
  <c r="M17" i="1" s="1"/>
  <c r="P17" i="1" a="1"/>
  <c r="P17" i="1" s="1"/>
  <c r="L17" i="1"/>
  <c r="T2" i="1"/>
  <c r="P7" i="1" a="1"/>
  <c r="P7" i="1" s="1"/>
  <c r="L7" i="1"/>
  <c r="S7" i="1" a="1"/>
  <c r="S7" i="1" s="1"/>
  <c r="O7" i="1" a="1"/>
  <c r="O7" i="1" s="1"/>
  <c r="R7" i="1" a="1"/>
  <c r="R7" i="1" s="1"/>
  <c r="N7" i="1" a="1"/>
  <c r="N7" i="1" s="1"/>
  <c r="J8" i="1"/>
  <c r="Q7" i="1" a="1"/>
  <c r="Q7" i="1" s="1"/>
  <c r="M7" i="1" a="1"/>
  <c r="M7" i="1" s="1"/>
  <c r="T7" i="1" s="1"/>
  <c r="J52" i="1"/>
  <c r="Q51" i="1" a="1"/>
  <c r="Q51" i="1" s="1"/>
  <c r="M51" i="1" a="1"/>
  <c r="M51" i="1" s="1"/>
  <c r="P51" i="1" a="1"/>
  <c r="P51" i="1" s="1"/>
  <c r="L51" i="1"/>
  <c r="J61" i="1"/>
  <c r="S51" i="1" a="1"/>
  <c r="S51" i="1" s="1"/>
  <c r="O51" i="1" a="1"/>
  <c r="O51" i="1" s="1"/>
  <c r="R51" i="1" a="1"/>
  <c r="R51" i="1" s="1"/>
  <c r="N51" i="1" a="1"/>
  <c r="N51" i="1" s="1"/>
  <c r="T6" i="1"/>
  <c r="T39" i="1"/>
  <c r="T16" i="1"/>
  <c r="J41" i="1"/>
  <c r="Q40" i="1" a="1"/>
  <c r="Q40" i="1" s="1"/>
  <c r="M40" i="1" a="1"/>
  <c r="M40" i="1" s="1"/>
  <c r="T40" i="1" s="1"/>
  <c r="P40" i="1" a="1"/>
  <c r="P40" i="1" s="1"/>
  <c r="L40" i="1"/>
  <c r="S40" i="1" a="1"/>
  <c r="S40" i="1" s="1"/>
  <c r="O40" i="1" a="1"/>
  <c r="O40" i="1" s="1"/>
  <c r="R40" i="1" a="1"/>
  <c r="R40" i="1" s="1"/>
  <c r="N40" i="1" a="1"/>
  <c r="N40" i="1" s="1"/>
  <c r="T3" i="1"/>
  <c r="S29" i="1" a="1"/>
  <c r="S29" i="1" s="1"/>
  <c r="O29" i="1" a="1"/>
  <c r="O29" i="1" s="1"/>
  <c r="R29" i="1" a="1"/>
  <c r="R29" i="1" s="1"/>
  <c r="N29" i="1" a="1"/>
  <c r="N29" i="1" s="1"/>
  <c r="J30" i="1"/>
  <c r="Q29" i="1" a="1"/>
  <c r="Q29" i="1" s="1"/>
  <c r="M29" i="1" a="1"/>
  <c r="M29" i="1" s="1"/>
  <c r="P29" i="1" a="1"/>
  <c r="P29" i="1" s="1"/>
  <c r="L29" i="1"/>
  <c r="T17" i="1" l="1"/>
  <c r="T51" i="1"/>
  <c r="J31" i="1"/>
  <c r="Q30" i="1" a="1"/>
  <c r="Q30" i="1" s="1"/>
  <c r="M30" i="1" a="1"/>
  <c r="M30" i="1" s="1"/>
  <c r="P30" i="1" a="1"/>
  <c r="P30" i="1" s="1"/>
  <c r="L30" i="1"/>
  <c r="S30" i="1" a="1"/>
  <c r="S30" i="1" s="1"/>
  <c r="O30" i="1" a="1"/>
  <c r="O30" i="1" s="1"/>
  <c r="R30" i="1" a="1"/>
  <c r="R30" i="1" s="1"/>
  <c r="N30" i="1" a="1"/>
  <c r="N30" i="1" s="1"/>
  <c r="J19" i="1"/>
  <c r="Q18" i="1" a="1"/>
  <c r="Q18" i="1" s="1"/>
  <c r="M18" i="1" a="1"/>
  <c r="M18" i="1" s="1"/>
  <c r="P18" i="1" a="1"/>
  <c r="P18" i="1" s="1"/>
  <c r="L18" i="1"/>
  <c r="S18" i="1" a="1"/>
  <c r="S18" i="1" s="1"/>
  <c r="O18" i="1" a="1"/>
  <c r="O18" i="1" s="1"/>
  <c r="R18" i="1" a="1"/>
  <c r="R18" i="1" s="1"/>
  <c r="N18" i="1" a="1"/>
  <c r="N18" i="1" s="1"/>
  <c r="S52" i="1" a="1"/>
  <c r="S52" i="1" s="1"/>
  <c r="O52" i="1" a="1"/>
  <c r="O52" i="1" s="1"/>
  <c r="R52" i="1" a="1"/>
  <c r="R52" i="1" s="1"/>
  <c r="N52" i="1" a="1"/>
  <c r="N52" i="1" s="1"/>
  <c r="J53" i="1"/>
  <c r="Q52" i="1" a="1"/>
  <c r="Q52" i="1" s="1"/>
  <c r="M52" i="1" a="1"/>
  <c r="M52" i="1" s="1"/>
  <c r="L52" i="1"/>
  <c r="P52" i="1" a="1"/>
  <c r="P52" i="1" s="1"/>
  <c r="T29" i="1"/>
  <c r="P41" i="1" a="1"/>
  <c r="P41" i="1" s="1"/>
  <c r="J42" i="1"/>
  <c r="O41" i="1" a="1"/>
  <c r="O41" i="1" s="1"/>
  <c r="S41" i="1" a="1"/>
  <c r="S41" i="1" s="1"/>
  <c r="N41" i="1" a="1"/>
  <c r="N41" i="1" s="1"/>
  <c r="M41" i="1" a="1"/>
  <c r="M41" i="1" s="1"/>
  <c r="R41" i="1" a="1"/>
  <c r="R41" i="1" s="1"/>
  <c r="Q41" i="1" a="1"/>
  <c r="Q41" i="1" s="1"/>
  <c r="L41" i="1"/>
  <c r="J62" i="1"/>
  <c r="Q61" i="1" a="1"/>
  <c r="Q61" i="1" s="1"/>
  <c r="M61" i="1" a="1"/>
  <c r="M61" i="1" s="1"/>
  <c r="P61" i="1" a="1"/>
  <c r="P61" i="1" s="1"/>
  <c r="L61" i="1"/>
  <c r="S61" i="1" a="1"/>
  <c r="S61" i="1" s="1"/>
  <c r="O61" i="1" a="1"/>
  <c r="O61" i="1" s="1"/>
  <c r="J73" i="1"/>
  <c r="R61" i="1" a="1"/>
  <c r="R61" i="1" s="1"/>
  <c r="N61" i="1" a="1"/>
  <c r="N61" i="1" s="1"/>
  <c r="R8" i="1" a="1"/>
  <c r="R8" i="1" s="1"/>
  <c r="N8" i="1" a="1"/>
  <c r="N8" i="1" s="1"/>
  <c r="J9" i="1"/>
  <c r="Q8" i="1" a="1"/>
  <c r="Q8" i="1" s="1"/>
  <c r="M8" i="1" a="1"/>
  <c r="M8" i="1" s="1"/>
  <c r="P8" i="1" a="1"/>
  <c r="P8" i="1" s="1"/>
  <c r="L8" i="1"/>
  <c r="O8" i="1" a="1"/>
  <c r="O8" i="1" s="1"/>
  <c r="S8" i="1" a="1"/>
  <c r="S8" i="1" s="1"/>
  <c r="T8" i="1" l="1"/>
  <c r="T61" i="1"/>
  <c r="S62" i="1" a="1"/>
  <c r="S62" i="1" s="1"/>
  <c r="O62" i="1" a="1"/>
  <c r="O62" i="1" s="1"/>
  <c r="R62" i="1" a="1"/>
  <c r="R62" i="1" s="1"/>
  <c r="N62" i="1" a="1"/>
  <c r="N62" i="1" s="1"/>
  <c r="J63" i="1"/>
  <c r="Q62" i="1" a="1"/>
  <c r="Q62" i="1" s="1"/>
  <c r="M62" i="1" a="1"/>
  <c r="M62" i="1" s="1"/>
  <c r="P62" i="1" a="1"/>
  <c r="P62" i="1" s="1"/>
  <c r="L62" i="1"/>
  <c r="S42" i="1" a="1"/>
  <c r="S42" i="1" s="1"/>
  <c r="R42" i="1" a="1"/>
  <c r="R42" i="1" s="1"/>
  <c r="J43" i="1"/>
  <c r="Q42" i="1" a="1"/>
  <c r="Q42" i="1" s="1"/>
  <c r="L42" i="1"/>
  <c r="P42" i="1" a="1"/>
  <c r="P42" i="1" s="1"/>
  <c r="O42" i="1" a="1"/>
  <c r="O42" i="1" s="1"/>
  <c r="N42" i="1" a="1"/>
  <c r="N42" i="1" s="1"/>
  <c r="M42" i="1" a="1"/>
  <c r="M42" i="1" s="1"/>
  <c r="T42" i="1" s="1"/>
  <c r="R73" i="1" a="1"/>
  <c r="R73" i="1" s="1"/>
  <c r="N73" i="1" a="1"/>
  <c r="N73" i="1" s="1"/>
  <c r="J85" i="1"/>
  <c r="J74" i="1"/>
  <c r="Q73" i="1" a="1"/>
  <c r="Q73" i="1" s="1"/>
  <c r="M73" i="1" a="1"/>
  <c r="M73" i="1" s="1"/>
  <c r="P73" i="1" a="1"/>
  <c r="P73" i="1" s="1"/>
  <c r="L73" i="1"/>
  <c r="S73" i="1" a="1"/>
  <c r="S73" i="1" s="1"/>
  <c r="O73" i="1" a="1"/>
  <c r="O73" i="1" s="1"/>
  <c r="T18" i="1"/>
  <c r="T30" i="1"/>
  <c r="J10" i="1"/>
  <c r="Q9" i="1" a="1"/>
  <c r="Q9" i="1" s="1"/>
  <c r="M9" i="1" a="1"/>
  <c r="M9" i="1" s="1"/>
  <c r="P9" i="1" a="1"/>
  <c r="P9" i="1" s="1"/>
  <c r="L9" i="1"/>
  <c r="S9" i="1" a="1"/>
  <c r="S9" i="1" s="1"/>
  <c r="O9" i="1" a="1"/>
  <c r="O9" i="1" s="1"/>
  <c r="R9" i="1" a="1"/>
  <c r="R9" i="1" s="1"/>
  <c r="N9" i="1" a="1"/>
  <c r="N9" i="1" s="1"/>
  <c r="T41" i="1"/>
  <c r="S19" i="1" a="1"/>
  <c r="S19" i="1" s="1"/>
  <c r="O19" i="1" a="1"/>
  <c r="O19" i="1" s="1"/>
  <c r="R19" i="1" a="1"/>
  <c r="R19" i="1" s="1"/>
  <c r="N19" i="1" a="1"/>
  <c r="N19" i="1" s="1"/>
  <c r="J20" i="1"/>
  <c r="Q19" i="1" a="1"/>
  <c r="Q19" i="1" s="1"/>
  <c r="M19" i="1" a="1"/>
  <c r="M19" i="1" s="1"/>
  <c r="P19" i="1" a="1"/>
  <c r="P19" i="1" s="1"/>
  <c r="L19" i="1"/>
  <c r="T52" i="1"/>
  <c r="S31" i="1" a="1"/>
  <c r="S31" i="1" s="1"/>
  <c r="O31" i="1" a="1"/>
  <c r="O31" i="1" s="1"/>
  <c r="R31" i="1" a="1"/>
  <c r="R31" i="1" s="1"/>
  <c r="N31" i="1" a="1"/>
  <c r="N31" i="1" s="1"/>
  <c r="J32" i="1"/>
  <c r="Q31" i="1" a="1"/>
  <c r="Q31" i="1" s="1"/>
  <c r="M31" i="1" a="1"/>
  <c r="M31" i="1" s="1"/>
  <c r="P31" i="1" a="1"/>
  <c r="P31" i="1" s="1"/>
  <c r="L31" i="1"/>
  <c r="J54" i="1"/>
  <c r="Q53" i="1" a="1"/>
  <c r="Q53" i="1" s="1"/>
  <c r="M53" i="1" a="1"/>
  <c r="M53" i="1" s="1"/>
  <c r="P53" i="1" a="1"/>
  <c r="P53" i="1" s="1"/>
  <c r="L53" i="1"/>
  <c r="S53" i="1" a="1"/>
  <c r="S53" i="1" s="1"/>
  <c r="O53" i="1" a="1"/>
  <c r="O53" i="1" s="1"/>
  <c r="R53" i="1" a="1"/>
  <c r="R53" i="1" s="1"/>
  <c r="N53" i="1" a="1"/>
  <c r="N53" i="1" s="1"/>
  <c r="T9" i="1" l="1"/>
  <c r="T19" i="1"/>
  <c r="S10" i="1" a="1"/>
  <c r="S10" i="1" s="1"/>
  <c r="O10" i="1" a="1"/>
  <c r="O10" i="1" s="1"/>
  <c r="R10" i="1" a="1"/>
  <c r="R10" i="1" s="1"/>
  <c r="N10" i="1" a="1"/>
  <c r="N10" i="1" s="1"/>
  <c r="J11" i="1"/>
  <c r="Q10" i="1" a="1"/>
  <c r="Q10" i="1" s="1"/>
  <c r="M10" i="1" a="1"/>
  <c r="M10" i="1" s="1"/>
  <c r="L10" i="1"/>
  <c r="P10" i="1" a="1"/>
  <c r="P10" i="1" s="1"/>
  <c r="T62" i="1"/>
  <c r="T53" i="1"/>
  <c r="P74" i="1" a="1"/>
  <c r="P74" i="1" s="1"/>
  <c r="L74" i="1"/>
  <c r="S74" i="1" a="1"/>
  <c r="S74" i="1" s="1"/>
  <c r="O74" i="1" a="1"/>
  <c r="O74" i="1" s="1"/>
  <c r="R74" i="1" a="1"/>
  <c r="R74" i="1" s="1"/>
  <c r="N74" i="1" a="1"/>
  <c r="N74" i="1" s="1"/>
  <c r="Q74" i="1" a="1"/>
  <c r="Q74" i="1" s="1"/>
  <c r="M74" i="1" a="1"/>
  <c r="M74" i="1" s="1"/>
  <c r="J75" i="1"/>
  <c r="J33" i="1"/>
  <c r="Q32" i="1" a="1"/>
  <c r="Q32" i="1" s="1"/>
  <c r="M32" i="1" a="1"/>
  <c r="M32" i="1" s="1"/>
  <c r="P32" i="1" a="1"/>
  <c r="P32" i="1" s="1"/>
  <c r="L32" i="1"/>
  <c r="S32" i="1" a="1"/>
  <c r="S32" i="1" s="1"/>
  <c r="O32" i="1" a="1"/>
  <c r="O32" i="1" s="1"/>
  <c r="R32" i="1" a="1"/>
  <c r="R32" i="1" s="1"/>
  <c r="N32" i="1" a="1"/>
  <c r="N32" i="1" s="1"/>
  <c r="J21" i="1"/>
  <c r="Q20" i="1" a="1"/>
  <c r="Q20" i="1" s="1"/>
  <c r="M20" i="1" a="1"/>
  <c r="M20" i="1" s="1"/>
  <c r="P20" i="1" a="1"/>
  <c r="P20" i="1" s="1"/>
  <c r="L20" i="1"/>
  <c r="S20" i="1" a="1"/>
  <c r="S20" i="1" s="1"/>
  <c r="O20" i="1" a="1"/>
  <c r="O20" i="1" s="1"/>
  <c r="N20" i="1" a="1"/>
  <c r="N20" i="1" s="1"/>
  <c r="R20" i="1" a="1"/>
  <c r="R20" i="1" s="1"/>
  <c r="J86" i="1"/>
  <c r="L85" i="1"/>
  <c r="J64" i="1"/>
  <c r="Q63" i="1" a="1"/>
  <c r="Q63" i="1" s="1"/>
  <c r="M63" i="1" a="1"/>
  <c r="M63" i="1" s="1"/>
  <c r="P63" i="1" a="1"/>
  <c r="P63" i="1" s="1"/>
  <c r="L63" i="1"/>
  <c r="S63" i="1" a="1"/>
  <c r="S63" i="1" s="1"/>
  <c r="O63" i="1" a="1"/>
  <c r="O63" i="1" s="1"/>
  <c r="N63" i="1" a="1"/>
  <c r="N63" i="1" s="1"/>
  <c r="R63" i="1" a="1"/>
  <c r="R63" i="1" s="1"/>
  <c r="J44" i="1"/>
  <c r="Q43" i="1" a="1"/>
  <c r="Q43" i="1" s="1"/>
  <c r="M43" i="1" a="1"/>
  <c r="M43" i="1" s="1"/>
  <c r="P43" i="1" a="1"/>
  <c r="P43" i="1" s="1"/>
  <c r="L43" i="1"/>
  <c r="S43" i="1" a="1"/>
  <c r="S43" i="1" s="1"/>
  <c r="O43" i="1" a="1"/>
  <c r="O43" i="1" s="1"/>
  <c r="R43" i="1" a="1"/>
  <c r="R43" i="1" s="1"/>
  <c r="N43" i="1" a="1"/>
  <c r="N43" i="1" s="1"/>
  <c r="S54" i="1" a="1"/>
  <c r="S54" i="1" s="1"/>
  <c r="O54" i="1" a="1"/>
  <c r="O54" i="1" s="1"/>
  <c r="R54" i="1" a="1"/>
  <c r="R54" i="1" s="1"/>
  <c r="N54" i="1" a="1"/>
  <c r="N54" i="1" s="1"/>
  <c r="J55" i="1"/>
  <c r="Q54" i="1" a="1"/>
  <c r="Q54" i="1" s="1"/>
  <c r="M54" i="1" a="1"/>
  <c r="M54" i="1" s="1"/>
  <c r="P54" i="1" a="1"/>
  <c r="P54" i="1" s="1"/>
  <c r="L54" i="1"/>
  <c r="T31" i="1"/>
  <c r="T73" i="1"/>
  <c r="J87" i="1" l="1"/>
  <c r="L86" i="1"/>
  <c r="T32" i="1"/>
  <c r="T10" i="1"/>
  <c r="S44" i="1" a="1"/>
  <c r="S44" i="1" s="1"/>
  <c r="O44" i="1" a="1"/>
  <c r="O44" i="1" s="1"/>
  <c r="R44" i="1" a="1"/>
  <c r="R44" i="1" s="1"/>
  <c r="N44" i="1" a="1"/>
  <c r="N44" i="1" s="1"/>
  <c r="J45" i="1"/>
  <c r="Q44" i="1" a="1"/>
  <c r="Q44" i="1" s="1"/>
  <c r="M44" i="1" a="1"/>
  <c r="M44" i="1" s="1"/>
  <c r="L44" i="1"/>
  <c r="P44" i="1" a="1"/>
  <c r="P44" i="1" s="1"/>
  <c r="S21" i="1" a="1"/>
  <c r="S21" i="1" s="1"/>
  <c r="O21" i="1" a="1"/>
  <c r="O21" i="1" s="1"/>
  <c r="R21" i="1" a="1"/>
  <c r="R21" i="1" s="1"/>
  <c r="N21" i="1" a="1"/>
  <c r="N21" i="1" s="1"/>
  <c r="J22" i="1"/>
  <c r="Q21" i="1" a="1"/>
  <c r="Q21" i="1" s="1"/>
  <c r="M21" i="1" a="1"/>
  <c r="M21" i="1" s="1"/>
  <c r="P21" i="1" a="1"/>
  <c r="P21" i="1" s="1"/>
  <c r="L21" i="1"/>
  <c r="J56" i="1"/>
  <c r="Q55" i="1" a="1"/>
  <c r="Q55" i="1" s="1"/>
  <c r="M55" i="1" a="1"/>
  <c r="M55" i="1" s="1"/>
  <c r="P55" i="1" a="1"/>
  <c r="P55" i="1" s="1"/>
  <c r="L55" i="1"/>
  <c r="S55" i="1" a="1"/>
  <c r="S55" i="1" s="1"/>
  <c r="O55" i="1" a="1"/>
  <c r="O55" i="1" s="1"/>
  <c r="N55" i="1" a="1"/>
  <c r="N55" i="1" s="1"/>
  <c r="R55" i="1" a="1"/>
  <c r="R55" i="1" s="1"/>
  <c r="S33" i="1" a="1"/>
  <c r="S33" i="1" s="1"/>
  <c r="O33" i="1" a="1"/>
  <c r="O33" i="1" s="1"/>
  <c r="R33" i="1" a="1"/>
  <c r="R33" i="1" s="1"/>
  <c r="N33" i="1" a="1"/>
  <c r="N33" i="1" s="1"/>
  <c r="J34" i="1"/>
  <c r="Q33" i="1" a="1"/>
  <c r="Q33" i="1" s="1"/>
  <c r="M33" i="1" a="1"/>
  <c r="M33" i="1" s="1"/>
  <c r="P33" i="1" a="1"/>
  <c r="P33" i="1" s="1"/>
  <c r="L33" i="1"/>
  <c r="R11" i="1" a="1"/>
  <c r="R11" i="1" s="1"/>
  <c r="N11" i="1" a="1"/>
  <c r="N11" i="1" s="1"/>
  <c r="J12" i="1"/>
  <c r="Q11" i="1" a="1"/>
  <c r="Q11" i="1" s="1"/>
  <c r="M11" i="1" a="1"/>
  <c r="M11" i="1" s="1"/>
  <c r="P11" i="1" a="1"/>
  <c r="P11" i="1" s="1"/>
  <c r="L11" i="1"/>
  <c r="S11" i="1" a="1"/>
  <c r="S11" i="1" s="1"/>
  <c r="O11" i="1" a="1"/>
  <c r="O11" i="1" s="1"/>
  <c r="R75" i="1" a="1"/>
  <c r="R75" i="1" s="1"/>
  <c r="N75" i="1" a="1"/>
  <c r="N75" i="1" s="1"/>
  <c r="J76" i="1"/>
  <c r="Q75" i="1" a="1"/>
  <c r="Q75" i="1" s="1"/>
  <c r="M75" i="1" a="1"/>
  <c r="M75" i="1" s="1"/>
  <c r="P75" i="1" a="1"/>
  <c r="P75" i="1" s="1"/>
  <c r="L75" i="1"/>
  <c r="S75" i="1" a="1"/>
  <c r="S75" i="1" s="1"/>
  <c r="O75" i="1" a="1"/>
  <c r="O75" i="1" s="1"/>
  <c r="T43" i="1"/>
  <c r="T74" i="1"/>
  <c r="T63" i="1"/>
  <c r="T54" i="1"/>
  <c r="S64" i="1" a="1"/>
  <c r="S64" i="1" s="1"/>
  <c r="O64" i="1" a="1"/>
  <c r="O64" i="1" s="1"/>
  <c r="R64" i="1" a="1"/>
  <c r="R64" i="1" s="1"/>
  <c r="N64" i="1" a="1"/>
  <c r="N64" i="1" s="1"/>
  <c r="J65" i="1"/>
  <c r="Q64" i="1" a="1"/>
  <c r="Q64" i="1" s="1"/>
  <c r="M64" i="1" a="1"/>
  <c r="M64" i="1" s="1"/>
  <c r="P64" i="1" a="1"/>
  <c r="P64" i="1" s="1"/>
  <c r="L64" i="1"/>
  <c r="T20" i="1"/>
  <c r="T55" i="1" l="1"/>
  <c r="J46" i="1"/>
  <c r="Q45" i="1" a="1"/>
  <c r="Q45" i="1" s="1"/>
  <c r="M45" i="1" a="1"/>
  <c r="M45" i="1" s="1"/>
  <c r="P45" i="1" a="1"/>
  <c r="P45" i="1" s="1"/>
  <c r="L45" i="1"/>
  <c r="S45" i="1" a="1"/>
  <c r="S45" i="1" s="1"/>
  <c r="O45" i="1" a="1"/>
  <c r="O45" i="1" s="1"/>
  <c r="R45" i="1" a="1"/>
  <c r="R45" i="1" s="1"/>
  <c r="N45" i="1" a="1"/>
  <c r="N45" i="1" s="1"/>
  <c r="S56" i="1" a="1"/>
  <c r="S56" i="1" s="1"/>
  <c r="O56" i="1" a="1"/>
  <c r="O56" i="1" s="1"/>
  <c r="R56" i="1" a="1"/>
  <c r="R56" i="1" s="1"/>
  <c r="N56" i="1" a="1"/>
  <c r="N56" i="1" s="1"/>
  <c r="J57" i="1"/>
  <c r="Q56" i="1" a="1"/>
  <c r="Q56" i="1" s="1"/>
  <c r="M56" i="1" a="1"/>
  <c r="M56" i="1" s="1"/>
  <c r="P56" i="1" a="1"/>
  <c r="P56" i="1" s="1"/>
  <c r="L56" i="1"/>
  <c r="L87" i="1"/>
  <c r="J88" i="1"/>
  <c r="T75" i="1"/>
  <c r="T33" i="1"/>
  <c r="T64" i="1"/>
  <c r="P76" i="1" a="1"/>
  <c r="P76" i="1" s="1"/>
  <c r="L76" i="1"/>
  <c r="S76" i="1" a="1"/>
  <c r="S76" i="1" s="1"/>
  <c r="O76" i="1" a="1"/>
  <c r="O76" i="1" s="1"/>
  <c r="R76" i="1" a="1"/>
  <c r="R76" i="1" s="1"/>
  <c r="N76" i="1" a="1"/>
  <c r="N76" i="1" s="1"/>
  <c r="M76" i="1" a="1"/>
  <c r="M76" i="1" s="1"/>
  <c r="J77" i="1"/>
  <c r="Q76" i="1" a="1"/>
  <c r="Q76" i="1" s="1"/>
  <c r="J35" i="1"/>
  <c r="Q34" i="1" a="1"/>
  <c r="Q34" i="1" s="1"/>
  <c r="M34" i="1" a="1"/>
  <c r="M34" i="1" s="1"/>
  <c r="P34" i="1" a="1"/>
  <c r="P34" i="1" s="1"/>
  <c r="L34" i="1"/>
  <c r="S34" i="1" a="1"/>
  <c r="S34" i="1" s="1"/>
  <c r="O34" i="1" a="1"/>
  <c r="O34" i="1" s="1"/>
  <c r="R34" i="1" a="1"/>
  <c r="R34" i="1" s="1"/>
  <c r="N34" i="1" a="1"/>
  <c r="N34" i="1" s="1"/>
  <c r="T21" i="1"/>
  <c r="T11" i="1"/>
  <c r="J66" i="1"/>
  <c r="Q65" i="1" a="1"/>
  <c r="Q65" i="1" s="1"/>
  <c r="M65" i="1" a="1"/>
  <c r="M65" i="1" s="1"/>
  <c r="P65" i="1" a="1"/>
  <c r="P65" i="1" s="1"/>
  <c r="L65" i="1"/>
  <c r="S65" i="1" a="1"/>
  <c r="S65" i="1" s="1"/>
  <c r="O65" i="1" a="1"/>
  <c r="O65" i="1" s="1"/>
  <c r="R65" i="1" a="1"/>
  <c r="R65" i="1" s="1"/>
  <c r="N65" i="1" a="1"/>
  <c r="N65" i="1" s="1"/>
  <c r="P12" i="1" a="1"/>
  <c r="P12" i="1" s="1"/>
  <c r="L12" i="1"/>
  <c r="S12" i="1" a="1"/>
  <c r="S12" i="1" s="1"/>
  <c r="O12" i="1" a="1"/>
  <c r="O12" i="1" s="1"/>
  <c r="R12" i="1" a="1"/>
  <c r="R12" i="1" s="1"/>
  <c r="N12" i="1" a="1"/>
  <c r="N12" i="1" s="1"/>
  <c r="Q12" i="1" a="1"/>
  <c r="Q12" i="1" s="1"/>
  <c r="J13" i="1"/>
  <c r="M12" i="1" a="1"/>
  <c r="M12" i="1" s="1"/>
  <c r="T44" i="1"/>
  <c r="J23" i="1"/>
  <c r="Q22" i="1" a="1"/>
  <c r="Q22" i="1" s="1"/>
  <c r="M22" i="1" a="1"/>
  <c r="M22" i="1" s="1"/>
  <c r="P22" i="1" a="1"/>
  <c r="P22" i="1" s="1"/>
  <c r="L22" i="1"/>
  <c r="S22" i="1" a="1"/>
  <c r="S22" i="1" s="1"/>
  <c r="O22" i="1" a="1"/>
  <c r="O22" i="1" s="1"/>
  <c r="R22" i="1" a="1"/>
  <c r="R22" i="1" s="1"/>
  <c r="N22" i="1" a="1"/>
  <c r="N22" i="1" s="1"/>
  <c r="S23" i="1" l="1" a="1"/>
  <c r="S23" i="1" s="1"/>
  <c r="O23" i="1" a="1"/>
  <c r="O23" i="1" s="1"/>
  <c r="R23" i="1" a="1"/>
  <c r="R23" i="1" s="1"/>
  <c r="N23" i="1" a="1"/>
  <c r="N23" i="1" s="1"/>
  <c r="J24" i="1"/>
  <c r="Q23" i="1" a="1"/>
  <c r="Q23" i="1" s="1"/>
  <c r="M23" i="1" a="1"/>
  <c r="M23" i="1" s="1"/>
  <c r="P23" i="1" a="1"/>
  <c r="P23" i="1" s="1"/>
  <c r="L23" i="1"/>
  <c r="R77" i="1" a="1"/>
  <c r="R77" i="1" s="1"/>
  <c r="N77" i="1" a="1"/>
  <c r="N77" i="1" s="1"/>
  <c r="J78" i="1"/>
  <c r="Q77" i="1" a="1"/>
  <c r="Q77" i="1" s="1"/>
  <c r="M77" i="1" a="1"/>
  <c r="M77" i="1" s="1"/>
  <c r="P77" i="1" a="1"/>
  <c r="P77" i="1" s="1"/>
  <c r="L77" i="1"/>
  <c r="S77" i="1" a="1"/>
  <c r="S77" i="1" s="1"/>
  <c r="O77" i="1" a="1"/>
  <c r="O77" i="1" s="1"/>
  <c r="T65" i="1"/>
  <c r="T76" i="1"/>
  <c r="J58" i="1"/>
  <c r="Q57" i="1" a="1"/>
  <c r="Q57" i="1" s="1"/>
  <c r="M57" i="1" a="1"/>
  <c r="M57" i="1" s="1"/>
  <c r="P57" i="1" a="1"/>
  <c r="P57" i="1" s="1"/>
  <c r="L57" i="1"/>
  <c r="S57" i="1" a="1"/>
  <c r="S57" i="1" s="1"/>
  <c r="O57" i="1" a="1"/>
  <c r="O57" i="1" s="1"/>
  <c r="R57" i="1" a="1"/>
  <c r="R57" i="1" s="1"/>
  <c r="N57" i="1" a="1"/>
  <c r="N57" i="1" s="1"/>
  <c r="T12" i="1"/>
  <c r="S13" i="1" a="1"/>
  <c r="S13" i="1" s="1"/>
  <c r="O13" i="1" a="1"/>
  <c r="O13" i="1" s="1"/>
  <c r="R13" i="1" a="1"/>
  <c r="R13" i="1" s="1"/>
  <c r="N13" i="1" a="1"/>
  <c r="N13" i="1" s="1"/>
  <c r="J14" i="1"/>
  <c r="Q13" i="1" a="1"/>
  <c r="Q13" i="1" s="1"/>
  <c r="M13" i="1" a="1"/>
  <c r="M13" i="1" s="1"/>
  <c r="P13" i="1" a="1"/>
  <c r="P13" i="1" s="1"/>
  <c r="L13" i="1"/>
  <c r="S66" i="1" a="1"/>
  <c r="S66" i="1" s="1"/>
  <c r="O66" i="1" a="1"/>
  <c r="O66" i="1" s="1"/>
  <c r="R66" i="1" a="1"/>
  <c r="R66" i="1" s="1"/>
  <c r="N66" i="1" a="1"/>
  <c r="N66" i="1" s="1"/>
  <c r="J67" i="1"/>
  <c r="Q66" i="1" a="1"/>
  <c r="Q66" i="1" s="1"/>
  <c r="M66" i="1" a="1"/>
  <c r="M66" i="1" s="1"/>
  <c r="P66" i="1" a="1"/>
  <c r="P66" i="1" s="1"/>
  <c r="L66" i="1"/>
  <c r="J89" i="1"/>
  <c r="L88" i="1"/>
  <c r="T34" i="1"/>
  <c r="T45" i="1"/>
  <c r="T22" i="1"/>
  <c r="S35" i="1" a="1"/>
  <c r="S35" i="1" s="1"/>
  <c r="O35" i="1" a="1"/>
  <c r="O35" i="1" s="1"/>
  <c r="R35" i="1" a="1"/>
  <c r="R35" i="1" s="1"/>
  <c r="N35" i="1" a="1"/>
  <c r="N35" i="1" s="1"/>
  <c r="J36" i="1"/>
  <c r="Q35" i="1" a="1"/>
  <c r="Q35" i="1" s="1"/>
  <c r="M35" i="1" a="1"/>
  <c r="M35" i="1" s="1"/>
  <c r="P35" i="1" a="1"/>
  <c r="P35" i="1" s="1"/>
  <c r="L35" i="1"/>
  <c r="S46" i="1" a="1"/>
  <c r="S46" i="1" s="1"/>
  <c r="O46" i="1" a="1"/>
  <c r="O46" i="1" s="1"/>
  <c r="R46" i="1" a="1"/>
  <c r="R46" i="1" s="1"/>
  <c r="N46" i="1" a="1"/>
  <c r="N46" i="1" s="1"/>
  <c r="J47" i="1"/>
  <c r="Q46" i="1" a="1"/>
  <c r="Q46" i="1" s="1"/>
  <c r="M46" i="1" a="1"/>
  <c r="M46" i="1" s="1"/>
  <c r="P46" i="1" a="1"/>
  <c r="P46" i="1" s="1"/>
  <c r="L46" i="1"/>
  <c r="T56" i="1"/>
  <c r="T57" i="1" l="1"/>
  <c r="T23" i="1"/>
  <c r="T66" i="1"/>
  <c r="T77" i="1"/>
  <c r="T46" i="1"/>
  <c r="T13" i="1"/>
  <c r="S58" i="1" a="1"/>
  <c r="S58" i="1" s="1"/>
  <c r="O58" i="1" a="1"/>
  <c r="O58" i="1" s="1"/>
  <c r="R58" i="1" a="1"/>
  <c r="R58" i="1" s="1"/>
  <c r="N58" i="1" a="1"/>
  <c r="N58" i="1" s="1"/>
  <c r="J59" i="1"/>
  <c r="Q58" i="1" a="1"/>
  <c r="Q58" i="1" s="1"/>
  <c r="M58" i="1" a="1"/>
  <c r="M58" i="1" s="1"/>
  <c r="P58" i="1" a="1"/>
  <c r="P58" i="1" s="1"/>
  <c r="L58" i="1"/>
  <c r="J25" i="1"/>
  <c r="Q24" i="1" a="1"/>
  <c r="Q24" i="1" s="1"/>
  <c r="M24" i="1" a="1"/>
  <c r="M24" i="1" s="1"/>
  <c r="P24" i="1" a="1"/>
  <c r="P24" i="1" s="1"/>
  <c r="L24" i="1"/>
  <c r="S24" i="1" a="1"/>
  <c r="S24" i="1" s="1"/>
  <c r="O24" i="1" a="1"/>
  <c r="O24" i="1" s="1"/>
  <c r="R24" i="1" a="1"/>
  <c r="R24" i="1" s="1"/>
  <c r="N24" i="1" a="1"/>
  <c r="N24" i="1" s="1"/>
  <c r="T35" i="1"/>
  <c r="J68" i="1"/>
  <c r="Q67" i="1" a="1"/>
  <c r="Q67" i="1" s="1"/>
  <c r="M67" i="1" a="1"/>
  <c r="M67" i="1" s="1"/>
  <c r="P67" i="1" a="1"/>
  <c r="P67" i="1" s="1"/>
  <c r="L67" i="1"/>
  <c r="S67" i="1" a="1"/>
  <c r="S67" i="1" s="1"/>
  <c r="O67" i="1" a="1"/>
  <c r="O67" i="1" s="1"/>
  <c r="R67" i="1" a="1"/>
  <c r="R67" i="1" s="1"/>
  <c r="N67" i="1" a="1"/>
  <c r="N67" i="1" s="1"/>
  <c r="P78" i="1" a="1"/>
  <c r="P78" i="1" s="1"/>
  <c r="L78" i="1"/>
  <c r="S78" i="1" a="1"/>
  <c r="S78" i="1" s="1"/>
  <c r="O78" i="1" a="1"/>
  <c r="O78" i="1" s="1"/>
  <c r="R78" i="1" a="1"/>
  <c r="R78" i="1" s="1"/>
  <c r="N78" i="1" a="1"/>
  <c r="N78" i="1" s="1"/>
  <c r="J79" i="1"/>
  <c r="Q78" i="1" a="1"/>
  <c r="Q78" i="1" s="1"/>
  <c r="M78" i="1" a="1"/>
  <c r="M78" i="1" s="1"/>
  <c r="J48" i="1"/>
  <c r="Q47" i="1" a="1"/>
  <c r="Q47" i="1" s="1"/>
  <c r="M47" i="1" a="1"/>
  <c r="M47" i="1" s="1"/>
  <c r="P47" i="1" a="1"/>
  <c r="P47" i="1" s="1"/>
  <c r="L47" i="1"/>
  <c r="S47" i="1" a="1"/>
  <c r="S47" i="1" s="1"/>
  <c r="O47" i="1" a="1"/>
  <c r="O47" i="1" s="1"/>
  <c r="N47" i="1" a="1"/>
  <c r="N47" i="1" s="1"/>
  <c r="R47" i="1" a="1"/>
  <c r="R47" i="1" s="1"/>
  <c r="Q14" i="1" a="1"/>
  <c r="Q14" i="1" s="1"/>
  <c r="M14" i="1" a="1"/>
  <c r="M14" i="1" s="1"/>
  <c r="P14" i="1" a="1"/>
  <c r="P14" i="1" s="1"/>
  <c r="L14" i="1"/>
  <c r="S14" i="1" a="1"/>
  <c r="S14" i="1" s="1"/>
  <c r="O14" i="1" a="1"/>
  <c r="O14" i="1" s="1"/>
  <c r="N14" i="1" a="1"/>
  <c r="N14" i="1" s="1"/>
  <c r="R14" i="1" a="1"/>
  <c r="R14" i="1" s="1"/>
  <c r="J37" i="1"/>
  <c r="Q36" i="1" a="1"/>
  <c r="Q36" i="1" s="1"/>
  <c r="M36" i="1" a="1"/>
  <c r="M36" i="1" s="1"/>
  <c r="P36" i="1" a="1"/>
  <c r="P36" i="1" s="1"/>
  <c r="L36" i="1"/>
  <c r="S36" i="1" a="1"/>
  <c r="S36" i="1" s="1"/>
  <c r="O36" i="1" a="1"/>
  <c r="O36" i="1" s="1"/>
  <c r="R36" i="1" a="1"/>
  <c r="R36" i="1" s="1"/>
  <c r="N36" i="1" a="1"/>
  <c r="N36" i="1" s="1"/>
  <c r="J90" i="1"/>
  <c r="L89" i="1"/>
  <c r="T36" i="1" l="1"/>
  <c r="T78" i="1"/>
  <c r="S25" i="1" a="1"/>
  <c r="S25" i="1" s="1"/>
  <c r="O25" i="1" a="1"/>
  <c r="O25" i="1" s="1"/>
  <c r="R25" i="1" a="1"/>
  <c r="R25" i="1" s="1"/>
  <c r="N25" i="1" a="1"/>
  <c r="N25" i="1" s="1"/>
  <c r="J26" i="1"/>
  <c r="Q25" i="1" a="1"/>
  <c r="Q25" i="1" s="1"/>
  <c r="M25" i="1" a="1"/>
  <c r="M25" i="1" s="1"/>
  <c r="P25" i="1" a="1"/>
  <c r="P25" i="1" s="1"/>
  <c r="L25" i="1"/>
  <c r="T14" i="1"/>
  <c r="T47" i="1"/>
  <c r="L90" i="1"/>
  <c r="J91" i="1"/>
  <c r="T58" i="1"/>
  <c r="S37" i="1" a="1"/>
  <c r="S37" i="1" s="1"/>
  <c r="O37" i="1" a="1"/>
  <c r="O37" i="1" s="1"/>
  <c r="R37" i="1" a="1"/>
  <c r="R37" i="1" s="1"/>
  <c r="N37" i="1" a="1"/>
  <c r="N37" i="1" s="1"/>
  <c r="J38" i="1"/>
  <c r="Q37" i="1" a="1"/>
  <c r="Q37" i="1" s="1"/>
  <c r="M37" i="1" a="1"/>
  <c r="M37" i="1" s="1"/>
  <c r="P37" i="1" a="1"/>
  <c r="P37" i="1" s="1"/>
  <c r="L37" i="1"/>
  <c r="S48" i="1" a="1"/>
  <c r="S48" i="1" s="1"/>
  <c r="O48" i="1" a="1"/>
  <c r="O48" i="1" s="1"/>
  <c r="R48" i="1" a="1"/>
  <c r="R48" i="1" s="1"/>
  <c r="N48" i="1" a="1"/>
  <c r="N48" i="1" s="1"/>
  <c r="J49" i="1"/>
  <c r="Q48" i="1" a="1"/>
  <c r="Q48" i="1" s="1"/>
  <c r="M48" i="1" a="1"/>
  <c r="M48" i="1" s="1"/>
  <c r="P48" i="1" a="1"/>
  <c r="P48" i="1" s="1"/>
  <c r="L48" i="1"/>
  <c r="T67" i="1"/>
  <c r="J60" i="1"/>
  <c r="Q59" i="1" a="1"/>
  <c r="Q59" i="1" s="1"/>
  <c r="M59" i="1" a="1"/>
  <c r="M59" i="1" s="1"/>
  <c r="P59" i="1" a="1"/>
  <c r="P59" i="1" s="1"/>
  <c r="L59" i="1"/>
  <c r="S59" i="1" a="1"/>
  <c r="S59" i="1" s="1"/>
  <c r="O59" i="1" a="1"/>
  <c r="O59" i="1" s="1"/>
  <c r="R59" i="1" a="1"/>
  <c r="R59" i="1" s="1"/>
  <c r="N59" i="1" a="1"/>
  <c r="N59" i="1" s="1"/>
  <c r="S68" i="1" a="1"/>
  <c r="S68" i="1" s="1"/>
  <c r="O68" i="1" a="1"/>
  <c r="O68" i="1" s="1"/>
  <c r="R68" i="1" a="1"/>
  <c r="R68" i="1" s="1"/>
  <c r="N68" i="1" a="1"/>
  <c r="N68" i="1" s="1"/>
  <c r="J69" i="1"/>
  <c r="Q68" i="1" a="1"/>
  <c r="Q68" i="1" s="1"/>
  <c r="M68" i="1" a="1"/>
  <c r="M68" i="1" s="1"/>
  <c r="L68" i="1"/>
  <c r="P68" i="1" a="1"/>
  <c r="P68" i="1" s="1"/>
  <c r="T24" i="1"/>
  <c r="J80" i="1"/>
  <c r="Q79" i="1" a="1"/>
  <c r="Q79" i="1" s="1"/>
  <c r="P79" i="1" a="1"/>
  <c r="P79" i="1" s="1"/>
  <c r="S79" i="1" a="1"/>
  <c r="S79" i="1" s="1"/>
  <c r="N79" i="1" a="1"/>
  <c r="N79" i="1" s="1"/>
  <c r="R79" i="1" a="1"/>
  <c r="R79" i="1" s="1"/>
  <c r="M79" i="1" a="1"/>
  <c r="M79" i="1" s="1"/>
  <c r="L79" i="1"/>
  <c r="O79" i="1" a="1"/>
  <c r="O79" i="1" s="1"/>
  <c r="T79" i="1" l="1"/>
  <c r="R69" i="1" a="1"/>
  <c r="R69" i="1" s="1"/>
  <c r="N69" i="1" a="1"/>
  <c r="N69" i="1" s="1"/>
  <c r="J70" i="1"/>
  <c r="Q69" i="1" a="1"/>
  <c r="Q69" i="1" s="1"/>
  <c r="M69" i="1" a="1"/>
  <c r="M69" i="1" s="1"/>
  <c r="P69" i="1" a="1"/>
  <c r="P69" i="1" s="1"/>
  <c r="L69" i="1"/>
  <c r="S69" i="1" a="1"/>
  <c r="S69" i="1" s="1"/>
  <c r="O69" i="1" a="1"/>
  <c r="O69" i="1" s="1"/>
  <c r="T25" i="1"/>
  <c r="T48" i="1"/>
  <c r="T37" i="1"/>
  <c r="J92" i="1"/>
  <c r="L91" i="1"/>
  <c r="Q26" i="1" a="1"/>
  <c r="Q26" i="1" s="1"/>
  <c r="M26" i="1" a="1"/>
  <c r="M26" i="1" s="1"/>
  <c r="P26" i="1" a="1"/>
  <c r="P26" i="1" s="1"/>
  <c r="L26" i="1"/>
  <c r="S26" i="1" a="1"/>
  <c r="S26" i="1" s="1"/>
  <c r="O26" i="1" a="1"/>
  <c r="O26" i="1" s="1"/>
  <c r="R26" i="1" a="1"/>
  <c r="R26" i="1" s="1"/>
  <c r="N26" i="1" a="1"/>
  <c r="N26" i="1" s="1"/>
  <c r="O80" i="1" a="1"/>
  <c r="O80" i="1" s="1"/>
  <c r="R80" i="1" a="1"/>
  <c r="R80" i="1" s="1"/>
  <c r="N80" i="1" a="1"/>
  <c r="N80" i="1" s="1"/>
  <c r="M80" i="1" a="1"/>
  <c r="M80" i="1" s="1"/>
  <c r="Q80" i="1" a="1"/>
  <c r="Q80" i="1" s="1"/>
  <c r="L80" i="1"/>
  <c r="J81" i="1"/>
  <c r="P80" i="1" a="1"/>
  <c r="P80" i="1" s="1"/>
  <c r="T59" i="1"/>
  <c r="J50" i="1"/>
  <c r="Q49" i="1" a="1"/>
  <c r="Q49" i="1" s="1"/>
  <c r="M49" i="1" a="1"/>
  <c r="M49" i="1" s="1"/>
  <c r="P49" i="1" a="1"/>
  <c r="P49" i="1" s="1"/>
  <c r="L49" i="1"/>
  <c r="S49" i="1" a="1"/>
  <c r="S49" i="1" s="1"/>
  <c r="O49" i="1" a="1"/>
  <c r="O49" i="1" s="1"/>
  <c r="R49" i="1" a="1"/>
  <c r="R49" i="1" s="1"/>
  <c r="N49" i="1" a="1"/>
  <c r="N49" i="1" s="1"/>
  <c r="Q38" i="1" a="1"/>
  <c r="Q38" i="1" s="1"/>
  <c r="M38" i="1" a="1"/>
  <c r="M38" i="1" s="1"/>
  <c r="P38" i="1" a="1"/>
  <c r="P38" i="1" s="1"/>
  <c r="L38" i="1"/>
  <c r="S38" i="1" a="1"/>
  <c r="S38" i="1" s="1"/>
  <c r="O38" i="1" a="1"/>
  <c r="O38" i="1" s="1"/>
  <c r="R38" i="1" a="1"/>
  <c r="R38" i="1" s="1"/>
  <c r="N38" i="1" a="1"/>
  <c r="N38" i="1" s="1"/>
  <c r="S60" i="1" a="1"/>
  <c r="S60" i="1" s="1"/>
  <c r="O60" i="1" a="1"/>
  <c r="O60" i="1" s="1"/>
  <c r="R60" i="1" a="1"/>
  <c r="R60" i="1" s="1"/>
  <c r="N60" i="1" a="1"/>
  <c r="N60" i="1" s="1"/>
  <c r="Q60" i="1" a="1"/>
  <c r="Q60" i="1" s="1"/>
  <c r="M60" i="1" a="1"/>
  <c r="M60" i="1" s="1"/>
  <c r="L60" i="1"/>
  <c r="P60" i="1" a="1"/>
  <c r="P60" i="1" s="1"/>
  <c r="T68" i="1"/>
  <c r="T26" i="1" l="1"/>
  <c r="T60" i="1"/>
  <c r="J82" i="1"/>
  <c r="Q81" i="1" a="1"/>
  <c r="Q81" i="1" s="1"/>
  <c r="P81" i="1" a="1"/>
  <c r="P81" i="1" s="1"/>
  <c r="L81" i="1"/>
  <c r="S81" i="1" a="1"/>
  <c r="S81" i="1" s="1"/>
  <c r="R81" i="1" a="1"/>
  <c r="R81" i="1" s="1"/>
  <c r="L92" i="1"/>
  <c r="J93" i="1"/>
  <c r="T69" i="1"/>
  <c r="T38" i="1"/>
  <c r="T49" i="1"/>
  <c r="T80" i="1"/>
  <c r="P70" i="1" a="1"/>
  <c r="P70" i="1" s="1"/>
  <c r="L70" i="1"/>
  <c r="S70" i="1" a="1"/>
  <c r="S70" i="1" s="1"/>
  <c r="O70" i="1" a="1"/>
  <c r="O70" i="1" s="1"/>
  <c r="R70" i="1" a="1"/>
  <c r="R70" i="1" s="1"/>
  <c r="N70" i="1" a="1"/>
  <c r="N70" i="1" s="1"/>
  <c r="J71" i="1"/>
  <c r="Q70" i="1" a="1"/>
  <c r="Q70" i="1" s="1"/>
  <c r="M70" i="1" a="1"/>
  <c r="M70" i="1" s="1"/>
  <c r="S50" i="1" a="1"/>
  <c r="S50" i="1" s="1"/>
  <c r="O50" i="1" a="1"/>
  <c r="O50" i="1" s="1"/>
  <c r="R50" i="1" a="1"/>
  <c r="R50" i="1" s="1"/>
  <c r="N50" i="1" a="1"/>
  <c r="N50" i="1" s="1"/>
  <c r="Q50" i="1" a="1"/>
  <c r="Q50" i="1" s="1"/>
  <c r="M50" i="1" a="1"/>
  <c r="M50" i="1" s="1"/>
  <c r="P50" i="1" a="1"/>
  <c r="P50" i="1" s="1"/>
  <c r="L50" i="1"/>
  <c r="T81" i="1" l="1"/>
  <c r="T70" i="1"/>
  <c r="T50" i="1"/>
  <c r="R71" i="1" a="1"/>
  <c r="R71" i="1" s="1"/>
  <c r="N71" i="1" a="1"/>
  <c r="N71" i="1" s="1"/>
  <c r="J72" i="1"/>
  <c r="Q71" i="1" a="1"/>
  <c r="Q71" i="1" s="1"/>
  <c r="M71" i="1" a="1"/>
  <c r="M71" i="1" s="1"/>
  <c r="P71" i="1" a="1"/>
  <c r="P71" i="1" s="1"/>
  <c r="L71" i="1"/>
  <c r="O71" i="1" a="1"/>
  <c r="O71" i="1" s="1"/>
  <c r="S71" i="1" a="1"/>
  <c r="S71" i="1" s="1"/>
  <c r="J94" i="1"/>
  <c r="L93" i="1"/>
  <c r="S82" i="1" a="1"/>
  <c r="S82" i="1" s="1"/>
  <c r="Q82" i="1" a="1"/>
  <c r="Q82" i="1" s="1"/>
  <c r="P82" i="1" a="1"/>
  <c r="P82" i="1" s="1"/>
  <c r="J83" i="1"/>
  <c r="L82" i="1"/>
  <c r="T82" i="1" l="1"/>
  <c r="T71" i="1"/>
  <c r="P72" i="1" a="1"/>
  <c r="P72" i="1" s="1"/>
  <c r="L72" i="1"/>
  <c r="S72" i="1" a="1"/>
  <c r="S72" i="1" s="1"/>
  <c r="O72" i="1" a="1"/>
  <c r="O72" i="1" s="1"/>
  <c r="R72" i="1" a="1"/>
  <c r="R72" i="1" s="1"/>
  <c r="N72" i="1" a="1"/>
  <c r="N72" i="1" s="1"/>
  <c r="Q72" i="1" a="1"/>
  <c r="Q72" i="1" s="1"/>
  <c r="M72" i="1" a="1"/>
  <c r="M72" i="1" s="1"/>
  <c r="J84" i="1"/>
  <c r="L83" i="1"/>
  <c r="J95" i="1"/>
  <c r="L94" i="1"/>
  <c r="L95" i="1" l="1"/>
  <c r="J96" i="1"/>
  <c r="L96" i="1" s="1"/>
  <c r="L84" i="1"/>
  <c r="T7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<sst xmlns="http://schemas.openxmlformats.org/spreadsheetml/2006/main" count="2423" uniqueCount="51">
  <si>
    <t>Year</t>
  </si>
  <si>
    <t>Month</t>
  </si>
  <si>
    <t>Expenditure category</t>
  </si>
  <si>
    <t>Relative importance</t>
  </si>
  <si>
    <t>Unadjusted percent change</t>
  </si>
  <si>
    <t>Unadjusted effect on All Items</t>
  </si>
  <si>
    <t>Food and beverages</t>
  </si>
  <si>
    <t>Transportation</t>
  </si>
  <si>
    <t>Housing</t>
  </si>
  <si>
    <t>Education and communication</t>
  </si>
  <si>
    <t>Recreation</t>
  </si>
  <si>
    <t>Medical care</t>
  </si>
  <si>
    <t>Other goods and services</t>
  </si>
  <si>
    <t>Total</t>
  </si>
  <si>
    <t>All items</t>
  </si>
  <si>
    <t>Food</t>
  </si>
  <si>
    <t>Energy</t>
  </si>
  <si>
    <t>All items less food and energy</t>
  </si>
  <si>
    <t>Special aggregate indexes</t>
  </si>
  <si>
    <t>All items less food</t>
  </si>
  <si>
    <t>All items less shelter</t>
  </si>
  <si>
    <t>All items less food and shelter</t>
  </si>
  <si>
    <t>All items less food, shelter, and energy</t>
  </si>
  <si>
    <t>All items less food, shelter, energy, and used cars and trucks</t>
  </si>
  <si>
    <t>All items less medical care</t>
  </si>
  <si>
    <t>All items less energy</t>
  </si>
  <si>
    <t>Commodities</t>
  </si>
  <si>
    <t>Services</t>
  </si>
  <si>
    <t>Durables</t>
  </si>
  <si>
    <t>Nondurables</t>
  </si>
  <si>
    <t>Education and communication(4)</t>
  </si>
  <si>
    <t>Recreation(4)</t>
  </si>
  <si>
    <t>Other services</t>
  </si>
  <si>
    <t>Apparel less footwear</t>
  </si>
  <si>
    <t>Fuels and utilities</t>
  </si>
  <si>
    <t>Utilities and public transportation</t>
  </si>
  <si>
    <t>Household furnishings and operations</t>
  </si>
  <si>
    <t>All items(4)</t>
  </si>
  <si>
    <t>All items less food and energy(12)</t>
  </si>
  <si>
    <t>All items less food(27)</t>
  </si>
  <si>
    <t>All items less shelter(28)</t>
  </si>
  <si>
    <t>All items less food and shelter(29)</t>
  </si>
  <si>
    <t>All items less food, shelter, and energy(30)</t>
  </si>
  <si>
    <t>All items less food, shelter, energy, and used cars and trucks(31)</t>
  </si>
  <si>
    <t>All items less energy(32)</t>
  </si>
  <si>
    <t>Commodities(33)</t>
  </si>
  <si>
    <t>Services(37)</t>
  </si>
  <si>
    <t>Nondurables(39)</t>
  </si>
  <si>
    <t>Education and communication(5)</t>
  </si>
  <si>
    <t>Recreation(5)</t>
  </si>
  <si>
    <t>Medical care(45)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</si>
</sst>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-yy;@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164" fontId="0" fillId="0" borderId="0" xfId="0" applyNumberFormat="1"/>
    <xf numFmtId="0" fontId="0" fillId="3" borderId="0" xfId="0" applyFill="1"/>
    <xf numFmtId="0" fontId="0" fillId="0" borderId="0" xfId="0"/>
    <xf numFmtId="49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Components</a:t>
            </a:r>
            <a:r>
              <a:rPr lang="en-US" baseline="0"/>
              <a:t> of CPI</a:t>
            </a: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processed_data!$M$1</c:f>
              <c:strCache>
                <c:ptCount val="1"/>
                <c:pt idx="0">
                  <c:v>Food and beverages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processed_data!$L$2:$L$87</c:f>
              <c:numCache>
                <c:formatCode>[$-409]mmmm\-yy;@</c:formatCode>
                <c:ptCount val="86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43770</c:v>
                </c:pt>
                <c:pt idx="58">
                  <c:v>43800</c:v>
                </c:pt>
                <c:pt idx="59">
                  <c:v>43831</c:v>
                </c:pt>
                <c:pt idx="60">
                  <c:v>43862</c:v>
                </c:pt>
                <c:pt idx="61">
                  <c:v>43891</c:v>
                </c:pt>
                <c:pt idx="62">
                  <c:v>43922</c:v>
                </c:pt>
                <c:pt idx="63">
                  <c:v>43952</c:v>
                </c:pt>
                <c:pt idx="64">
                  <c:v>43983</c:v>
                </c:pt>
                <c:pt idx="65">
                  <c:v>44013</c:v>
                </c:pt>
                <c:pt idx="66">
                  <c:v>44044</c:v>
                </c:pt>
                <c:pt idx="67">
                  <c:v>44075</c:v>
                </c:pt>
                <c:pt idx="68">
                  <c:v>44105</c:v>
                </c:pt>
                <c:pt idx="69">
                  <c:v>44136</c:v>
                </c:pt>
                <c:pt idx="70">
                  <c:v>44166</c:v>
                </c:pt>
                <c:pt idx="71">
                  <c:v>44197</c:v>
                </c:pt>
                <c:pt idx="72">
                  <c:v>44228</c:v>
                </c:pt>
                <c:pt idx="73">
                  <c:v>44256</c:v>
                </c:pt>
                <c:pt idx="74">
                  <c:v>44287</c:v>
                </c:pt>
                <c:pt idx="75">
                  <c:v>44317</c:v>
                </c:pt>
                <c:pt idx="76">
                  <c:v>44348</c:v>
                </c:pt>
                <c:pt idx="77">
                  <c:v>44378</c:v>
                </c:pt>
                <c:pt idx="78">
                  <c:v>44409</c:v>
                </c:pt>
                <c:pt idx="79">
                  <c:v>44440</c:v>
                </c:pt>
                <c:pt idx="80">
                  <c:v>44470</c:v>
                </c:pt>
                <c:pt idx="81">
                  <c:v>44501</c:v>
                </c:pt>
                <c:pt idx="82">
                  <c:v>44531</c:v>
                </c:pt>
                <c:pt idx="83">
                  <c:v>44562</c:v>
                </c:pt>
                <c:pt idx="84">
                  <c:v>44593</c:v>
                </c:pt>
                <c:pt idx="85">
                  <c:v>44621</c:v>
                </c:pt>
              </c:numCache>
            </c:numRef>
          </c:cat>
          <c:val>
            <c:numRef>
              <c:f>processed_data!$M$2:$M$87</c:f>
              <c:numCache>
                <c:formatCode>General</c:formatCode>
                <c:ptCount val="86"/>
                <c:pt idx="0">
                  <c:v>0.48699999999999999</c:v>
                </c:pt>
                <c:pt idx="1">
                  <c:v>0.45600000000000002</c:v>
                </c:pt>
                <c:pt idx="2">
                  <c:v>0.42199999999999999</c:v>
                </c:pt>
                <c:pt idx="3">
                  <c:v>0.33800000000000002</c:v>
                </c:pt>
                <c:pt idx="4">
                  <c:v>0.28599999999999998</c:v>
                </c:pt>
                <c:pt idx="5">
                  <c:v>0.23200000000000001</c:v>
                </c:pt>
                <c:pt idx="6">
                  <c:v>0.25800000000000001</c:v>
                </c:pt>
                <c:pt idx="7">
                  <c:v>0.23799999999999999</c:v>
                </c:pt>
                <c:pt idx="8">
                  <c:v>0.22700000000000001</c:v>
                </c:pt>
                <c:pt idx="9">
                  <c:v>0.23499999999999999</c:v>
                </c:pt>
                <c:pt idx="10">
                  <c:v>0.23400000000000001</c:v>
                </c:pt>
                <c:pt idx="11">
                  <c:v>0.183</c:v>
                </c:pt>
                <c:pt idx="12">
                  <c:v>0.11700000000000001</c:v>
                </c:pt>
                <c:pt idx="13">
                  <c:v>0.13300000000000001</c:v>
                </c:pt>
                <c:pt idx="14">
                  <c:v>0.13500000000000001</c:v>
                </c:pt>
                <c:pt idx="15">
                  <c:v>0.123</c:v>
                </c:pt>
                <c:pt idx="16">
                  <c:v>0.14399999999999999</c:v>
                </c:pt>
                <c:pt idx="17">
                  <c:v>0.106</c:v>
                </c:pt>
                <c:pt idx="18">
                  <c:v>5.8999999999999997E-2</c:v>
                </c:pt>
                <c:pt idx="19">
                  <c:v>4.3999999999999997E-2</c:v>
                </c:pt>
                <c:pt idx="20">
                  <c:v>1.4E-2</c:v>
                </c:pt>
                <c:pt idx="21">
                  <c:v>-2.8000000000000001E-2</c:v>
                </c:pt>
                <c:pt idx="22">
                  <c:v>-4.3999999999999997E-2</c:v>
                </c:pt>
                <c:pt idx="23">
                  <c:v>-3.7999999999999999E-2</c:v>
                </c:pt>
                <c:pt idx="24">
                  <c:v>-0.02</c:v>
                </c:pt>
                <c:pt idx="25">
                  <c:v>-0.01</c:v>
                </c:pt>
                <c:pt idx="26">
                  <c:v>8.0000000000000002E-3</c:v>
                </c:pt>
                <c:pt idx="27">
                  <c:v>7.8E-2</c:v>
                </c:pt>
                <c:pt idx="28">
                  <c:v>8.5999999999999993E-2</c:v>
                </c:pt>
                <c:pt idx="29">
                  <c:v>0.129</c:v>
                </c:pt>
                <c:pt idx="30">
                  <c:v>0.13</c:v>
                </c:pt>
                <c:pt idx="31">
                  <c:v>0.158</c:v>
                </c:pt>
                <c:pt idx="32">
                  <c:v>0.16600000000000001</c:v>
                </c:pt>
                <c:pt idx="33">
                  <c:v>0.183</c:v>
                </c:pt>
                <c:pt idx="34">
                  <c:v>0.19400000000000001</c:v>
                </c:pt>
                <c:pt idx="35">
                  <c:v>0.20399999999999999</c:v>
                </c:pt>
                <c:pt idx="36">
                  <c:v>0.23100000000000001</c:v>
                </c:pt>
                <c:pt idx="37">
                  <c:v>0.23699999999999999</c:v>
                </c:pt>
                <c:pt idx="38">
                  <c:v>0.20399999999999999</c:v>
                </c:pt>
                <c:pt idx="39">
                  <c:v>0.188</c:v>
                </c:pt>
                <c:pt idx="40">
                  <c:v>0.20100000000000001</c:v>
                </c:pt>
                <c:pt idx="41">
                  <c:v>0.18</c:v>
                </c:pt>
                <c:pt idx="42">
                  <c:v>0.21</c:v>
                </c:pt>
                <c:pt idx="43">
                  <c:v>0.20499999999999999</c:v>
                </c:pt>
                <c:pt idx="44">
                  <c:v>0.20599999999999999</c:v>
                </c:pt>
                <c:pt idx="45">
                  <c:v>0.19700000000000001</c:v>
                </c:pt>
                <c:pt idx="46">
                  <c:v>0.17599999999999999</c:v>
                </c:pt>
                <c:pt idx="47">
                  <c:v>0.20399999999999999</c:v>
                </c:pt>
                <c:pt idx="48">
                  <c:v>0.22900000000000001</c:v>
                </c:pt>
                <c:pt idx="49">
                  <c:v>0.23200000000000001</c:v>
                </c:pt>
                <c:pt idx="50">
                  <c:v>0.27900000000000003</c:v>
                </c:pt>
                <c:pt idx="51">
                  <c:v>0.29699999999999999</c:v>
                </c:pt>
                <c:pt idx="52">
                  <c:v>0.247</c:v>
                </c:pt>
                <c:pt idx="53">
                  <c:v>0.27700000000000002</c:v>
                </c:pt>
                <c:pt idx="54">
                  <c:v>0.26600000000000001</c:v>
                </c:pt>
                <c:pt idx="55">
                  <c:v>0.254</c:v>
                </c:pt>
                <c:pt idx="56">
                  <c:v>0.245</c:v>
                </c:pt>
                <c:pt idx="57">
                  <c:v>0.27</c:v>
                </c:pt>
                <c:pt idx="58">
                  <c:v>0.246</c:v>
                </c:pt>
                <c:pt idx="59">
                  <c:v>0.252</c:v>
                </c:pt>
                <c:pt idx="60">
                  <c:v>0.255</c:v>
                </c:pt>
                <c:pt idx="61">
                  <c:v>0.27800000000000002</c:v>
                </c:pt>
                <c:pt idx="62">
                  <c:v>0.497</c:v>
                </c:pt>
                <c:pt idx="63">
                  <c:v>0.56899999999999995</c:v>
                </c:pt>
                <c:pt idx="64">
                  <c:v>0.64200000000000002</c:v>
                </c:pt>
                <c:pt idx="65">
                  <c:v>0.57499999999999996</c:v>
                </c:pt>
                <c:pt idx="66">
                  <c:v>0.58199999999999996</c:v>
                </c:pt>
                <c:pt idx="67">
                  <c:v>0.55900000000000005</c:v>
                </c:pt>
                <c:pt idx="68">
                  <c:v>0.56299999999999994</c:v>
                </c:pt>
                <c:pt idx="69">
                  <c:v>0.53800000000000003</c:v>
                </c:pt>
                <c:pt idx="70">
                  <c:v>0.56899999999999995</c:v>
                </c:pt>
                <c:pt idx="71">
                  <c:v>0.54700000000000004</c:v>
                </c:pt>
                <c:pt idx="72">
                  <c:v>0.52</c:v>
                </c:pt>
                <c:pt idx="73">
                  <c:v>0.501</c:v>
                </c:pt>
                <c:pt idx="74">
                  <c:v>0.35599999999999998</c:v>
                </c:pt>
                <c:pt idx="75">
                  <c:v>0.32300000000000001</c:v>
                </c:pt>
                <c:pt idx="76">
                  <c:v>0.36</c:v>
                </c:pt>
                <c:pt idx="77">
                  <c:v>0.51200000000000001</c:v>
                </c:pt>
                <c:pt idx="78">
                  <c:v>0.55400000000000005</c:v>
                </c:pt>
                <c:pt idx="79">
                  <c:v>0.67500000000000004</c:v>
                </c:pt>
                <c:pt idx="80">
                  <c:v>0.77500000000000002</c:v>
                </c:pt>
                <c:pt idx="81">
                  <c:v>0.88</c:v>
                </c:pt>
                <c:pt idx="82">
                  <c:v>0.91</c:v>
                </c:pt>
                <c:pt idx="83">
                  <c:v>1.0009999999999999</c:v>
                </c:pt>
                <c:pt idx="84">
                  <c:v>1.1299999999999999</c:v>
                </c:pt>
                <c:pt idx="85">
                  <c:v>1.2450000000000001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26-49AB-970E-AAADDAB2505D}"/>
            </c:ext>
          </c:extLst>
        </c:ser>
        <c:ser>
          <c:idx val="1"/>
          <c:order val="1"/>
          <c:tx>
            <c:strRef>
              <c:f>processed_data!$N$1</c:f>
              <c:strCache>
                <c:ptCount val="1"/>
                <c:pt idx="0">
                  <c:v>Transportation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processed_data!$L$2:$L$87</c:f>
              <c:numCache>
                <c:formatCode>[$-409]mmmm\-yy;@</c:formatCode>
                <c:ptCount val="86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43770</c:v>
                </c:pt>
                <c:pt idx="58">
                  <c:v>43800</c:v>
                </c:pt>
                <c:pt idx="59">
                  <c:v>43831</c:v>
                </c:pt>
                <c:pt idx="60">
                  <c:v>43862</c:v>
                </c:pt>
                <c:pt idx="61">
                  <c:v>43891</c:v>
                </c:pt>
                <c:pt idx="62">
                  <c:v>43922</c:v>
                </c:pt>
                <c:pt idx="63">
                  <c:v>43952</c:v>
                </c:pt>
                <c:pt idx="64">
                  <c:v>43983</c:v>
                </c:pt>
                <c:pt idx="65">
                  <c:v>44013</c:v>
                </c:pt>
                <c:pt idx="66">
                  <c:v>44044</c:v>
                </c:pt>
                <c:pt idx="67">
                  <c:v>44075</c:v>
                </c:pt>
                <c:pt idx="68">
                  <c:v>44105</c:v>
                </c:pt>
                <c:pt idx="69">
                  <c:v>44136</c:v>
                </c:pt>
                <c:pt idx="70">
                  <c:v>44166</c:v>
                </c:pt>
                <c:pt idx="71">
                  <c:v>44197</c:v>
                </c:pt>
                <c:pt idx="72">
                  <c:v>44228</c:v>
                </c:pt>
                <c:pt idx="73">
                  <c:v>44256</c:v>
                </c:pt>
                <c:pt idx="74">
                  <c:v>44287</c:v>
                </c:pt>
                <c:pt idx="75">
                  <c:v>44317</c:v>
                </c:pt>
                <c:pt idx="76">
                  <c:v>44348</c:v>
                </c:pt>
                <c:pt idx="77">
                  <c:v>44378</c:v>
                </c:pt>
                <c:pt idx="78">
                  <c:v>44409</c:v>
                </c:pt>
                <c:pt idx="79">
                  <c:v>44440</c:v>
                </c:pt>
                <c:pt idx="80">
                  <c:v>44470</c:v>
                </c:pt>
                <c:pt idx="81">
                  <c:v>44501</c:v>
                </c:pt>
                <c:pt idx="82">
                  <c:v>44531</c:v>
                </c:pt>
                <c:pt idx="83">
                  <c:v>44562</c:v>
                </c:pt>
                <c:pt idx="84">
                  <c:v>44593</c:v>
                </c:pt>
                <c:pt idx="85">
                  <c:v>44621</c:v>
                </c:pt>
              </c:numCache>
            </c:numRef>
          </c:cat>
          <c:val>
            <c:numRef>
              <c:f>processed_data!$N$2:$N$87</c:f>
              <c:numCache>
                <c:formatCode>General</c:formatCode>
                <c:ptCount val="86"/>
                <c:pt idx="0">
                  <c:v>-1.0129999999999999</c:v>
                </c:pt>
                <c:pt idx="1">
                  <c:v>-1.7350000000000001</c:v>
                </c:pt>
                <c:pt idx="2">
                  <c:v>-1.587</c:v>
                </c:pt>
                <c:pt idx="3">
                  <c:v>-1.45</c:v>
                </c:pt>
                <c:pt idx="4">
                  <c:v>-1.647</c:v>
                </c:pt>
                <c:pt idx="5">
                  <c:v>-1.2849999999999999</c:v>
                </c:pt>
                <c:pt idx="6">
                  <c:v>-1.171</c:v>
                </c:pt>
                <c:pt idx="7">
                  <c:v>-1.105</c:v>
                </c:pt>
                <c:pt idx="8">
                  <c:v>-1.1259999999999999</c:v>
                </c:pt>
                <c:pt idx="9">
                  <c:v>-1.419</c:v>
                </c:pt>
                <c:pt idx="10">
                  <c:v>-1.2689999999999999</c:v>
                </c:pt>
                <c:pt idx="11">
                  <c:v>-0.94899999999999995</c:v>
                </c:pt>
                <c:pt idx="12">
                  <c:v>-0.63100000000000001</c:v>
                </c:pt>
                <c:pt idx="13">
                  <c:v>-0.06</c:v>
                </c:pt>
                <c:pt idx="14">
                  <c:v>-0.52100000000000002</c:v>
                </c:pt>
                <c:pt idx="15">
                  <c:v>-0.61799999999999999</c:v>
                </c:pt>
                <c:pt idx="16">
                  <c:v>-0.34599999999999997</c:v>
                </c:pt>
                <c:pt idx="17">
                  <c:v>-0.56100000000000005</c:v>
                </c:pt>
                <c:pt idx="18">
                  <c:v>-0.55200000000000005</c:v>
                </c:pt>
                <c:pt idx="19">
                  <c:v>-0.73799999999999999</c:v>
                </c:pt>
                <c:pt idx="20">
                  <c:v>-0.60299999999999998</c:v>
                </c:pt>
                <c:pt idx="21">
                  <c:v>-0.151</c:v>
                </c:pt>
                <c:pt idx="22">
                  <c:v>4.2000000000000003E-2</c:v>
                </c:pt>
                <c:pt idx="23">
                  <c:v>9.0999999999999998E-2</c:v>
                </c:pt>
                <c:pt idx="24">
                  <c:v>0.376</c:v>
                </c:pt>
                <c:pt idx="25">
                  <c:v>0.72599999999999998</c:v>
                </c:pt>
                <c:pt idx="26">
                  <c:v>0.93799999999999994</c:v>
                </c:pt>
                <c:pt idx="27">
                  <c:v>0.69899999999999995</c:v>
                </c:pt>
                <c:pt idx="28">
                  <c:v>0.54300000000000004</c:v>
                </c:pt>
                <c:pt idx="29">
                  <c:v>0.28199999999999997</c:v>
                </c:pt>
                <c:pt idx="30">
                  <c:v>7.8E-2</c:v>
                </c:pt>
                <c:pt idx="31">
                  <c:v>0.182</c:v>
                </c:pt>
                <c:pt idx="32">
                  <c:v>0.42699999999999999</c:v>
                </c:pt>
                <c:pt idx="33">
                  <c:v>0.73199999999999998</c:v>
                </c:pt>
                <c:pt idx="34">
                  <c:v>0.48899999999999999</c:v>
                </c:pt>
                <c:pt idx="35">
                  <c:v>0.67200000000000004</c:v>
                </c:pt>
                <c:pt idx="36">
                  <c:v>0.52800000000000002</c:v>
                </c:pt>
                <c:pt idx="37">
                  <c:v>0.48099999999999998</c:v>
                </c:pt>
                <c:pt idx="38">
                  <c:v>0.65700000000000003</c:v>
                </c:pt>
                <c:pt idx="39">
                  <c:v>0.624</c:v>
                </c:pt>
                <c:pt idx="40">
                  <c:v>0.68200000000000005</c:v>
                </c:pt>
                <c:pt idx="41">
                  <c:v>0.97299999999999998</c:v>
                </c:pt>
                <c:pt idx="42">
                  <c:v>1.091</c:v>
                </c:pt>
                <c:pt idx="43">
                  <c:v>1.177</c:v>
                </c:pt>
                <c:pt idx="44">
                  <c:v>1.0369999999999999</c:v>
                </c:pt>
                <c:pt idx="45">
                  <c:v>0.63</c:v>
                </c:pt>
                <c:pt idx="46">
                  <c:v>0.89500000000000002</c:v>
                </c:pt>
                <c:pt idx="47">
                  <c:v>0.48599999999999999</c:v>
                </c:pt>
                <c:pt idx="48">
                  <c:v>0.124</c:v>
                </c:pt>
                <c:pt idx="49">
                  <c:v>-0.224</c:v>
                </c:pt>
                <c:pt idx="50">
                  <c:v>-0.252</c:v>
                </c:pt>
                <c:pt idx="51">
                  <c:v>0.08</c:v>
                </c:pt>
                <c:pt idx="52">
                  <c:v>0.27300000000000002</c:v>
                </c:pt>
                <c:pt idx="53">
                  <c:v>0.10100000000000001</c:v>
                </c:pt>
                <c:pt idx="54">
                  <c:v>-0.128</c:v>
                </c:pt>
                <c:pt idx="55">
                  <c:v>-5.0999999999999997E-2</c:v>
                </c:pt>
                <c:pt idx="56">
                  <c:v>-0.191</c:v>
                </c:pt>
                <c:pt idx="57">
                  <c:v>-1.2999999999999999E-2</c:v>
                </c:pt>
                <c:pt idx="58">
                  <c:v>0.315</c:v>
                </c:pt>
                <c:pt idx="59">
                  <c:v>0.45600000000000002</c:v>
                </c:pt>
                <c:pt idx="60">
                  <c:v>0.28299999999999997</c:v>
                </c:pt>
                <c:pt idx="61">
                  <c:v>-0.38100000000000001</c:v>
                </c:pt>
                <c:pt idx="62">
                  <c:v>-1.5640000000000001</c:v>
                </c:pt>
                <c:pt idx="63">
                  <c:v>-1.8340000000000001</c:v>
                </c:pt>
                <c:pt idx="64">
                  <c:v>-1.335</c:v>
                </c:pt>
                <c:pt idx="65">
                  <c:v>-0.96899999999999997</c:v>
                </c:pt>
                <c:pt idx="66">
                  <c:v>-0.66500000000000004</c:v>
                </c:pt>
                <c:pt idx="67">
                  <c:v>-0.504</c:v>
                </c:pt>
                <c:pt idx="68">
                  <c:v>-0.56299999999999994</c:v>
                </c:pt>
                <c:pt idx="69">
                  <c:v>-0.52600000000000002</c:v>
                </c:pt>
                <c:pt idx="70">
                  <c:v>-0.372</c:v>
                </c:pt>
                <c:pt idx="71">
                  <c:v>-0.2</c:v>
                </c:pt>
                <c:pt idx="72">
                  <c:v>9.6000000000000002E-2</c:v>
                </c:pt>
                <c:pt idx="73">
                  <c:v>0.89500000000000002</c:v>
                </c:pt>
                <c:pt idx="74">
                  <c:v>2.1800000000000002</c:v>
                </c:pt>
                <c:pt idx="75">
                  <c:v>2.8959999999999999</c:v>
                </c:pt>
                <c:pt idx="76">
                  <c:v>3.1669999999999998</c:v>
                </c:pt>
                <c:pt idx="77">
                  <c:v>2.9169999999999998</c:v>
                </c:pt>
                <c:pt idx="78">
                  <c:v>2.6829999999999998</c:v>
                </c:pt>
                <c:pt idx="79">
                  <c:v>2.5089999999999999</c:v>
                </c:pt>
                <c:pt idx="80">
                  <c:v>2.8279999999999998</c:v>
                </c:pt>
                <c:pt idx="81">
                  <c:v>3.1829999999999998</c:v>
                </c:pt>
                <c:pt idx="82">
                  <c:v>3.198</c:v>
                </c:pt>
                <c:pt idx="83">
                  <c:v>3.1819999999999999</c:v>
                </c:pt>
                <c:pt idx="84">
                  <c:v>3.282</c:v>
                </c:pt>
                <c:pt idx="85">
                  <c:v>3.6509999999999998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26-49AB-970E-AAADDAB2505D}"/>
            </c:ext>
          </c:extLst>
        </c:ser>
        <c:ser>
          <c:idx val="2"/>
          <c:order val="2"/>
          <c:tx>
            <c:strRef>
              <c:f>processed_data!$O$1</c:f>
              <c:strCache>
                <c:ptCount val="1"/>
                <c:pt idx="0">
                  <c:v>Housing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processed_data!$L$2:$L$87</c:f>
              <c:numCache>
                <c:formatCode>[$-409]mmmm\-yy;@</c:formatCode>
                <c:ptCount val="86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43770</c:v>
                </c:pt>
                <c:pt idx="58">
                  <c:v>43800</c:v>
                </c:pt>
                <c:pt idx="59">
                  <c:v>43831</c:v>
                </c:pt>
                <c:pt idx="60">
                  <c:v>43862</c:v>
                </c:pt>
                <c:pt idx="61">
                  <c:v>43891</c:v>
                </c:pt>
                <c:pt idx="62">
                  <c:v>43922</c:v>
                </c:pt>
                <c:pt idx="63">
                  <c:v>43952</c:v>
                </c:pt>
                <c:pt idx="64">
                  <c:v>43983</c:v>
                </c:pt>
                <c:pt idx="65">
                  <c:v>44013</c:v>
                </c:pt>
                <c:pt idx="66">
                  <c:v>44044</c:v>
                </c:pt>
                <c:pt idx="67">
                  <c:v>44075</c:v>
                </c:pt>
                <c:pt idx="68">
                  <c:v>44105</c:v>
                </c:pt>
                <c:pt idx="69">
                  <c:v>44136</c:v>
                </c:pt>
                <c:pt idx="70">
                  <c:v>44166</c:v>
                </c:pt>
                <c:pt idx="71">
                  <c:v>44197</c:v>
                </c:pt>
                <c:pt idx="72">
                  <c:v>44228</c:v>
                </c:pt>
                <c:pt idx="73">
                  <c:v>44256</c:v>
                </c:pt>
                <c:pt idx="74">
                  <c:v>44287</c:v>
                </c:pt>
                <c:pt idx="75">
                  <c:v>44317</c:v>
                </c:pt>
                <c:pt idx="76">
                  <c:v>44348</c:v>
                </c:pt>
                <c:pt idx="77">
                  <c:v>44378</c:v>
                </c:pt>
                <c:pt idx="78">
                  <c:v>44409</c:v>
                </c:pt>
                <c:pt idx="79">
                  <c:v>44440</c:v>
                </c:pt>
                <c:pt idx="80">
                  <c:v>44470</c:v>
                </c:pt>
                <c:pt idx="81">
                  <c:v>44501</c:v>
                </c:pt>
                <c:pt idx="82">
                  <c:v>44531</c:v>
                </c:pt>
                <c:pt idx="83">
                  <c:v>44562</c:v>
                </c:pt>
                <c:pt idx="84">
                  <c:v>44593</c:v>
                </c:pt>
                <c:pt idx="85">
                  <c:v>44621</c:v>
                </c:pt>
              </c:numCache>
            </c:numRef>
          </c:cat>
          <c:val>
            <c:numRef>
              <c:f>processed_data!$O$2:$O$87</c:f>
              <c:numCache>
                <c:formatCode>General</c:formatCode>
                <c:ptCount val="86"/>
                <c:pt idx="0">
                  <c:v>1.044</c:v>
                </c:pt>
                <c:pt idx="1">
                  <c:v>0.94299999999999995</c:v>
                </c:pt>
                <c:pt idx="2">
                  <c:v>0.91900000000000004</c:v>
                </c:pt>
                <c:pt idx="3">
                  <c:v>0.79800000000000004</c:v>
                </c:pt>
                <c:pt idx="4">
                  <c:v>0.90600000000000003</c:v>
                </c:pt>
                <c:pt idx="5">
                  <c:v>0.78600000000000003</c:v>
                </c:pt>
                <c:pt idx="6">
                  <c:v>0.82799999999999996</c:v>
                </c:pt>
                <c:pt idx="7">
                  <c:v>0.81699999999999995</c:v>
                </c:pt>
                <c:pt idx="8">
                  <c:v>0.83899999999999997</c:v>
                </c:pt>
                <c:pt idx="9">
                  <c:v>0.88200000000000001</c:v>
                </c:pt>
                <c:pt idx="10">
                  <c:v>0.88200000000000001</c:v>
                </c:pt>
                <c:pt idx="11">
                  <c:v>0.89500000000000002</c:v>
                </c:pt>
                <c:pt idx="12">
                  <c:v>0.873</c:v>
                </c:pt>
                <c:pt idx="13">
                  <c:v>0.89</c:v>
                </c:pt>
                <c:pt idx="14">
                  <c:v>0.89600000000000002</c:v>
                </c:pt>
                <c:pt idx="15">
                  <c:v>0.89800000000000002</c:v>
                </c:pt>
                <c:pt idx="16">
                  <c:v>0.88900000000000001</c:v>
                </c:pt>
                <c:pt idx="17">
                  <c:v>0.99299999999999999</c:v>
                </c:pt>
                <c:pt idx="18">
                  <c:v>1</c:v>
                </c:pt>
                <c:pt idx="19">
                  <c:v>1.024</c:v>
                </c:pt>
                <c:pt idx="20">
                  <c:v>1.081</c:v>
                </c:pt>
                <c:pt idx="21">
                  <c:v>1.135</c:v>
                </c:pt>
                <c:pt idx="22">
                  <c:v>1.2050000000000001</c:v>
                </c:pt>
                <c:pt idx="23">
                  <c:v>1.2210000000000001</c:v>
                </c:pt>
                <c:pt idx="24">
                  <c:v>1.284</c:v>
                </c:pt>
                <c:pt idx="25">
                  <c:v>1.3240000000000001</c:v>
                </c:pt>
                <c:pt idx="26">
                  <c:v>1.351</c:v>
                </c:pt>
                <c:pt idx="27">
                  <c:v>1.3120000000000001</c:v>
                </c:pt>
                <c:pt idx="28">
                  <c:v>1.3460000000000001</c:v>
                </c:pt>
                <c:pt idx="29">
                  <c:v>1.3129999999999999</c:v>
                </c:pt>
                <c:pt idx="30">
                  <c:v>1.272</c:v>
                </c:pt>
                <c:pt idx="31">
                  <c:v>1.202</c:v>
                </c:pt>
                <c:pt idx="32">
                  <c:v>1.2370000000000001</c:v>
                </c:pt>
                <c:pt idx="33">
                  <c:v>1.1850000000000001</c:v>
                </c:pt>
                <c:pt idx="34">
                  <c:v>1.1839999999999999</c:v>
                </c:pt>
                <c:pt idx="35">
                  <c:v>1.1930000000000001</c:v>
                </c:pt>
                <c:pt idx="36">
                  <c:v>1.218</c:v>
                </c:pt>
                <c:pt idx="37">
                  <c:v>1.1830000000000001</c:v>
                </c:pt>
                <c:pt idx="38">
                  <c:v>1.1930000000000001</c:v>
                </c:pt>
                <c:pt idx="39">
                  <c:v>1.256</c:v>
                </c:pt>
                <c:pt idx="40">
                  <c:v>1.2569999999999999</c:v>
                </c:pt>
                <c:pt idx="41">
                  <c:v>1.264</c:v>
                </c:pt>
                <c:pt idx="42">
                  <c:v>1.1830000000000001</c:v>
                </c:pt>
                <c:pt idx="43">
                  <c:v>1.2350000000000001</c:v>
                </c:pt>
                <c:pt idx="44">
                  <c:v>1.2070000000000001</c:v>
                </c:pt>
                <c:pt idx="45">
                  <c:v>1.147</c:v>
                </c:pt>
                <c:pt idx="46">
                  <c:v>1.1779999999999999</c:v>
                </c:pt>
                <c:pt idx="47">
                  <c:v>1.2030000000000001</c:v>
                </c:pt>
                <c:pt idx="48">
                  <c:v>1.2370000000000001</c:v>
                </c:pt>
                <c:pt idx="49">
                  <c:v>1.2150000000000001</c:v>
                </c:pt>
                <c:pt idx="50">
                  <c:v>1.1970000000000001</c:v>
                </c:pt>
                <c:pt idx="51">
                  <c:v>1.2190000000000001</c:v>
                </c:pt>
                <c:pt idx="52">
                  <c:v>1.212</c:v>
                </c:pt>
                <c:pt idx="53">
                  <c:v>1.1659999999999999</c:v>
                </c:pt>
                <c:pt idx="54">
                  <c:v>1.248</c:v>
                </c:pt>
                <c:pt idx="55">
                  <c:v>1.2609999999999999</c:v>
                </c:pt>
                <c:pt idx="56">
                  <c:v>1.1870000000000001</c:v>
                </c:pt>
                <c:pt idx="57">
                  <c:v>1.1990000000000001</c:v>
                </c:pt>
                <c:pt idx="58">
                  <c:v>1.1100000000000001</c:v>
                </c:pt>
                <c:pt idx="59">
                  <c:v>1.157</c:v>
                </c:pt>
                <c:pt idx="60">
                  <c:v>1.157</c:v>
                </c:pt>
                <c:pt idx="61">
                  <c:v>1.0169999999999999</c:v>
                </c:pt>
                <c:pt idx="62">
                  <c:v>0.90800000000000003</c:v>
                </c:pt>
                <c:pt idx="63">
                  <c:v>0.89800000000000002</c:v>
                </c:pt>
                <c:pt idx="64">
                  <c:v>0.84699999999999998</c:v>
                </c:pt>
                <c:pt idx="65">
                  <c:v>0.84099999999999997</c:v>
                </c:pt>
                <c:pt idx="66">
                  <c:v>0.88200000000000001</c:v>
                </c:pt>
                <c:pt idx="67">
                  <c:v>0.83199999999999996</c:v>
                </c:pt>
                <c:pt idx="68">
                  <c:v>0.81899999999999995</c:v>
                </c:pt>
                <c:pt idx="69">
                  <c:v>0.84199999999999997</c:v>
                </c:pt>
                <c:pt idx="70">
                  <c:v>0.85499999999999998</c:v>
                </c:pt>
                <c:pt idx="71">
                  <c:v>0.76100000000000001</c:v>
                </c:pt>
                <c:pt idx="72">
                  <c:v>0.75700000000000001</c:v>
                </c:pt>
                <c:pt idx="73">
                  <c:v>0.89900000000000002</c:v>
                </c:pt>
                <c:pt idx="74">
                  <c:v>1.113</c:v>
                </c:pt>
                <c:pt idx="75">
                  <c:v>1.2310000000000001</c:v>
                </c:pt>
                <c:pt idx="76">
                  <c:v>1.335</c:v>
                </c:pt>
                <c:pt idx="77">
                  <c:v>1.4259999999999999</c:v>
                </c:pt>
                <c:pt idx="78">
                  <c:v>1.478</c:v>
                </c:pt>
                <c:pt idx="79">
                  <c:v>1.647</c:v>
                </c:pt>
                <c:pt idx="80">
                  <c:v>1.905</c:v>
                </c:pt>
                <c:pt idx="81">
                  <c:v>2.0179999999999998</c:v>
                </c:pt>
                <c:pt idx="82">
                  <c:v>2.141</c:v>
                </c:pt>
                <c:pt idx="83">
                  <c:v>2.4049999999999998</c:v>
                </c:pt>
                <c:pt idx="84">
                  <c:v>2.5219999999999998</c:v>
                </c:pt>
                <c:pt idx="85">
                  <c:v>2.6890000000000001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26-49AB-970E-AAADDAB2505D}"/>
            </c:ext>
          </c:extLst>
        </c:ser>
        <c:ser>
          <c:idx val="3"/>
          <c:order val="3"/>
          <c:tx>
            <c:strRef>
              <c:f>processed_data!$P$1</c:f>
              <c:strCache>
                <c:ptCount val="1"/>
                <c:pt idx="0">
                  <c:v>Education and communication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processed_data!$L$2:$L$87</c:f>
              <c:numCache>
                <c:formatCode>[$-409]mmmm\-yy;@</c:formatCode>
                <c:ptCount val="86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43770</c:v>
                </c:pt>
                <c:pt idx="58">
                  <c:v>43800</c:v>
                </c:pt>
                <c:pt idx="59">
                  <c:v>43831</c:v>
                </c:pt>
                <c:pt idx="60">
                  <c:v>43862</c:v>
                </c:pt>
                <c:pt idx="61">
                  <c:v>43891</c:v>
                </c:pt>
                <c:pt idx="62">
                  <c:v>43922</c:v>
                </c:pt>
                <c:pt idx="63">
                  <c:v>43952</c:v>
                </c:pt>
                <c:pt idx="64">
                  <c:v>43983</c:v>
                </c:pt>
                <c:pt idx="65">
                  <c:v>44013</c:v>
                </c:pt>
                <c:pt idx="66">
                  <c:v>44044</c:v>
                </c:pt>
                <c:pt idx="67">
                  <c:v>44075</c:v>
                </c:pt>
                <c:pt idx="68">
                  <c:v>44105</c:v>
                </c:pt>
                <c:pt idx="69">
                  <c:v>44136</c:v>
                </c:pt>
                <c:pt idx="70">
                  <c:v>44166</c:v>
                </c:pt>
                <c:pt idx="71">
                  <c:v>44197</c:v>
                </c:pt>
                <c:pt idx="72">
                  <c:v>44228</c:v>
                </c:pt>
                <c:pt idx="73">
                  <c:v>44256</c:v>
                </c:pt>
                <c:pt idx="74">
                  <c:v>44287</c:v>
                </c:pt>
                <c:pt idx="75">
                  <c:v>44317</c:v>
                </c:pt>
                <c:pt idx="76">
                  <c:v>44348</c:v>
                </c:pt>
                <c:pt idx="77">
                  <c:v>44378</c:v>
                </c:pt>
                <c:pt idx="78">
                  <c:v>44409</c:v>
                </c:pt>
                <c:pt idx="79">
                  <c:v>44440</c:v>
                </c:pt>
                <c:pt idx="80">
                  <c:v>44470</c:v>
                </c:pt>
                <c:pt idx="81">
                  <c:v>44501</c:v>
                </c:pt>
                <c:pt idx="82">
                  <c:v>44531</c:v>
                </c:pt>
                <c:pt idx="83">
                  <c:v>44562</c:v>
                </c:pt>
                <c:pt idx="84">
                  <c:v>44593</c:v>
                </c:pt>
                <c:pt idx="85">
                  <c:v>44621</c:v>
                </c:pt>
              </c:numCache>
            </c:numRef>
          </c:cat>
          <c:val>
            <c:numRef>
              <c:f>processed_data!$P$2:$P$87</c:f>
              <c:numCache>
                <c:formatCode>General</c:formatCode>
                <c:ptCount val="86"/>
                <c:pt idx="0">
                  <c:v>2.9000000000000001E-2</c:v>
                </c:pt>
                <c:pt idx="1">
                  <c:v>3.1E-2</c:v>
                </c:pt>
                <c:pt idx="2">
                  <c:v>2.7E-2</c:v>
                </c:pt>
                <c:pt idx="3">
                  <c:v>2.1999999999999999E-2</c:v>
                </c:pt>
                <c:pt idx="4">
                  <c:v>2.1999999999999999E-2</c:v>
                </c:pt>
                <c:pt idx="5">
                  <c:v>8.0000000000000002E-3</c:v>
                </c:pt>
                <c:pt idx="6">
                  <c:v>7.0000000000000001E-3</c:v>
                </c:pt>
                <c:pt idx="7">
                  <c:v>5.0000000000000001E-3</c:v>
                </c:pt>
                <c:pt idx="8">
                  <c:v>8.0000000000000002E-3</c:v>
                </c:pt>
                <c:pt idx="9">
                  <c:v>3.1E-2</c:v>
                </c:pt>
                <c:pt idx="10">
                  <c:v>6.8000000000000005E-2</c:v>
                </c:pt>
                <c:pt idx="11">
                  <c:v>9.2999999999999999E-2</c:v>
                </c:pt>
                <c:pt idx="12">
                  <c:v>0.10199999999999999</c:v>
                </c:pt>
                <c:pt idx="13">
                  <c:v>9.7000000000000003E-2</c:v>
                </c:pt>
                <c:pt idx="14">
                  <c:v>8.5999999999999993E-2</c:v>
                </c:pt>
                <c:pt idx="15">
                  <c:v>8.7999999999999995E-2</c:v>
                </c:pt>
                <c:pt idx="16">
                  <c:v>8.2000000000000003E-2</c:v>
                </c:pt>
                <c:pt idx="17">
                  <c:v>0.08</c:v>
                </c:pt>
                <c:pt idx="18">
                  <c:v>7.3999999999999996E-2</c:v>
                </c:pt>
                <c:pt idx="19">
                  <c:v>0.06</c:v>
                </c:pt>
                <c:pt idx="20">
                  <c:v>5.1999999999999998E-2</c:v>
                </c:pt>
                <c:pt idx="21">
                  <c:v>4.0000000000000001E-3</c:v>
                </c:pt>
                <c:pt idx="22">
                  <c:v>-1.9E-2</c:v>
                </c:pt>
                <c:pt idx="23">
                  <c:v>-2.3E-2</c:v>
                </c:pt>
                <c:pt idx="24">
                  <c:v>-1.6E-2</c:v>
                </c:pt>
                <c:pt idx="25">
                  <c:v>-2.3E-2</c:v>
                </c:pt>
                <c:pt idx="26">
                  <c:v>-2.3E-2</c:v>
                </c:pt>
                <c:pt idx="27">
                  <c:v>-0.155</c:v>
                </c:pt>
                <c:pt idx="28">
                  <c:v>-0.17899999999999999</c:v>
                </c:pt>
                <c:pt idx="29">
                  <c:v>-0.17199999999999999</c:v>
                </c:pt>
                <c:pt idx="30">
                  <c:v>-0.17100000000000001</c:v>
                </c:pt>
                <c:pt idx="31">
                  <c:v>-0.17100000000000001</c:v>
                </c:pt>
                <c:pt idx="32">
                  <c:v>-0.182</c:v>
                </c:pt>
                <c:pt idx="33">
                  <c:v>-0.15</c:v>
                </c:pt>
                <c:pt idx="34">
                  <c:v>-0.124</c:v>
                </c:pt>
                <c:pt idx="35">
                  <c:v>-0.11899999999999999</c:v>
                </c:pt>
                <c:pt idx="36">
                  <c:v>-0.121</c:v>
                </c:pt>
                <c:pt idx="37">
                  <c:v>-0.12</c:v>
                </c:pt>
                <c:pt idx="38">
                  <c:v>-0.123</c:v>
                </c:pt>
                <c:pt idx="39">
                  <c:v>-0.01</c:v>
                </c:pt>
                <c:pt idx="40">
                  <c:v>8.0000000000000002E-3</c:v>
                </c:pt>
                <c:pt idx="41">
                  <c:v>3.5000000000000003E-2</c:v>
                </c:pt>
                <c:pt idx="42">
                  <c:v>5.0999999999999997E-2</c:v>
                </c:pt>
                <c:pt idx="43">
                  <c:v>6.8000000000000005E-2</c:v>
                </c:pt>
                <c:pt idx="44">
                  <c:v>8.1000000000000003E-2</c:v>
                </c:pt>
                <c:pt idx="45">
                  <c:v>8.2000000000000003E-2</c:v>
                </c:pt>
                <c:pt idx="46">
                  <c:v>6.3E-2</c:v>
                </c:pt>
                <c:pt idx="47">
                  <c:v>1.2999999999999999E-2</c:v>
                </c:pt>
                <c:pt idx="48">
                  <c:v>1.4999999999999999E-2</c:v>
                </c:pt>
                <c:pt idx="49">
                  <c:v>2.1000000000000001E-2</c:v>
                </c:pt>
                <c:pt idx="50">
                  <c:v>4.1000000000000002E-2</c:v>
                </c:pt>
                <c:pt idx="51">
                  <c:v>5.0999999999999997E-2</c:v>
                </c:pt>
                <c:pt idx="52">
                  <c:v>0.06</c:v>
                </c:pt>
                <c:pt idx="53">
                  <c:v>4.4999999999999998E-2</c:v>
                </c:pt>
                <c:pt idx="54">
                  <c:v>3.9E-2</c:v>
                </c:pt>
                <c:pt idx="55">
                  <c:v>0.04</c:v>
                </c:pt>
                <c:pt idx="56">
                  <c:v>3.9E-2</c:v>
                </c:pt>
                <c:pt idx="57">
                  <c:v>9.2999999999999999E-2</c:v>
                </c:pt>
                <c:pt idx="58">
                  <c:v>0.09</c:v>
                </c:pt>
                <c:pt idx="59">
                  <c:v>0.1</c:v>
                </c:pt>
                <c:pt idx="60">
                  <c:v>0.10100000000000001</c:v>
                </c:pt>
                <c:pt idx="61">
                  <c:v>0.10100000000000001</c:v>
                </c:pt>
                <c:pt idx="62">
                  <c:v>0.105</c:v>
                </c:pt>
                <c:pt idx="63">
                  <c:v>0.10199999999999999</c:v>
                </c:pt>
                <c:pt idx="64">
                  <c:v>9.0999999999999998E-2</c:v>
                </c:pt>
                <c:pt idx="65">
                  <c:v>0.154</c:v>
                </c:pt>
                <c:pt idx="66">
                  <c:v>0.153</c:v>
                </c:pt>
                <c:pt idx="67">
                  <c:v>0.14399999999999999</c:v>
                </c:pt>
                <c:pt idx="68">
                  <c:v>0.14299999999999999</c:v>
                </c:pt>
                <c:pt idx="69">
                  <c:v>0.127</c:v>
                </c:pt>
                <c:pt idx="70">
                  <c:v>0.13200000000000001</c:v>
                </c:pt>
                <c:pt idx="71">
                  <c:v>0.11799999999999999</c:v>
                </c:pt>
                <c:pt idx="72">
                  <c:v>0.11700000000000001</c:v>
                </c:pt>
                <c:pt idx="73">
                  <c:v>0.10100000000000001</c:v>
                </c:pt>
                <c:pt idx="74">
                  <c:v>0.11600000000000001</c:v>
                </c:pt>
                <c:pt idx="75">
                  <c:v>0.13</c:v>
                </c:pt>
                <c:pt idx="76">
                  <c:v>0.14199999999999999</c:v>
                </c:pt>
                <c:pt idx="77">
                  <c:v>7.6999999999999999E-2</c:v>
                </c:pt>
                <c:pt idx="78">
                  <c:v>8.2000000000000003E-2</c:v>
                </c:pt>
                <c:pt idx="79">
                  <c:v>0.11700000000000001</c:v>
                </c:pt>
                <c:pt idx="80">
                  <c:v>0.121</c:v>
                </c:pt>
                <c:pt idx="81">
                  <c:v>0.113</c:v>
                </c:pt>
                <c:pt idx="82">
                  <c:v>0.11</c:v>
                </c:pt>
                <c:pt idx="83">
                  <c:v>0.111</c:v>
                </c:pt>
                <c:pt idx="84">
                  <c:v>0.106</c:v>
                </c:pt>
                <c:pt idx="85">
                  <c:v>0.104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26-49AB-970E-AAADDAB2505D}"/>
            </c:ext>
          </c:extLst>
        </c:ser>
        <c:ser>
          <c:idx val="4"/>
          <c:order val="4"/>
          <c:tx>
            <c:strRef>
              <c:f>processed_data!$Q$1</c:f>
              <c:strCache>
                <c:ptCount val="1"/>
                <c:pt idx="0">
                  <c:v>Recreation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processed_data!$L$2:$L$87</c:f>
              <c:numCache>
                <c:formatCode>[$-409]mmmm\-yy;@</c:formatCode>
                <c:ptCount val="86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43770</c:v>
                </c:pt>
                <c:pt idx="58">
                  <c:v>43800</c:v>
                </c:pt>
                <c:pt idx="59">
                  <c:v>43831</c:v>
                </c:pt>
                <c:pt idx="60">
                  <c:v>43862</c:v>
                </c:pt>
                <c:pt idx="61">
                  <c:v>43891</c:v>
                </c:pt>
                <c:pt idx="62">
                  <c:v>43922</c:v>
                </c:pt>
                <c:pt idx="63">
                  <c:v>43952</c:v>
                </c:pt>
                <c:pt idx="64">
                  <c:v>43983</c:v>
                </c:pt>
                <c:pt idx="65">
                  <c:v>44013</c:v>
                </c:pt>
                <c:pt idx="66">
                  <c:v>44044</c:v>
                </c:pt>
                <c:pt idx="67">
                  <c:v>44075</c:v>
                </c:pt>
                <c:pt idx="68">
                  <c:v>44105</c:v>
                </c:pt>
                <c:pt idx="69">
                  <c:v>44136</c:v>
                </c:pt>
                <c:pt idx="70">
                  <c:v>44166</c:v>
                </c:pt>
                <c:pt idx="71">
                  <c:v>44197</c:v>
                </c:pt>
                <c:pt idx="72">
                  <c:v>44228</c:v>
                </c:pt>
                <c:pt idx="73">
                  <c:v>44256</c:v>
                </c:pt>
                <c:pt idx="74">
                  <c:v>44287</c:v>
                </c:pt>
                <c:pt idx="75">
                  <c:v>44317</c:v>
                </c:pt>
                <c:pt idx="76">
                  <c:v>44348</c:v>
                </c:pt>
                <c:pt idx="77">
                  <c:v>44378</c:v>
                </c:pt>
                <c:pt idx="78">
                  <c:v>44409</c:v>
                </c:pt>
                <c:pt idx="79">
                  <c:v>44440</c:v>
                </c:pt>
                <c:pt idx="80">
                  <c:v>44470</c:v>
                </c:pt>
                <c:pt idx="81">
                  <c:v>44501</c:v>
                </c:pt>
                <c:pt idx="82">
                  <c:v>44531</c:v>
                </c:pt>
                <c:pt idx="83">
                  <c:v>44562</c:v>
                </c:pt>
                <c:pt idx="84">
                  <c:v>44593</c:v>
                </c:pt>
                <c:pt idx="85">
                  <c:v>44621</c:v>
                </c:pt>
              </c:numCache>
            </c:numRef>
          </c:cat>
          <c:val>
            <c:numRef>
              <c:f>processed_data!$Q$2:$Q$87</c:f>
              <c:numCache>
                <c:formatCode>General</c:formatCode>
                <c:ptCount val="86"/>
                <c:pt idx="0">
                  <c:v>1E-3</c:v>
                </c:pt>
                <c:pt idx="1">
                  <c:v>1E-3</c:v>
                </c:pt>
                <c:pt idx="2">
                  <c:v>-3.0000000000000001E-3</c:v>
                </c:pt>
                <c:pt idx="3">
                  <c:v>4.0000000000000001E-3</c:v>
                </c:pt>
                <c:pt idx="4">
                  <c:v>0</c:v>
                </c:pt>
                <c:pt idx="5">
                  <c:v>8.9999999999999993E-3</c:v>
                </c:pt>
                <c:pt idx="6">
                  <c:v>1.7999999999999999E-2</c:v>
                </c:pt>
                <c:pt idx="7">
                  <c:v>2.5000000000000001E-2</c:v>
                </c:pt>
                <c:pt idx="8">
                  <c:v>3.7999999999999999E-2</c:v>
                </c:pt>
                <c:pt idx="9">
                  <c:v>3.5999999999999997E-2</c:v>
                </c:pt>
                <c:pt idx="10">
                  <c:v>3.5000000000000003E-2</c:v>
                </c:pt>
                <c:pt idx="11">
                  <c:v>3.6999999999999998E-2</c:v>
                </c:pt>
                <c:pt idx="12">
                  <c:v>3.7999999999999999E-2</c:v>
                </c:pt>
                <c:pt idx="13">
                  <c:v>3.9E-2</c:v>
                </c:pt>
                <c:pt idx="14">
                  <c:v>5.1999999999999998E-2</c:v>
                </c:pt>
                <c:pt idx="15">
                  <c:v>6.0999999999999999E-2</c:v>
                </c:pt>
                <c:pt idx="16">
                  <c:v>7.2999999999999995E-2</c:v>
                </c:pt>
                <c:pt idx="17">
                  <c:v>6.5000000000000002E-2</c:v>
                </c:pt>
                <c:pt idx="18">
                  <c:v>5.8000000000000003E-2</c:v>
                </c:pt>
                <c:pt idx="19">
                  <c:v>4.9000000000000002E-2</c:v>
                </c:pt>
                <c:pt idx="20">
                  <c:v>5.0999999999999997E-2</c:v>
                </c:pt>
                <c:pt idx="21">
                  <c:v>4.4999999999999998E-2</c:v>
                </c:pt>
                <c:pt idx="22">
                  <c:v>0.03</c:v>
                </c:pt>
                <c:pt idx="23">
                  <c:v>4.9000000000000002E-2</c:v>
                </c:pt>
                <c:pt idx="24">
                  <c:v>4.5999999999999999E-2</c:v>
                </c:pt>
                <c:pt idx="25">
                  <c:v>6.3E-2</c:v>
                </c:pt>
                <c:pt idx="26">
                  <c:v>8.5999999999999993E-2</c:v>
                </c:pt>
                <c:pt idx="27">
                  <c:v>7.3999999999999996E-2</c:v>
                </c:pt>
                <c:pt idx="28">
                  <c:v>5.5E-2</c:v>
                </c:pt>
                <c:pt idx="29">
                  <c:v>5.1999999999999998E-2</c:v>
                </c:pt>
                <c:pt idx="30">
                  <c:v>4.5999999999999999E-2</c:v>
                </c:pt>
                <c:pt idx="31">
                  <c:v>7.2999999999999995E-2</c:v>
                </c:pt>
                <c:pt idx="32">
                  <c:v>8.5000000000000006E-2</c:v>
                </c:pt>
                <c:pt idx="33">
                  <c:v>9.4E-2</c:v>
                </c:pt>
                <c:pt idx="34">
                  <c:v>9.5000000000000001E-2</c:v>
                </c:pt>
                <c:pt idx="35">
                  <c:v>8.1000000000000003E-2</c:v>
                </c:pt>
                <c:pt idx="36">
                  <c:v>8.5999999999999993E-2</c:v>
                </c:pt>
                <c:pt idx="37">
                  <c:v>6.4000000000000001E-2</c:v>
                </c:pt>
                <c:pt idx="38">
                  <c:v>3.5000000000000003E-2</c:v>
                </c:pt>
                <c:pt idx="39">
                  <c:v>3.5000000000000003E-2</c:v>
                </c:pt>
                <c:pt idx="40">
                  <c:v>1.6E-2</c:v>
                </c:pt>
                <c:pt idx="41">
                  <c:v>1.4E-2</c:v>
                </c:pt>
                <c:pt idx="42">
                  <c:v>3.1E-2</c:v>
                </c:pt>
                <c:pt idx="43">
                  <c:v>0.02</c:v>
                </c:pt>
                <c:pt idx="44">
                  <c:v>5.0000000000000001E-3</c:v>
                </c:pt>
                <c:pt idx="45">
                  <c:v>1.4999999999999999E-2</c:v>
                </c:pt>
                <c:pt idx="46">
                  <c:v>8.9999999999999993E-3</c:v>
                </c:pt>
                <c:pt idx="47">
                  <c:v>3.5000000000000003E-2</c:v>
                </c:pt>
                <c:pt idx="48">
                  <c:v>6.6000000000000003E-2</c:v>
                </c:pt>
                <c:pt idx="49">
                  <c:v>7.8E-2</c:v>
                </c:pt>
                <c:pt idx="50">
                  <c:v>5.8000000000000003E-2</c:v>
                </c:pt>
                <c:pt idx="51">
                  <c:v>7.0000000000000007E-2</c:v>
                </c:pt>
                <c:pt idx="52">
                  <c:v>8.7999999999999995E-2</c:v>
                </c:pt>
                <c:pt idx="53">
                  <c:v>6.7000000000000004E-2</c:v>
                </c:pt>
                <c:pt idx="54">
                  <c:v>4.7E-2</c:v>
                </c:pt>
                <c:pt idx="55">
                  <c:v>4.1000000000000002E-2</c:v>
                </c:pt>
                <c:pt idx="56">
                  <c:v>7.0000000000000007E-2</c:v>
                </c:pt>
                <c:pt idx="57">
                  <c:v>0.106</c:v>
                </c:pt>
                <c:pt idx="58">
                  <c:v>8.7999999999999995E-2</c:v>
                </c:pt>
                <c:pt idx="59">
                  <c:v>8.2000000000000003E-2</c:v>
                </c:pt>
                <c:pt idx="60">
                  <c:v>8.4000000000000005E-2</c:v>
                </c:pt>
                <c:pt idx="61">
                  <c:v>7.2999999999999995E-2</c:v>
                </c:pt>
                <c:pt idx="62">
                  <c:v>5.2999999999999999E-2</c:v>
                </c:pt>
                <c:pt idx="63">
                  <c:v>0.12</c:v>
                </c:pt>
                <c:pt idx="64">
                  <c:v>8.7999999999999995E-2</c:v>
                </c:pt>
                <c:pt idx="65">
                  <c:v>5.3999999999999999E-2</c:v>
                </c:pt>
                <c:pt idx="66">
                  <c:v>7.5999999999999998E-2</c:v>
                </c:pt>
                <c:pt idx="67">
                  <c:v>8.5999999999999993E-2</c:v>
                </c:pt>
                <c:pt idx="68">
                  <c:v>7.5999999999999998E-2</c:v>
                </c:pt>
                <c:pt idx="69">
                  <c:v>7.8E-2</c:v>
                </c:pt>
                <c:pt idx="70">
                  <c:v>5.5E-2</c:v>
                </c:pt>
                <c:pt idx="71">
                  <c:v>7.0000000000000001E-3</c:v>
                </c:pt>
                <c:pt idx="72">
                  <c:v>4.4999999999999998E-2</c:v>
                </c:pt>
                <c:pt idx="73">
                  <c:v>6.2E-2</c:v>
                </c:pt>
                <c:pt idx="74">
                  <c:v>0.125</c:v>
                </c:pt>
                <c:pt idx="75">
                  <c:v>9.6000000000000002E-2</c:v>
                </c:pt>
                <c:pt idx="76">
                  <c:v>0.13700000000000001</c:v>
                </c:pt>
                <c:pt idx="77">
                  <c:v>0.20399999999999999</c:v>
                </c:pt>
                <c:pt idx="78">
                  <c:v>0.19700000000000001</c:v>
                </c:pt>
                <c:pt idx="79">
                  <c:v>0.20100000000000001</c:v>
                </c:pt>
                <c:pt idx="80">
                  <c:v>0.223</c:v>
                </c:pt>
                <c:pt idx="81">
                  <c:v>0.186</c:v>
                </c:pt>
                <c:pt idx="82">
                  <c:v>0.189</c:v>
                </c:pt>
                <c:pt idx="83">
                  <c:v>0.26800000000000002</c:v>
                </c:pt>
                <c:pt idx="84">
                  <c:v>0.27500000000000002</c:v>
                </c:pt>
                <c:pt idx="85">
                  <c:v>0.26200000000000001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26-49AB-970E-AAADDAB2505D}"/>
            </c:ext>
          </c:extLst>
        </c:ser>
        <c:ser>
          <c:idx val="5"/>
          <c:order val="5"/>
          <c:tx>
            <c:strRef>
              <c:f>processed_data!$R$1</c:f>
              <c:strCache>
                <c:ptCount val="1"/>
                <c:pt idx="0">
                  <c:v>Medical care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processed_data!$L$2:$L$87</c:f>
              <c:numCache>
                <c:formatCode>[$-409]mmmm\-yy;@</c:formatCode>
                <c:ptCount val="86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43770</c:v>
                </c:pt>
                <c:pt idx="58">
                  <c:v>43800</c:v>
                </c:pt>
                <c:pt idx="59">
                  <c:v>43831</c:v>
                </c:pt>
                <c:pt idx="60">
                  <c:v>43862</c:v>
                </c:pt>
                <c:pt idx="61">
                  <c:v>43891</c:v>
                </c:pt>
                <c:pt idx="62">
                  <c:v>43922</c:v>
                </c:pt>
                <c:pt idx="63">
                  <c:v>43952</c:v>
                </c:pt>
                <c:pt idx="64">
                  <c:v>43983</c:v>
                </c:pt>
                <c:pt idx="65">
                  <c:v>44013</c:v>
                </c:pt>
                <c:pt idx="66">
                  <c:v>44044</c:v>
                </c:pt>
                <c:pt idx="67">
                  <c:v>44075</c:v>
                </c:pt>
                <c:pt idx="68">
                  <c:v>44105</c:v>
                </c:pt>
                <c:pt idx="69">
                  <c:v>44136</c:v>
                </c:pt>
                <c:pt idx="70">
                  <c:v>44166</c:v>
                </c:pt>
                <c:pt idx="71">
                  <c:v>44197</c:v>
                </c:pt>
                <c:pt idx="72">
                  <c:v>44228</c:v>
                </c:pt>
                <c:pt idx="73">
                  <c:v>44256</c:v>
                </c:pt>
                <c:pt idx="74">
                  <c:v>44287</c:v>
                </c:pt>
                <c:pt idx="75">
                  <c:v>44317</c:v>
                </c:pt>
                <c:pt idx="76">
                  <c:v>44348</c:v>
                </c:pt>
                <c:pt idx="77">
                  <c:v>44378</c:v>
                </c:pt>
                <c:pt idx="78">
                  <c:v>44409</c:v>
                </c:pt>
                <c:pt idx="79">
                  <c:v>44440</c:v>
                </c:pt>
                <c:pt idx="80">
                  <c:v>44470</c:v>
                </c:pt>
                <c:pt idx="81">
                  <c:v>44501</c:v>
                </c:pt>
                <c:pt idx="82">
                  <c:v>44531</c:v>
                </c:pt>
                <c:pt idx="83">
                  <c:v>44562</c:v>
                </c:pt>
                <c:pt idx="84">
                  <c:v>44593</c:v>
                </c:pt>
                <c:pt idx="85">
                  <c:v>44621</c:v>
                </c:pt>
              </c:numCache>
            </c:numRef>
          </c:cat>
          <c:val>
            <c:numRef>
              <c:f>processed_data!$R$2:$R$87</c:f>
              <c:numCache>
                <c:formatCode>General</c:formatCode>
                <c:ptCount val="86"/>
                <c:pt idx="0">
                  <c:v>0.223</c:v>
                </c:pt>
                <c:pt idx="1">
                  <c:v>0.2</c:v>
                </c:pt>
                <c:pt idx="2">
                  <c:v>0.17599999999999999</c:v>
                </c:pt>
                <c:pt idx="3">
                  <c:v>0.186</c:v>
                </c:pt>
                <c:pt idx="4">
                  <c:v>0.219</c:v>
                </c:pt>
                <c:pt idx="5">
                  <c:v>0.214</c:v>
                </c:pt>
                <c:pt idx="6">
                  <c:v>0.189</c:v>
                </c:pt>
                <c:pt idx="7">
                  <c:v>0.188</c:v>
                </c:pt>
                <c:pt idx="8">
                  <c:v>0.186</c:v>
                </c:pt>
                <c:pt idx="9">
                  <c:v>0.185</c:v>
                </c:pt>
                <c:pt idx="10">
                  <c:v>0.22600000000000001</c:v>
                </c:pt>
                <c:pt idx="11">
                  <c:v>0.22600000000000001</c:v>
                </c:pt>
                <c:pt idx="12">
                  <c:v>0.19900000000000001</c:v>
                </c:pt>
                <c:pt idx="13">
                  <c:v>0.23599999999999999</c:v>
                </c:pt>
                <c:pt idx="14">
                  <c:v>0.28100000000000003</c:v>
                </c:pt>
                <c:pt idx="15">
                  <c:v>0.26300000000000001</c:v>
                </c:pt>
                <c:pt idx="16">
                  <c:v>0.24199999999999999</c:v>
                </c:pt>
                <c:pt idx="17">
                  <c:v>0.25800000000000001</c:v>
                </c:pt>
                <c:pt idx="18">
                  <c:v>0.29399999999999998</c:v>
                </c:pt>
                <c:pt idx="19">
                  <c:v>0.32300000000000001</c:v>
                </c:pt>
                <c:pt idx="20">
                  <c:v>0.39900000000000002</c:v>
                </c:pt>
                <c:pt idx="21">
                  <c:v>0.39900000000000002</c:v>
                </c:pt>
                <c:pt idx="22">
                  <c:v>0.35299999999999998</c:v>
                </c:pt>
                <c:pt idx="23">
                  <c:v>0.33300000000000002</c:v>
                </c:pt>
                <c:pt idx="24">
                  <c:v>0.34100000000000003</c:v>
                </c:pt>
                <c:pt idx="25">
                  <c:v>0.32500000000000001</c:v>
                </c:pt>
                <c:pt idx="26">
                  <c:v>0.30099999999999999</c:v>
                </c:pt>
                <c:pt idx="27">
                  <c:v>0.29399999999999998</c:v>
                </c:pt>
                <c:pt idx="28">
                  <c:v>0.249</c:v>
                </c:pt>
                <c:pt idx="29">
                  <c:v>0.22500000000000001</c:v>
                </c:pt>
                <c:pt idx="30">
                  <c:v>0.224</c:v>
                </c:pt>
                <c:pt idx="31">
                  <c:v>0.218</c:v>
                </c:pt>
                <c:pt idx="32">
                  <c:v>0.155</c:v>
                </c:pt>
                <c:pt idx="33">
                  <c:v>0.13300000000000001</c:v>
                </c:pt>
                <c:pt idx="34">
                  <c:v>0.14299999999999999</c:v>
                </c:pt>
                <c:pt idx="35">
                  <c:v>0.14299999999999999</c:v>
                </c:pt>
                <c:pt idx="36">
                  <c:v>0.152</c:v>
                </c:pt>
                <c:pt idx="37">
                  <c:v>0.17</c:v>
                </c:pt>
                <c:pt idx="38">
                  <c:v>0.152</c:v>
                </c:pt>
                <c:pt idx="39">
                  <c:v>0.17199999999999999</c:v>
                </c:pt>
                <c:pt idx="40">
                  <c:v>0.19</c:v>
                </c:pt>
                <c:pt idx="41">
                  <c:v>0.20599999999999999</c:v>
                </c:pt>
                <c:pt idx="42">
                  <c:v>0.21199999999999999</c:v>
                </c:pt>
                <c:pt idx="43">
                  <c:v>0.16500000000000001</c:v>
                </c:pt>
                <c:pt idx="44">
                  <c:v>0.13300000000000001</c:v>
                </c:pt>
                <c:pt idx="45">
                  <c:v>0.14899999999999999</c:v>
                </c:pt>
                <c:pt idx="46">
                  <c:v>0.14799999999999999</c:v>
                </c:pt>
                <c:pt idx="47">
                  <c:v>0.17599999999999999</c:v>
                </c:pt>
                <c:pt idx="48">
                  <c:v>0.17399999999999999</c:v>
                </c:pt>
                <c:pt idx="49">
                  <c:v>0.16500000000000001</c:v>
                </c:pt>
                <c:pt idx="50">
                  <c:v>0.15</c:v>
                </c:pt>
                <c:pt idx="51">
                  <c:v>0.14899999999999999</c:v>
                </c:pt>
                <c:pt idx="52">
                  <c:v>0.16600000000000001</c:v>
                </c:pt>
                <c:pt idx="53">
                  <c:v>0.17899999999999999</c:v>
                </c:pt>
                <c:pt idx="54">
                  <c:v>0.16900000000000001</c:v>
                </c:pt>
                <c:pt idx="55">
                  <c:v>0.222</c:v>
                </c:pt>
                <c:pt idx="56">
                  <c:v>0.29699999999999999</c:v>
                </c:pt>
                <c:pt idx="57">
                  <c:v>0.36699999999999999</c:v>
                </c:pt>
                <c:pt idx="58">
                  <c:v>0.39700000000000002</c:v>
                </c:pt>
                <c:pt idx="59">
                  <c:v>0.39</c:v>
                </c:pt>
                <c:pt idx="60">
                  <c:v>0.40100000000000002</c:v>
                </c:pt>
                <c:pt idx="61">
                  <c:v>0.41</c:v>
                </c:pt>
                <c:pt idx="62">
                  <c:v>0.41499999999999998</c:v>
                </c:pt>
                <c:pt idx="63">
                  <c:v>0.42299999999999999</c:v>
                </c:pt>
                <c:pt idx="64">
                  <c:v>0.439</c:v>
                </c:pt>
                <c:pt idx="65">
                  <c:v>0.435</c:v>
                </c:pt>
                <c:pt idx="66">
                  <c:v>0.38900000000000001</c:v>
                </c:pt>
                <c:pt idx="67">
                  <c:v>0.36599999999999999</c:v>
                </c:pt>
                <c:pt idx="68">
                  <c:v>0.253</c:v>
                </c:pt>
                <c:pt idx="69">
                  <c:v>0.21299999999999999</c:v>
                </c:pt>
                <c:pt idx="70">
                  <c:v>0.157</c:v>
                </c:pt>
                <c:pt idx="71">
                  <c:v>0.17199999999999999</c:v>
                </c:pt>
                <c:pt idx="72">
                  <c:v>0.17699999999999999</c:v>
                </c:pt>
                <c:pt idx="73">
                  <c:v>0.158</c:v>
                </c:pt>
                <c:pt idx="74">
                  <c:v>0.13100000000000001</c:v>
                </c:pt>
                <c:pt idx="75">
                  <c:v>8.2000000000000003E-2</c:v>
                </c:pt>
                <c:pt idx="76">
                  <c:v>3.9E-2</c:v>
                </c:pt>
                <c:pt idx="77">
                  <c:v>2.5999999999999999E-2</c:v>
                </c:pt>
                <c:pt idx="78">
                  <c:v>3.3000000000000002E-2</c:v>
                </c:pt>
                <c:pt idx="79">
                  <c:v>3.9E-2</c:v>
                </c:pt>
                <c:pt idx="80">
                  <c:v>0.11700000000000001</c:v>
                </c:pt>
                <c:pt idx="81">
                  <c:v>0.155</c:v>
                </c:pt>
                <c:pt idx="82">
                  <c:v>0.193</c:v>
                </c:pt>
                <c:pt idx="83">
                  <c:v>0.22</c:v>
                </c:pt>
                <c:pt idx="84">
                  <c:v>0.216</c:v>
                </c:pt>
                <c:pt idx="85">
                  <c:v>0.253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26-49AB-970E-AAADDAB2505D}"/>
            </c:ext>
          </c:extLst>
        </c:ser>
        <c:ser>
          <c:idx val="6"/>
          <c:order val="6"/>
          <c:tx>
            <c:strRef>
              <c:f>processed_data!$S$1</c:f>
              <c:strCache>
                <c:ptCount val="1"/>
                <c:pt idx="0">
                  <c:v>Other goods and services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processed_data!$L$2:$L$87</c:f>
              <c:numCache>
                <c:formatCode>[$-409]mmmm\-yy;@</c:formatCode>
                <c:ptCount val="86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43770</c:v>
                </c:pt>
                <c:pt idx="58">
                  <c:v>43800</c:v>
                </c:pt>
                <c:pt idx="59">
                  <c:v>43831</c:v>
                </c:pt>
                <c:pt idx="60">
                  <c:v>43862</c:v>
                </c:pt>
                <c:pt idx="61">
                  <c:v>43891</c:v>
                </c:pt>
                <c:pt idx="62">
                  <c:v>43922</c:v>
                </c:pt>
                <c:pt idx="63">
                  <c:v>43952</c:v>
                </c:pt>
                <c:pt idx="64">
                  <c:v>43983</c:v>
                </c:pt>
                <c:pt idx="65">
                  <c:v>44013</c:v>
                </c:pt>
                <c:pt idx="66">
                  <c:v>44044</c:v>
                </c:pt>
                <c:pt idx="67">
                  <c:v>44075</c:v>
                </c:pt>
                <c:pt idx="68">
                  <c:v>44105</c:v>
                </c:pt>
                <c:pt idx="69">
                  <c:v>44136</c:v>
                </c:pt>
                <c:pt idx="70">
                  <c:v>44166</c:v>
                </c:pt>
                <c:pt idx="71">
                  <c:v>44197</c:v>
                </c:pt>
                <c:pt idx="72">
                  <c:v>44228</c:v>
                </c:pt>
                <c:pt idx="73">
                  <c:v>44256</c:v>
                </c:pt>
                <c:pt idx="74">
                  <c:v>44287</c:v>
                </c:pt>
                <c:pt idx="75">
                  <c:v>44317</c:v>
                </c:pt>
                <c:pt idx="76">
                  <c:v>44348</c:v>
                </c:pt>
                <c:pt idx="77">
                  <c:v>44378</c:v>
                </c:pt>
                <c:pt idx="78">
                  <c:v>44409</c:v>
                </c:pt>
                <c:pt idx="79">
                  <c:v>44440</c:v>
                </c:pt>
                <c:pt idx="80">
                  <c:v>44470</c:v>
                </c:pt>
                <c:pt idx="81">
                  <c:v>44501</c:v>
                </c:pt>
                <c:pt idx="82">
                  <c:v>44531</c:v>
                </c:pt>
                <c:pt idx="83">
                  <c:v>44562</c:v>
                </c:pt>
                <c:pt idx="84">
                  <c:v>44593</c:v>
                </c:pt>
                <c:pt idx="85">
                  <c:v>44621</c:v>
                </c:pt>
              </c:numCache>
            </c:numRef>
          </c:cat>
          <c:val>
            <c:numRef>
              <c:f>processed_data!$S$2:$S$87</c:f>
              <c:numCache>
                <c:formatCode>General</c:formatCode>
                <c:ptCount val="86"/>
                <c:pt idx="0">
                  <c:v>5.3999999999999999E-2</c:v>
                </c:pt>
                <c:pt idx="1">
                  <c:v>6.2E-2</c:v>
                </c:pt>
                <c:pt idx="2">
                  <c:v>4.9000000000000002E-2</c:v>
                </c:pt>
                <c:pt idx="3">
                  <c:v>4.7E-2</c:v>
                </c:pt>
                <c:pt idx="4">
                  <c:v>4.2999999999999997E-2</c:v>
                </c:pt>
                <c:pt idx="5">
                  <c:v>4.5999999999999999E-2</c:v>
                </c:pt>
                <c:pt idx="6">
                  <c:v>5.7000000000000002E-2</c:v>
                </c:pt>
                <c:pt idx="7">
                  <c:v>5.6000000000000001E-2</c:v>
                </c:pt>
                <c:pt idx="8">
                  <c:v>5.3999999999999999E-2</c:v>
                </c:pt>
                <c:pt idx="9">
                  <c:v>5.8999999999999997E-2</c:v>
                </c:pt>
                <c:pt idx="10">
                  <c:v>6.2E-2</c:v>
                </c:pt>
                <c:pt idx="11">
                  <c:v>7.0000000000000007E-2</c:v>
                </c:pt>
                <c:pt idx="12">
                  <c:v>6.3E-2</c:v>
                </c:pt>
                <c:pt idx="13">
                  <c:v>5.3999999999999999E-2</c:v>
                </c:pt>
                <c:pt idx="14">
                  <c:v>6.4000000000000001E-2</c:v>
                </c:pt>
                <c:pt idx="15">
                  <c:v>6.6000000000000003E-2</c:v>
                </c:pt>
                <c:pt idx="16">
                  <c:v>7.0000000000000007E-2</c:v>
                </c:pt>
                <c:pt idx="17">
                  <c:v>7.1999999999999995E-2</c:v>
                </c:pt>
                <c:pt idx="18">
                  <c:v>6.0999999999999999E-2</c:v>
                </c:pt>
                <c:pt idx="19">
                  <c:v>6.3E-2</c:v>
                </c:pt>
                <c:pt idx="20">
                  <c:v>6.6000000000000003E-2</c:v>
                </c:pt>
                <c:pt idx="21">
                  <c:v>7.0000000000000007E-2</c:v>
                </c:pt>
                <c:pt idx="22">
                  <c:v>5.7000000000000002E-2</c:v>
                </c:pt>
                <c:pt idx="23">
                  <c:v>5.8000000000000003E-2</c:v>
                </c:pt>
                <c:pt idx="24">
                  <c:v>6.7000000000000004E-2</c:v>
                </c:pt>
                <c:pt idx="25">
                  <c:v>6.5000000000000002E-2</c:v>
                </c:pt>
                <c:pt idx="26">
                  <c:v>6.3E-2</c:v>
                </c:pt>
                <c:pt idx="27">
                  <c:v>5.8000000000000003E-2</c:v>
                </c:pt>
                <c:pt idx="28">
                  <c:v>8.4000000000000005E-2</c:v>
                </c:pt>
                <c:pt idx="29">
                  <c:v>7.4999999999999997E-2</c:v>
                </c:pt>
                <c:pt idx="30">
                  <c:v>7.5999999999999998E-2</c:v>
                </c:pt>
                <c:pt idx="31">
                  <c:v>7.9000000000000001E-2</c:v>
                </c:pt>
                <c:pt idx="32">
                  <c:v>6.9000000000000006E-2</c:v>
                </c:pt>
                <c:pt idx="33">
                  <c:v>6.4000000000000001E-2</c:v>
                </c:pt>
                <c:pt idx="34">
                  <c:v>0.08</c:v>
                </c:pt>
                <c:pt idx="35">
                  <c:v>7.6999999999999999E-2</c:v>
                </c:pt>
                <c:pt idx="36">
                  <c:v>6.5000000000000002E-2</c:v>
                </c:pt>
                <c:pt idx="37">
                  <c:v>7.4999999999999997E-2</c:v>
                </c:pt>
                <c:pt idx="38">
                  <c:v>7.5999999999999998E-2</c:v>
                </c:pt>
                <c:pt idx="39">
                  <c:v>8.1000000000000003E-2</c:v>
                </c:pt>
                <c:pt idx="40">
                  <c:v>7.6999999999999999E-2</c:v>
                </c:pt>
                <c:pt idx="41">
                  <c:v>0.08</c:v>
                </c:pt>
                <c:pt idx="42">
                  <c:v>7.1999999999999995E-2</c:v>
                </c:pt>
                <c:pt idx="43">
                  <c:v>6.7000000000000004E-2</c:v>
                </c:pt>
                <c:pt idx="44">
                  <c:v>7.0999999999999994E-2</c:v>
                </c:pt>
                <c:pt idx="45">
                  <c:v>6.8000000000000005E-2</c:v>
                </c:pt>
                <c:pt idx="46">
                  <c:v>5.8999999999999997E-2</c:v>
                </c:pt>
                <c:pt idx="47">
                  <c:v>6.7000000000000004E-2</c:v>
                </c:pt>
                <c:pt idx="48">
                  <c:v>6.8000000000000005E-2</c:v>
                </c:pt>
                <c:pt idx="49">
                  <c:v>6.0999999999999999E-2</c:v>
                </c:pt>
                <c:pt idx="50">
                  <c:v>7.1999999999999995E-2</c:v>
                </c:pt>
                <c:pt idx="51">
                  <c:v>6.7000000000000004E-2</c:v>
                </c:pt>
                <c:pt idx="52">
                  <c:v>4.3999999999999997E-2</c:v>
                </c:pt>
                <c:pt idx="53">
                  <c:v>5.1999999999999998E-2</c:v>
                </c:pt>
                <c:pt idx="54">
                  <c:v>4.7E-2</c:v>
                </c:pt>
                <c:pt idx="55">
                  <c:v>6.0999999999999999E-2</c:v>
                </c:pt>
                <c:pt idx="56">
                  <c:v>7.2999999999999995E-2</c:v>
                </c:pt>
                <c:pt idx="57">
                  <c:v>7.6999999999999999E-2</c:v>
                </c:pt>
                <c:pt idx="58">
                  <c:v>7.4999999999999997E-2</c:v>
                </c:pt>
                <c:pt idx="59">
                  <c:v>8.7999999999999995E-2</c:v>
                </c:pt>
                <c:pt idx="60">
                  <c:v>8.5000000000000006E-2</c:v>
                </c:pt>
                <c:pt idx="61">
                  <c:v>9.1999999999999998E-2</c:v>
                </c:pt>
                <c:pt idx="62">
                  <c:v>8.7999999999999995E-2</c:v>
                </c:pt>
                <c:pt idx="63">
                  <c:v>7.5999999999999998E-2</c:v>
                </c:pt>
                <c:pt idx="64">
                  <c:v>8.8999999999999996E-2</c:v>
                </c:pt>
                <c:pt idx="65">
                  <c:v>8.3000000000000004E-2</c:v>
                </c:pt>
                <c:pt idx="66">
                  <c:v>6.8000000000000005E-2</c:v>
                </c:pt>
                <c:pt idx="67">
                  <c:v>7.1999999999999995E-2</c:v>
                </c:pt>
                <c:pt idx="68">
                  <c:v>0.06</c:v>
                </c:pt>
                <c:pt idx="69">
                  <c:v>5.3999999999999999E-2</c:v>
                </c:pt>
                <c:pt idx="70">
                  <c:v>7.4999999999999997E-2</c:v>
                </c:pt>
                <c:pt idx="71">
                  <c:v>6.6000000000000003E-2</c:v>
                </c:pt>
                <c:pt idx="72">
                  <c:v>6.6000000000000003E-2</c:v>
                </c:pt>
                <c:pt idx="73">
                  <c:v>7.5999999999999998E-2</c:v>
                </c:pt>
                <c:pt idx="74">
                  <c:v>8.5000000000000006E-2</c:v>
                </c:pt>
                <c:pt idx="75">
                  <c:v>8.5000000000000006E-2</c:v>
                </c:pt>
                <c:pt idx="76">
                  <c:v>7.9000000000000001E-2</c:v>
                </c:pt>
                <c:pt idx="77">
                  <c:v>9.0999999999999998E-2</c:v>
                </c:pt>
                <c:pt idx="78">
                  <c:v>0.11</c:v>
                </c:pt>
                <c:pt idx="79">
                  <c:v>0.108</c:v>
                </c:pt>
                <c:pt idx="80">
                  <c:v>0.13300000000000001</c:v>
                </c:pt>
                <c:pt idx="81">
                  <c:v>0.13900000000000001</c:v>
                </c:pt>
                <c:pt idx="82">
                  <c:v>0.14099999999999999</c:v>
                </c:pt>
                <c:pt idx="83">
                  <c:v>0.151</c:v>
                </c:pt>
                <c:pt idx="84">
                  <c:v>0.16900000000000001</c:v>
                </c:pt>
                <c:pt idx="85">
                  <c:v>0.16400000000000001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26-49AB-970E-AAADDAB25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312690528"/>
        <c:axId val="1312690944"/>
      </c:barChart>
      <c:lineChart>
        <c:grouping val="standard"/>
        <c:varyColors val="0"/>
        <c:ser>
          <c:idx val="7"/>
          <c:order val="7"/>
          <c:tx>
            <c:strRef>
              <c:f>processed_data!$T$1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processed_data!$L$2:$L$87</c:f>
              <c:numCache>
                <c:formatCode>[$-409]mmmm\-yy;@</c:formatCode>
                <c:ptCount val="86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43770</c:v>
                </c:pt>
                <c:pt idx="58">
                  <c:v>43800</c:v>
                </c:pt>
                <c:pt idx="59">
                  <c:v>43831</c:v>
                </c:pt>
                <c:pt idx="60">
                  <c:v>43862</c:v>
                </c:pt>
                <c:pt idx="61">
                  <c:v>43891</c:v>
                </c:pt>
                <c:pt idx="62">
                  <c:v>43922</c:v>
                </c:pt>
                <c:pt idx="63">
                  <c:v>43952</c:v>
                </c:pt>
                <c:pt idx="64">
                  <c:v>43983</c:v>
                </c:pt>
                <c:pt idx="65">
                  <c:v>44013</c:v>
                </c:pt>
                <c:pt idx="66">
                  <c:v>44044</c:v>
                </c:pt>
                <c:pt idx="67">
                  <c:v>44075</c:v>
                </c:pt>
                <c:pt idx="68">
                  <c:v>44105</c:v>
                </c:pt>
                <c:pt idx="69">
                  <c:v>44136</c:v>
                </c:pt>
                <c:pt idx="70">
                  <c:v>44166</c:v>
                </c:pt>
                <c:pt idx="71">
                  <c:v>44197</c:v>
                </c:pt>
                <c:pt idx="72">
                  <c:v>44228</c:v>
                </c:pt>
                <c:pt idx="73">
                  <c:v>44256</c:v>
                </c:pt>
                <c:pt idx="74">
                  <c:v>44287</c:v>
                </c:pt>
                <c:pt idx="75">
                  <c:v>44317</c:v>
                </c:pt>
                <c:pt idx="76">
                  <c:v>44348</c:v>
                </c:pt>
                <c:pt idx="77">
                  <c:v>44378</c:v>
                </c:pt>
                <c:pt idx="78">
                  <c:v>44409</c:v>
                </c:pt>
                <c:pt idx="79">
                  <c:v>44440</c:v>
                </c:pt>
                <c:pt idx="80">
                  <c:v>44470</c:v>
                </c:pt>
                <c:pt idx="81">
                  <c:v>44501</c:v>
                </c:pt>
                <c:pt idx="82">
                  <c:v>44531</c:v>
                </c:pt>
                <c:pt idx="83">
                  <c:v>44562</c:v>
                </c:pt>
                <c:pt idx="84">
                  <c:v>44593</c:v>
                </c:pt>
                <c:pt idx="85">
                  <c:v>44621</c:v>
                </c:pt>
              </c:numCache>
            </c:numRef>
          </c:cat>
          <c:val>
            <c:numRef>
              <c:f>processed_data!$T$2:$T$87</c:f>
              <c:numCache>
                <c:formatCode>General</c:formatCode>
                <c:ptCount val="86"/>
                <c:pt idx="0">
                  <c:v>0.82500000000000018</c:v>
                </c:pt>
                <c:pt idx="1">
                  <c:v>-4.2000000000000148E-2</c:v>
                </c:pt>
                <c:pt idx="2">
                  <c:v>2.9999999999999888E-3</c:v>
                </c:pt>
                <c:pt idx="3">
                  <c:v>-5.4999999999999813E-2</c:v>
                </c:pt>
                <c:pt idx="4">
                  <c:v>-0.17099999999999993</c:v>
                </c:pt>
                <c:pt idx="5">
                  <c:v>1.0000000000000106E-2</c:v>
                </c:pt>
                <c:pt idx="6">
                  <c:v>0.18599999999999994</c:v>
                </c:pt>
                <c:pt idx="7">
                  <c:v>0.22399999999999995</c:v>
                </c:pt>
                <c:pt idx="8">
                  <c:v>0.22600000000000003</c:v>
                </c:pt>
                <c:pt idx="9">
                  <c:v>8.9999999999998692E-3</c:v>
                </c:pt>
                <c:pt idx="10">
                  <c:v>0.2380000000000001</c:v>
                </c:pt>
                <c:pt idx="11">
                  <c:v>0.55499999999999994</c:v>
                </c:pt>
                <c:pt idx="12">
                  <c:v>0.7609999999999999</c:v>
                </c:pt>
                <c:pt idx="13">
                  <c:v>1.389</c:v>
                </c:pt>
                <c:pt idx="14">
                  <c:v>0.9930000000000001</c:v>
                </c:pt>
                <c:pt idx="15">
                  <c:v>0.88100000000000001</c:v>
                </c:pt>
                <c:pt idx="16">
                  <c:v>1.1540000000000001</c:v>
                </c:pt>
                <c:pt idx="17">
                  <c:v>1.0129999999999999</c:v>
                </c:pt>
                <c:pt idx="18">
                  <c:v>0.99399999999999977</c:v>
                </c:pt>
                <c:pt idx="19">
                  <c:v>0.82499999999999996</c:v>
                </c:pt>
                <c:pt idx="20">
                  <c:v>1.06</c:v>
                </c:pt>
                <c:pt idx="21">
                  <c:v>1.474</c:v>
                </c:pt>
                <c:pt idx="22">
                  <c:v>1.6240000000000001</c:v>
                </c:pt>
                <c:pt idx="23">
                  <c:v>1.6910000000000001</c:v>
                </c:pt>
                <c:pt idx="24">
                  <c:v>2.0780000000000003</c:v>
                </c:pt>
                <c:pt idx="25">
                  <c:v>2.4700000000000002</c:v>
                </c:pt>
                <c:pt idx="26">
                  <c:v>2.7239999999999998</c:v>
                </c:pt>
                <c:pt idx="27">
                  <c:v>2.36</c:v>
                </c:pt>
                <c:pt idx="28">
                  <c:v>2.1840000000000002</c:v>
                </c:pt>
                <c:pt idx="29">
                  <c:v>1.9040000000000001</c:v>
                </c:pt>
                <c:pt idx="30">
                  <c:v>1.655</c:v>
                </c:pt>
                <c:pt idx="31">
                  <c:v>1.7409999999999997</c:v>
                </c:pt>
                <c:pt idx="32">
                  <c:v>1.9570000000000001</c:v>
                </c:pt>
                <c:pt idx="33">
                  <c:v>2.2410000000000001</c:v>
                </c:pt>
                <c:pt idx="34">
                  <c:v>2.0609999999999999</c:v>
                </c:pt>
                <c:pt idx="35">
                  <c:v>2.2509999999999999</c:v>
                </c:pt>
                <c:pt idx="36">
                  <c:v>2.1589999999999998</c:v>
                </c:pt>
                <c:pt idx="37">
                  <c:v>2.0900000000000003</c:v>
                </c:pt>
                <c:pt idx="38">
                  <c:v>2.1940000000000004</c:v>
                </c:pt>
                <c:pt idx="39">
                  <c:v>2.3460000000000005</c:v>
                </c:pt>
                <c:pt idx="40">
                  <c:v>2.4309999999999996</c:v>
                </c:pt>
                <c:pt idx="41">
                  <c:v>2.7519999999999998</c:v>
                </c:pt>
                <c:pt idx="42">
                  <c:v>2.8500000000000005</c:v>
                </c:pt>
                <c:pt idx="43">
                  <c:v>2.9370000000000003</c:v>
                </c:pt>
                <c:pt idx="44">
                  <c:v>2.74</c:v>
                </c:pt>
                <c:pt idx="45">
                  <c:v>2.2880000000000003</c:v>
                </c:pt>
                <c:pt idx="46">
                  <c:v>2.528</c:v>
                </c:pt>
                <c:pt idx="47">
                  <c:v>2.1840000000000002</c:v>
                </c:pt>
                <c:pt idx="48">
                  <c:v>1.913</c:v>
                </c:pt>
                <c:pt idx="49">
                  <c:v>1.548</c:v>
                </c:pt>
                <c:pt idx="50">
                  <c:v>1.5450000000000002</c:v>
                </c:pt>
                <c:pt idx="51">
                  <c:v>1.9330000000000001</c:v>
                </c:pt>
                <c:pt idx="52">
                  <c:v>2.0900000000000003</c:v>
                </c:pt>
                <c:pt idx="53">
                  <c:v>1.887</c:v>
                </c:pt>
                <c:pt idx="54">
                  <c:v>1.6879999999999999</c:v>
                </c:pt>
                <c:pt idx="55">
                  <c:v>1.8279999999999998</c:v>
                </c:pt>
                <c:pt idx="56">
                  <c:v>1.72</c:v>
                </c:pt>
                <c:pt idx="57">
                  <c:v>2.0990000000000002</c:v>
                </c:pt>
                <c:pt idx="58">
                  <c:v>2.3210000000000006</c:v>
                </c:pt>
                <c:pt idx="59">
                  <c:v>2.5250000000000004</c:v>
                </c:pt>
                <c:pt idx="60">
                  <c:v>2.3660000000000001</c:v>
                </c:pt>
                <c:pt idx="61">
                  <c:v>1.5899999999999999</c:v>
                </c:pt>
                <c:pt idx="62">
                  <c:v>0.50199999999999978</c:v>
                </c:pt>
                <c:pt idx="63">
                  <c:v>0.35399999999999987</c:v>
                </c:pt>
                <c:pt idx="64">
                  <c:v>0.86099999999999999</c:v>
                </c:pt>
                <c:pt idx="65">
                  <c:v>1.173</c:v>
                </c:pt>
                <c:pt idx="66">
                  <c:v>1.4850000000000001</c:v>
                </c:pt>
                <c:pt idx="67">
                  <c:v>1.5550000000000002</c:v>
                </c:pt>
                <c:pt idx="68">
                  <c:v>1.351</c:v>
                </c:pt>
                <c:pt idx="69">
                  <c:v>1.3260000000000001</c:v>
                </c:pt>
                <c:pt idx="70">
                  <c:v>1.4710000000000001</c:v>
                </c:pt>
                <c:pt idx="71">
                  <c:v>1.4709999999999999</c:v>
                </c:pt>
                <c:pt idx="72">
                  <c:v>1.778</c:v>
                </c:pt>
                <c:pt idx="73">
                  <c:v>2.6919999999999997</c:v>
                </c:pt>
                <c:pt idx="74">
                  <c:v>4.1059999999999999</c:v>
                </c:pt>
                <c:pt idx="75">
                  <c:v>4.843</c:v>
                </c:pt>
                <c:pt idx="76">
                  <c:v>5.2589999999999995</c:v>
                </c:pt>
                <c:pt idx="77">
                  <c:v>5.2529999999999992</c:v>
                </c:pt>
                <c:pt idx="78">
                  <c:v>5.1370000000000005</c:v>
                </c:pt>
                <c:pt idx="79">
                  <c:v>5.2959999999999994</c:v>
                </c:pt>
                <c:pt idx="80">
                  <c:v>6.1019999999999994</c:v>
                </c:pt>
                <c:pt idx="81">
                  <c:v>6.6740000000000004</c:v>
                </c:pt>
                <c:pt idx="82">
                  <c:v>6.8819999999999997</c:v>
                </c:pt>
                <c:pt idx="83">
                  <c:v>7.3379999999999983</c:v>
                </c:pt>
                <c:pt idx="84">
                  <c:v>7.6999999999999993</c:v>
                </c:pt>
                <c:pt idx="85">
                  <c:v>8.3680000000000003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D26-49AB-970E-AAADDAB25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2690528"/>
        <c:axId val="1312690944"/>
      </c:lineChart>
      <c:dateAx>
        <c:axId val="1312690528"/>
        <c:scaling>
          <c:orientation val="minMax"/>
        </c:scaling>
        <c:delete val="0"/>
        <c:axPos val="b"/>
        <c:numFmt formatCode="[$-409]m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690944"/>
        <c:crosses val="autoZero"/>
        <c:auto val="0"/>
        <c:lblOffset val="100"/>
        <c:baseTimeUnit val="months"/>
      </c:dateAx>
      <c:valAx>
        <c:axId val="131269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69052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533406</xdr:colOff>
      <xdr:row>2</xdr:row>
      <xdr:rowOff>9531</xdr:rowOff>
    </xdr:from>
    <xdr:to>
      <xdr:col>36</xdr:col>
      <xdr:colOff>152400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3918"/>
  <sheetViews>
    <sheetView tabSelected="1" topLeftCell="J1" workbookViewId="0">
      <selection activeCell="J1" sqref="J1"/>
    </sheetView>
  </sheetViews>
  <sheetFormatPr defaultRowHeight="15" x14ac:dyDescent="0.25"/>
  <cols>
    <col min="1" max="2" width="0" hidden="1" customWidth="1"/>
    <col min="3" max="3" width="35.42578125" style="5" hidden="1" customWidth="1"/>
    <col min="4" max="7" width="0" hidden="1" customWidth="1"/>
    <col min="8" max="8" width="35.42578125" style="5" hidden="1" customWidth="1"/>
    <col min="9" max="9" width="0" hidden="1" customWidth="1"/>
    <col min="12" max="12" width="15.5703125" style="5" customWidth="1"/>
    <col min="13" max="13" width="13.42578125" style="5" customWidth="1"/>
    <col min="14" max="15" width="14.85546875" style="1" customWidth="1"/>
    <col min="16" max="16" width="17.140625" style="1" customWidth="1"/>
    <col min="17" max="20" width="14.85546875" style="1" customWidth="1"/>
    <col min="21" max="21" width="9.7109375" style="5" customWidth="1"/>
  </cols>
  <sheetData>
    <row r="1" spans="1:21" s="1" customFormat="1" ht="60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M1" s="6" t="s">
        <v>6</v>
      </c>
      <c r="N1" s="6" t="s">
        <v>7</v>
      </c>
      <c r="O1" s="6" t="s">
        <v>8</v>
      </c>
      <c r="P1" s="6" t="s">
        <v>9</v>
      </c>
      <c r="Q1" s="6" t="s">
        <v>10</v>
      </c>
      <c r="R1" s="6" t="s">
        <v>11</v>
      </c>
      <c r="S1" s="6" t="s">
        <v>12</v>
      </c>
      <c r="T1" s="1" t="s">
        <v>13</v>
      </c>
      <c r="U1" s="2" t="s">
        <v>14</v>
      </c>
    </row>
    <row r="2" spans="1:21" x14ac:dyDescent="0.25">
      <c r="A2">
        <v>2014</v>
      </c>
      <c r="B2">
        <v>12</v>
      </c>
      <c r="C2" t="s">
        <v>14</v>
      </c>
      <c r="D2">
        <v>100</v>
      </c>
      <c r="E2">
        <v>0.8</v>
      </c>
      <c r="H2" s="4" t="str">
        <f t="array" aca="1" ref="H2" ca="1">SUBSTITUTE(SUBSTITUTE(_xlfn.TEXTJOIN("",TRUE,IF(ISERR(MID(C2,ROW(INDIRECT("1:100")),1)+0),MID(C2,ROW(INDIRECT("1:100")),1),"")),")",""),"(","")</f>
        <v>All items</v>
      </c>
      <c r="J2">
        <v>2014</v>
      </c>
      <c r="K2">
        <v>12</v>
      </c>
      <c r="L2" s="3">
        <f t="shared" ref="L2:L33" si="0">DATE(J2,K2,1)</f>
        <v>41974</v>
      </c>
      <c r="M2" s="4">
        <f t="array" aca="1" ref="M2" ca="1">INDEX($F:$F,MATCH(1,($J2=$A:$A)*($K2=$B:$B)*(M$1=$H:$H),0))</f>
        <v>0.48699999999999999</v>
      </c>
      <c r="N2" s="4">
        <f t="array" aca="1" ref="N2" ca="1">INDEX($F:$F,MATCH(1,($J2=$A:$A)*($K2=$B:$B)*(N$1=$H:$H),0))</f>
        <v>-1.0129999999999999</v>
      </c>
      <c r="O2" s="4">
        <f t="array" aca="1" ref="O2" ca="1">INDEX($F:$F,MATCH(1,($J2=$A:$A)*($K2=$B:$B)*(O$1=$H:$H),0))</f>
        <v>1.044</v>
      </c>
      <c r="P2" s="4">
        <f t="array" aca="1" ref="P2" ca="1">INDEX($F:$F,MATCH(1,($J2=$A:$A)*($K2=$B:$B)*(P$1=$H:$H),0))</f>
        <v>2.9000000000000001E-2</v>
      </c>
      <c r="Q2" s="4">
        <f t="array" aca="1" ref="Q2" ca="1">INDEX($F:$F,MATCH(1,($J2=$A:$A)*($K2=$B:$B)*(Q$1=$H:$H),0))</f>
        <v>1E-3</v>
      </c>
      <c r="R2" s="4">
        <f t="array" aca="1" ref="R2" ca="1">INDEX($F:$F,MATCH(1,($J2=$A:$A)*($K2=$B:$B)*(R$1=$H:$H),0))</f>
        <v>0.223</v>
      </c>
      <c r="S2" s="4" cm="1">
        <f t="array" aca="1" ref="S2" ca="1">INDEX($F:$F,MATCH(1,($J2=$A:$A)*($K2=$B:$B)*(S$1=$H:$H),0))</f>
        <v>5.3999999999999999E-2</v>
      </c>
      <c r="T2">
        <f t="shared" ref="T2:T33" ca="1" si="1">SUM(M2:S2)</f>
        <v>0.82500000000000018</v>
      </c>
      <c r="U2" s="4" cm="1">
        <f t="array" aca="1" ref="U2" ca="1">INDEX($F:$F,MATCH(1,($J2=$A:$A)*($K2=$B:$B)*(U$1=$H:$H),0))</f>
        <v>0</v>
      </c>
    </row>
    <row r="3" spans="1:21" x14ac:dyDescent="0.25">
      <c r="A3">
        <v>2014</v>
      </c>
      <c r="B3">
        <v>12</v>
      </c>
      <c r="C3" t="s">
        <v>15</v>
      </c>
      <c r="D3">
        <v>14.131</v>
      </c>
      <c r="E3">
        <v>3.4</v>
      </c>
      <c r="F3">
        <v>0.47299999999999998</v>
      </c>
      <c r="H3" s="4" t="str">
        <f t="array" aca="1" ref="H3" ca="1">SUBSTITUTE(SUBSTITUTE(_xlfn.TEXTJOIN("",TRUE,IF(ISERR(MID(C3,ROW(INDIRECT("1:100")),1)+0),MID(C3,ROW(INDIRECT("1:100")),1),"")),")",""),"(","")</f>
        <v>Food</v>
      </c>
      <c r="J3">
        <v>2015</v>
      </c>
      <c r="K3">
        <v>1</v>
      </c>
      <c r="L3" s="3">
        <f t="shared" si="0"/>
        <v>42005</v>
      </c>
      <c r="M3" s="4">
        <f t="array" aca="1" ref="M3" ca="1">INDEX($F:$F,MATCH(1,($J3=$A:$A)*($K3=$B:$B)*(M$1=$H:$H),0))</f>
        <v>0.45600000000000002</v>
      </c>
      <c r="N3" s="4">
        <f t="array" aca="1" ref="N3" ca="1">INDEX($F:$F,MATCH(1,($J3=$A:$A)*($K3=$B:$B)*(N$1=$H:$H),0))</f>
        <v>-1.7350000000000001</v>
      </c>
      <c r="O3" s="4">
        <f t="array" aca="1" ref="O3" ca="1">INDEX($F:$F,MATCH(1,($J3=$A:$A)*($K3=$B:$B)*(O$1=$H:$H),0))</f>
        <v>0.94299999999999995</v>
      </c>
      <c r="P3" s="4">
        <f t="array" aca="1" ref="P3" ca="1">INDEX($F:$F,MATCH(1,($J3=$A:$A)*($K3=$B:$B)*(P$1=$H:$H),0))</f>
        <v>3.1E-2</v>
      </c>
      <c r="Q3" s="4">
        <f t="array" aca="1" ref="Q3" ca="1">INDEX($F:$F,MATCH(1,($J3=$A:$A)*($K3=$B:$B)*(Q$1=$H:$H),0))</f>
        <v>1E-3</v>
      </c>
      <c r="R3" s="4">
        <f t="array" aca="1" ref="R3" ca="1">INDEX($F:$F,MATCH(1,($J3=$A:$A)*($K3=$B:$B)*(R$1=$H:$H),0))</f>
        <v>0.2</v>
      </c>
      <c r="S3" s="4">
        <f t="array" aca="1" ref="S3" ca="1">INDEX($F:$F,MATCH(1,($J3=$A:$A)*($K3=$B:$B)*(S$1=$H:$H),0))</f>
        <v>6.2E-2</v>
      </c>
      <c r="T3">
        <f t="shared" ca="1" si="1"/>
        <v>-4.2000000000000148E-2</v>
      </c>
      <c r="U3" s="4" cm="1">
        <f t="array" aca="1" ref="U3" ca="1">INDEX($F:$F,MATCH(1,($J3=$A:$A)*($K3=$B:$B)*(U$1=$H:$H),0))</f>
        <v>0</v>
      </c>
    </row>
    <row r="4" spans="1:21" x14ac:dyDescent="0.25">
      <c r="A4">
        <v>2014</v>
      </c>
      <c r="B4">
        <v>12</v>
      </c>
      <c r="C4" t="s">
        <v>16</v>
      </c>
      <c r="D4">
        <v>8.4429999999999996</v>
      </c>
      <c r="E4">
        <v>-10.6</v>
      </c>
      <c r="F4">
        <v>-0.95499999999999996</v>
      </c>
      <c r="H4" s="4" t="str">
        <f t="array" aca="1" ref="H4" ca="1">SUBSTITUTE(SUBSTITUTE(_xlfn.TEXTJOIN("",TRUE,IF(ISERR(MID(C4,ROW(INDIRECT("1:100")),1)+0),MID(C4,ROW(INDIRECT("1:100")),1),"")),")",""),"(","")</f>
        <v>Energy</v>
      </c>
      <c r="J4">
        <f t="shared" ref="J4:J14" si="2">+J3</f>
        <v>2015</v>
      </c>
      <c r="K4">
        <v>2</v>
      </c>
      <c r="L4" s="3">
        <f t="shared" si="0"/>
        <v>42036</v>
      </c>
      <c r="M4" s="4">
        <f t="array" aca="1" ref="M4" ca="1">INDEX($F:$F,MATCH(1,($J4=$A:$A)*($K4=$B:$B)*(M$1=$H:$H),0))</f>
        <v>0.42199999999999999</v>
      </c>
      <c r="N4" s="4">
        <f t="array" aca="1" ref="N4" ca="1">INDEX($F:$F,MATCH(1,($J4=$A:$A)*($K4=$B:$B)*(N$1=$H:$H),0))</f>
        <v>-1.587</v>
      </c>
      <c r="O4" s="4">
        <f t="array" aca="1" ref="O4" ca="1">INDEX($F:$F,MATCH(1,($J4=$A:$A)*($K4=$B:$B)*(O$1=$H:$H),0))</f>
        <v>0.91900000000000004</v>
      </c>
      <c r="P4" s="4">
        <f t="array" aca="1" ref="P4" ca="1">INDEX($F:$F,MATCH(1,($J4=$A:$A)*($K4=$B:$B)*(P$1=$H:$H),0))</f>
        <v>2.7E-2</v>
      </c>
      <c r="Q4" s="4">
        <f t="array" aca="1" ref="Q4" ca="1">INDEX($F:$F,MATCH(1,($J4=$A:$A)*($K4=$B:$B)*(Q$1=$H:$H),0))</f>
        <v>-3.0000000000000001E-3</v>
      </c>
      <c r="R4" s="4">
        <f t="array" aca="1" ref="R4" ca="1">INDEX($F:$F,MATCH(1,($J4=$A:$A)*($K4=$B:$B)*(R$1=$H:$H),0))</f>
        <v>0.17599999999999999</v>
      </c>
      <c r="S4" s="4">
        <f t="array" aca="1" ref="S4" ca="1">INDEX($F:$F,MATCH(1,($J4=$A:$A)*($K4=$B:$B)*(S$1=$H:$H),0))</f>
        <v>4.9000000000000002E-2</v>
      </c>
      <c r="T4">
        <f t="shared" ca="1" si="1"/>
        <v>2.9999999999999888E-3</v>
      </c>
      <c r="U4" s="4" cm="1">
        <f t="array" aca="1" ref="U4" ca="1">INDEX($F:$F,MATCH(1,($J4=$A:$A)*($K4=$B:$B)*(U$1=$H:$H),0))</f>
        <v>0</v>
      </c>
    </row>
    <row r="5" spans="1:21" x14ac:dyDescent="0.25">
      <c r="A5">
        <v>2014</v>
      </c>
      <c r="B5">
        <v>12</v>
      </c>
      <c r="C5" t="s">
        <v>17</v>
      </c>
      <c r="D5">
        <v>77.426000000000002</v>
      </c>
      <c r="E5">
        <v>1.6</v>
      </c>
      <c r="F5">
        <v>1.238</v>
      </c>
      <c r="H5" s="4" t="str">
        <f t="array" aca="1" ref="H5" ca="1">SUBSTITUTE(SUBSTITUTE(_xlfn.TEXTJOIN("",TRUE,IF(ISERR(MID(C5,ROW(INDIRECT("1:100")),1)+0),MID(C5,ROW(INDIRECT("1:100")),1),"")),")",""),"(","")</f>
        <v>All items less food and energy</v>
      </c>
      <c r="J5">
        <f t="shared" si="2"/>
        <v>2015</v>
      </c>
      <c r="K5">
        <v>3</v>
      </c>
      <c r="L5" s="3">
        <f t="shared" si="0"/>
        <v>42064</v>
      </c>
      <c r="M5" s="4">
        <f t="array" aca="1" ref="M5" ca="1">INDEX($F:$F,MATCH(1,($J5=$A:$A)*($K5=$B:$B)*(M$1=$H:$H),0))</f>
        <v>0.33800000000000002</v>
      </c>
      <c r="N5" s="4">
        <f t="array" aca="1" ref="N5" ca="1">INDEX($F:$F,MATCH(1,($J5=$A:$A)*($K5=$B:$B)*(N$1=$H:$H),0))</f>
        <v>-1.45</v>
      </c>
      <c r="O5" s="4">
        <f t="array" aca="1" ref="O5" ca="1">INDEX($F:$F,MATCH(1,($J5=$A:$A)*($K5=$B:$B)*(O$1=$H:$H),0))</f>
        <v>0.79800000000000004</v>
      </c>
      <c r="P5" s="4">
        <f t="array" aca="1" ref="P5" ca="1">INDEX($F:$F,MATCH(1,($J5=$A:$A)*($K5=$B:$B)*(P$1=$H:$H),0))</f>
        <v>2.1999999999999999E-2</v>
      </c>
      <c r="Q5" s="4">
        <f t="array" aca="1" ref="Q5" ca="1">INDEX($F:$F,MATCH(1,($J5=$A:$A)*($K5=$B:$B)*(Q$1=$H:$H),0))</f>
        <v>4.0000000000000001E-3</v>
      </c>
      <c r="R5" s="4">
        <f t="array" aca="1" ref="R5" ca="1">INDEX($F:$F,MATCH(1,($J5=$A:$A)*($K5=$B:$B)*(R$1=$H:$H),0))</f>
        <v>0.186</v>
      </c>
      <c r="S5" s="4">
        <f t="array" aca="1" ref="S5" ca="1">INDEX($F:$F,MATCH(1,($J5=$A:$A)*($K5=$B:$B)*(S$1=$H:$H),0))</f>
        <v>4.7E-2</v>
      </c>
      <c r="T5">
        <f t="shared" ca="1" si="1"/>
        <v>-5.4999999999999813E-2</v>
      </c>
      <c r="U5" s="4" cm="1">
        <f t="array" aca="1" ref="U5" ca="1">INDEX($F:$F,MATCH(1,($J5=$A:$A)*($K5=$B:$B)*(U$1=$H:$H),0))</f>
        <v>0</v>
      </c>
    </row>
    <row r="6" spans="1:21" x14ac:dyDescent="0.25">
      <c r="A6">
        <v>2014</v>
      </c>
      <c r="B6">
        <v>12</v>
      </c>
      <c r="C6" t="s">
        <v>18</v>
      </c>
      <c r="H6" s="4" t="str">
        <f t="array" aca="1" ref="H6" ca="1">SUBSTITUTE(SUBSTITUTE(_xlfn.TEXTJOIN("",TRUE,IF(ISERR(MID(C6,ROW(INDIRECT("1:100")),1)+0),MID(C6,ROW(INDIRECT("1:100")),1),"")),")",""),"(","")</f>
        <v>Special aggregate indexes</v>
      </c>
      <c r="J6">
        <f t="shared" si="2"/>
        <v>2015</v>
      </c>
      <c r="K6">
        <v>4</v>
      </c>
      <c r="L6" s="3">
        <f t="shared" si="0"/>
        <v>42095</v>
      </c>
      <c r="M6" s="4">
        <f t="array" aca="1" ref="M6" ca="1">INDEX($F:$F,MATCH(1,($J6=$A:$A)*($K6=$B:$B)*(M$1=$H:$H),0))</f>
        <v>0.28599999999999998</v>
      </c>
      <c r="N6" s="4">
        <f t="array" aca="1" ref="N6" ca="1">INDEX($F:$F,MATCH(1,($J6=$A:$A)*($K6=$B:$B)*(N$1=$H:$H),0))</f>
        <v>-1.647</v>
      </c>
      <c r="O6" s="4">
        <f t="array" aca="1" ref="O6" ca="1">INDEX($F:$F,MATCH(1,($J6=$A:$A)*($K6=$B:$B)*(O$1=$H:$H),0))</f>
        <v>0.90600000000000003</v>
      </c>
      <c r="P6" s="4">
        <f t="array" aca="1" ref="P6" ca="1">INDEX($F:$F,MATCH(1,($J6=$A:$A)*($K6=$B:$B)*(P$1=$H:$H),0))</f>
        <v>2.1999999999999999E-2</v>
      </c>
      <c r="Q6" s="4">
        <f t="array" aca="1" ref="Q6" ca="1">INDEX($F:$F,MATCH(1,($J6=$A:$A)*($K6=$B:$B)*(Q$1=$H:$H),0))</f>
        <v>0</v>
      </c>
      <c r="R6" s="4">
        <f t="array" aca="1" ref="R6" ca="1">INDEX($F:$F,MATCH(1,($J6=$A:$A)*($K6=$B:$B)*(R$1=$H:$H),0))</f>
        <v>0.219</v>
      </c>
      <c r="S6" s="4">
        <f t="array" aca="1" ref="S6" ca="1">INDEX($F:$F,MATCH(1,($J6=$A:$A)*($K6=$B:$B)*(S$1=$H:$H),0))</f>
        <v>4.2999999999999997E-2</v>
      </c>
      <c r="T6">
        <f t="shared" ca="1" si="1"/>
        <v>-0.17099999999999993</v>
      </c>
      <c r="U6" s="4" cm="1">
        <f t="array" aca="1" ref="U6" ca="1">INDEX($F:$F,MATCH(1,($J6=$A:$A)*($K6=$B:$B)*(U$1=$H:$H),0))</f>
        <v>0</v>
      </c>
    </row>
    <row r="7" spans="1:21" x14ac:dyDescent="0.25">
      <c r="A7">
        <v>2014</v>
      </c>
      <c r="B7">
        <v>12</v>
      </c>
      <c r="C7" t="s">
        <v>19</v>
      </c>
      <c r="D7">
        <v>85.869</v>
      </c>
      <c r="E7">
        <v>0.3</v>
      </c>
      <c r="F7">
        <v>0.28299999999999997</v>
      </c>
      <c r="H7" s="4" t="str">
        <f t="array" aca="1" ref="H7" ca="1">SUBSTITUTE(SUBSTITUTE(_xlfn.TEXTJOIN("",TRUE,IF(ISERR(MID(C7,ROW(INDIRECT("1:100")),1)+0),MID(C7,ROW(INDIRECT("1:100")),1),"")),")",""),"(","")</f>
        <v>All items less food</v>
      </c>
      <c r="J7">
        <f t="shared" si="2"/>
        <v>2015</v>
      </c>
      <c r="K7">
        <v>5</v>
      </c>
      <c r="L7" s="3">
        <f t="shared" si="0"/>
        <v>42125</v>
      </c>
      <c r="M7" s="4">
        <f t="array" aca="1" ref="M7" ca="1">INDEX($F:$F,MATCH(1,($J7=$A:$A)*($K7=$B:$B)*(M$1=$H:$H),0))</f>
        <v>0.23200000000000001</v>
      </c>
      <c r="N7" s="4">
        <f t="array" aca="1" ref="N7" ca="1">INDEX($F:$F,MATCH(1,($J7=$A:$A)*($K7=$B:$B)*(N$1=$H:$H),0))</f>
        <v>-1.2849999999999999</v>
      </c>
      <c r="O7" s="4">
        <f t="array" aca="1" ref="O7" ca="1">INDEX($F:$F,MATCH(1,($J7=$A:$A)*($K7=$B:$B)*(O$1=$H:$H),0))</f>
        <v>0.78600000000000003</v>
      </c>
      <c r="P7" s="4">
        <f t="array" aca="1" ref="P7" ca="1">INDEX($F:$F,MATCH(1,($J7=$A:$A)*($K7=$B:$B)*(P$1=$H:$H),0))</f>
        <v>8.0000000000000002E-3</v>
      </c>
      <c r="Q7" s="4">
        <f t="array" aca="1" ref="Q7" ca="1">INDEX($F:$F,MATCH(1,($J7=$A:$A)*($K7=$B:$B)*(Q$1=$H:$H),0))</f>
        <v>8.9999999999999993E-3</v>
      </c>
      <c r="R7" s="4">
        <f t="array" aca="1" ref="R7" ca="1">INDEX($F:$F,MATCH(1,($J7=$A:$A)*($K7=$B:$B)*(R$1=$H:$H),0))</f>
        <v>0.214</v>
      </c>
      <c r="S7" s="4">
        <f t="array" aca="1" ref="S7" ca="1">INDEX($F:$F,MATCH(1,($J7=$A:$A)*($K7=$B:$B)*(S$1=$H:$H),0))</f>
        <v>4.5999999999999999E-2</v>
      </c>
      <c r="T7">
        <f t="shared" ca="1" si="1"/>
        <v>1.0000000000000106E-2</v>
      </c>
      <c r="U7" s="4" cm="1">
        <f t="array" aca="1" ref="U7" ca="1">INDEX($F:$F,MATCH(1,($J7=$A:$A)*($K7=$B:$B)*(U$1=$H:$H),0))</f>
        <v>0</v>
      </c>
    </row>
    <row r="8" spans="1:21" x14ac:dyDescent="0.25">
      <c r="A8">
        <v>2014</v>
      </c>
      <c r="B8">
        <v>12</v>
      </c>
      <c r="C8" t="s">
        <v>20</v>
      </c>
      <c r="D8">
        <v>67.518000000000001</v>
      </c>
      <c r="E8">
        <v>-0.3</v>
      </c>
      <c r="F8">
        <v>-0.17299999999999999</v>
      </c>
      <c r="H8" s="4" t="str">
        <f t="array" aca="1" ref="H8" ca="1">SUBSTITUTE(SUBSTITUTE(_xlfn.TEXTJOIN("",TRUE,IF(ISERR(MID(C8,ROW(INDIRECT("1:100")),1)+0),MID(C8,ROW(INDIRECT("1:100")),1),"")),")",""),"(","")</f>
        <v>All items less shelter</v>
      </c>
      <c r="J8">
        <f t="shared" si="2"/>
        <v>2015</v>
      </c>
      <c r="K8">
        <v>6</v>
      </c>
      <c r="L8" s="3">
        <f t="shared" si="0"/>
        <v>42156</v>
      </c>
      <c r="M8" s="4">
        <f t="array" aca="1" ref="M8" ca="1">INDEX($F:$F,MATCH(1,($J8=$A:$A)*($K8=$B:$B)*(M$1=$H:$H),0))</f>
        <v>0.25800000000000001</v>
      </c>
      <c r="N8" s="4">
        <f t="array" aca="1" ref="N8" ca="1">INDEX($F:$F,MATCH(1,($J8=$A:$A)*($K8=$B:$B)*(N$1=$H:$H),0))</f>
        <v>-1.171</v>
      </c>
      <c r="O8" s="4">
        <f t="array" aca="1" ref="O8" ca="1">INDEX($F:$F,MATCH(1,($J8=$A:$A)*($K8=$B:$B)*(O$1=$H:$H),0))</f>
        <v>0.82799999999999996</v>
      </c>
      <c r="P8" s="4">
        <f t="array" aca="1" ref="P8" ca="1">INDEX($F:$F,MATCH(1,($J8=$A:$A)*($K8=$B:$B)*(P$1=$H:$H),0))</f>
        <v>7.0000000000000001E-3</v>
      </c>
      <c r="Q8" s="4">
        <f t="array" aca="1" ref="Q8" ca="1">INDEX($F:$F,MATCH(1,($J8=$A:$A)*($K8=$B:$B)*(Q$1=$H:$H),0))</f>
        <v>1.7999999999999999E-2</v>
      </c>
      <c r="R8" s="4">
        <f t="array" aca="1" ref="R8" ca="1">INDEX($F:$F,MATCH(1,($J8=$A:$A)*($K8=$B:$B)*(R$1=$H:$H),0))</f>
        <v>0.189</v>
      </c>
      <c r="S8" s="4">
        <f t="array" aca="1" ref="S8" ca="1">INDEX($F:$F,MATCH(1,($J8=$A:$A)*($K8=$B:$B)*(S$1=$H:$H),0))</f>
        <v>5.7000000000000002E-2</v>
      </c>
      <c r="T8">
        <f t="shared" ca="1" si="1"/>
        <v>0.18599999999999994</v>
      </c>
      <c r="U8" s="4" cm="1">
        <f t="array" aca="1" ref="U8" ca="1">INDEX($F:$F,MATCH(1,($J8=$A:$A)*($K8=$B:$B)*(U$1=$H:$H),0))</f>
        <v>0</v>
      </c>
    </row>
    <row r="9" spans="1:21" x14ac:dyDescent="0.25">
      <c r="A9">
        <v>2014</v>
      </c>
      <c r="B9">
        <v>12</v>
      </c>
      <c r="C9" t="s">
        <v>21</v>
      </c>
      <c r="D9">
        <v>53.387</v>
      </c>
      <c r="E9">
        <v>-1.2</v>
      </c>
      <c r="F9">
        <v>-0.64600000000000002</v>
      </c>
      <c r="H9" s="4" t="str">
        <f t="array" aca="1" ref="H9" ca="1">SUBSTITUTE(SUBSTITUTE(_xlfn.TEXTJOIN("",TRUE,IF(ISERR(MID(C9,ROW(INDIRECT("1:100")),1)+0),MID(C9,ROW(INDIRECT("1:100")),1),"")),")",""),"(","")</f>
        <v>All items less food and shelter</v>
      </c>
      <c r="J9">
        <f t="shared" si="2"/>
        <v>2015</v>
      </c>
      <c r="K9">
        <v>7</v>
      </c>
      <c r="L9" s="3">
        <f t="shared" si="0"/>
        <v>42186</v>
      </c>
      <c r="M9" s="4">
        <f t="array" aca="1" ref="M9" ca="1">INDEX($F:$F,MATCH(1,($J9=$A:$A)*($K9=$B:$B)*(M$1=$H:$H),0))</f>
        <v>0.23799999999999999</v>
      </c>
      <c r="N9" s="4">
        <f t="array" aca="1" ref="N9" ca="1">INDEX($F:$F,MATCH(1,($J9=$A:$A)*($K9=$B:$B)*(N$1=$H:$H),0))</f>
        <v>-1.105</v>
      </c>
      <c r="O9" s="4">
        <f t="array" aca="1" ref="O9" ca="1">INDEX($F:$F,MATCH(1,($J9=$A:$A)*($K9=$B:$B)*(O$1=$H:$H),0))</f>
        <v>0.81699999999999995</v>
      </c>
      <c r="P9" s="4">
        <f t="array" aca="1" ref="P9" ca="1">INDEX($F:$F,MATCH(1,($J9=$A:$A)*($K9=$B:$B)*(P$1=$H:$H),0))</f>
        <v>5.0000000000000001E-3</v>
      </c>
      <c r="Q9" s="4">
        <f t="array" aca="1" ref="Q9" ca="1">INDEX($F:$F,MATCH(1,($J9=$A:$A)*($K9=$B:$B)*(Q$1=$H:$H),0))</f>
        <v>2.5000000000000001E-2</v>
      </c>
      <c r="R9" s="4">
        <f t="array" aca="1" ref="R9" ca="1">INDEX($F:$F,MATCH(1,($J9=$A:$A)*($K9=$B:$B)*(R$1=$H:$H),0))</f>
        <v>0.188</v>
      </c>
      <c r="S9" s="4">
        <f t="array" aca="1" ref="S9" ca="1">INDEX($F:$F,MATCH(1,($J9=$A:$A)*($K9=$B:$B)*(S$1=$H:$H),0))</f>
        <v>5.6000000000000001E-2</v>
      </c>
      <c r="T9">
        <f t="shared" ca="1" si="1"/>
        <v>0.22399999999999995</v>
      </c>
      <c r="U9" s="4" cm="1">
        <f t="array" aca="1" ref="U9" ca="1">INDEX($F:$F,MATCH(1,($J9=$A:$A)*($K9=$B:$B)*(U$1=$H:$H),0))</f>
        <v>0</v>
      </c>
    </row>
    <row r="10" spans="1:21" x14ac:dyDescent="0.25">
      <c r="A10">
        <v>2014</v>
      </c>
      <c r="B10">
        <v>12</v>
      </c>
      <c r="C10" t="s">
        <v>22</v>
      </c>
      <c r="D10">
        <v>44.942999999999998</v>
      </c>
      <c r="E10">
        <v>0.7</v>
      </c>
      <c r="F10">
        <v>0.309</v>
      </c>
      <c r="H10" s="4" t="str">
        <f t="array" aca="1" ref="H10" ca="1">SUBSTITUTE(SUBSTITUTE(_xlfn.TEXTJOIN("",TRUE,IF(ISERR(MID(C10,ROW(INDIRECT("1:100")),1)+0),MID(C10,ROW(INDIRECT("1:100")),1),"")),")",""),"(","")</f>
        <v>All items less food, shelter, and energy</v>
      </c>
      <c r="J10">
        <f t="shared" si="2"/>
        <v>2015</v>
      </c>
      <c r="K10">
        <v>8</v>
      </c>
      <c r="L10" s="3">
        <f t="shared" si="0"/>
        <v>42217</v>
      </c>
      <c r="M10" s="4">
        <f t="array" aca="1" ref="M10" ca="1">INDEX($F:$F,MATCH(1,($J10=$A:$A)*($K10=$B:$B)*(M$1=$H:$H),0))</f>
        <v>0.22700000000000001</v>
      </c>
      <c r="N10" s="4">
        <f t="array" aca="1" ref="N10" ca="1">INDEX($F:$F,MATCH(1,($J10=$A:$A)*($K10=$B:$B)*(N$1=$H:$H),0))</f>
        <v>-1.1259999999999999</v>
      </c>
      <c r="O10" s="4">
        <f t="array" aca="1" ref="O10" ca="1">INDEX($F:$F,MATCH(1,($J10=$A:$A)*($K10=$B:$B)*(O$1=$H:$H),0))</f>
        <v>0.83899999999999997</v>
      </c>
      <c r="P10" s="4">
        <f t="array" aca="1" ref="P10" ca="1">INDEX($F:$F,MATCH(1,($J10=$A:$A)*($K10=$B:$B)*(P$1=$H:$H),0))</f>
        <v>8.0000000000000002E-3</v>
      </c>
      <c r="Q10" s="4">
        <f t="array" aca="1" ref="Q10" ca="1">INDEX($F:$F,MATCH(1,($J10=$A:$A)*($K10=$B:$B)*(Q$1=$H:$H),0))</f>
        <v>3.7999999999999999E-2</v>
      </c>
      <c r="R10" s="4">
        <f t="array" aca="1" ref="R10" ca="1">INDEX($F:$F,MATCH(1,($J10=$A:$A)*($K10=$B:$B)*(R$1=$H:$H),0))</f>
        <v>0.186</v>
      </c>
      <c r="S10" s="4">
        <f t="array" aca="1" ref="S10" ca="1">INDEX($F:$F,MATCH(1,($J10=$A:$A)*($K10=$B:$B)*(S$1=$H:$H),0))</f>
        <v>5.3999999999999999E-2</v>
      </c>
      <c r="T10">
        <f t="shared" ca="1" si="1"/>
        <v>0.22600000000000003</v>
      </c>
      <c r="U10" s="4" cm="1">
        <f t="array" aca="1" ref="U10" ca="1">INDEX($F:$F,MATCH(1,($J10=$A:$A)*($K10=$B:$B)*(U$1=$H:$H),0))</f>
        <v>0</v>
      </c>
    </row>
    <row r="11" spans="1:21" x14ac:dyDescent="0.25">
      <c r="A11">
        <v>2014</v>
      </c>
      <c r="B11">
        <v>12</v>
      </c>
      <c r="C11" t="s">
        <v>23</v>
      </c>
      <c r="D11">
        <v>43.337000000000003</v>
      </c>
      <c r="E11">
        <v>0.9</v>
      </c>
      <c r="F11">
        <v>0.379</v>
      </c>
      <c r="H11" s="4" t="str">
        <f t="array" aca="1" ref="H11" ca="1">SUBSTITUTE(SUBSTITUTE(_xlfn.TEXTJOIN("",TRUE,IF(ISERR(MID(C11,ROW(INDIRECT("1:100")),1)+0),MID(C11,ROW(INDIRECT("1:100")),1),"")),")",""),"(","")</f>
        <v>All items less food, shelter, energy, and used cars and trucks</v>
      </c>
      <c r="J11">
        <f t="shared" si="2"/>
        <v>2015</v>
      </c>
      <c r="K11">
        <v>9</v>
      </c>
      <c r="L11" s="3">
        <f t="shared" si="0"/>
        <v>42248</v>
      </c>
      <c r="M11" s="4">
        <f t="array" aca="1" ref="M11" ca="1">INDEX($F:$F,MATCH(1,($J11=$A:$A)*($K11=$B:$B)*(M$1=$H:$H),0))</f>
        <v>0.23499999999999999</v>
      </c>
      <c r="N11" s="4">
        <f t="array" aca="1" ref="N11" ca="1">INDEX($F:$F,MATCH(1,($J11=$A:$A)*($K11=$B:$B)*(N$1=$H:$H),0))</f>
        <v>-1.419</v>
      </c>
      <c r="O11" s="4">
        <f t="array" aca="1" ref="O11" ca="1">INDEX($F:$F,MATCH(1,($J11=$A:$A)*($K11=$B:$B)*(O$1=$H:$H),0))</f>
        <v>0.88200000000000001</v>
      </c>
      <c r="P11" s="4">
        <f t="array" aca="1" ref="P11" ca="1">INDEX($F:$F,MATCH(1,($J11=$A:$A)*($K11=$B:$B)*(P$1=$H:$H),0))</f>
        <v>3.1E-2</v>
      </c>
      <c r="Q11" s="4">
        <f t="array" aca="1" ref="Q11" ca="1">INDEX($F:$F,MATCH(1,($J11=$A:$A)*($K11=$B:$B)*(Q$1=$H:$H),0))</f>
        <v>3.5999999999999997E-2</v>
      </c>
      <c r="R11" s="4">
        <f t="array" aca="1" ref="R11" ca="1">INDEX($F:$F,MATCH(1,($J11=$A:$A)*($K11=$B:$B)*(R$1=$H:$H),0))</f>
        <v>0.185</v>
      </c>
      <c r="S11" s="4">
        <f t="array" aca="1" ref="S11" ca="1">INDEX($F:$F,MATCH(1,($J11=$A:$A)*($K11=$B:$B)*(S$1=$H:$H),0))</f>
        <v>5.8999999999999997E-2</v>
      </c>
      <c r="T11">
        <f t="shared" ca="1" si="1"/>
        <v>8.9999999999998692E-3</v>
      </c>
      <c r="U11" s="4" cm="1">
        <f t="array" aca="1" ref="U11" ca="1">INDEX($F:$F,MATCH(1,($J11=$A:$A)*($K11=$B:$B)*(U$1=$H:$H),0))</f>
        <v>0</v>
      </c>
    </row>
    <row r="12" spans="1:21" x14ac:dyDescent="0.25">
      <c r="A12">
        <v>2014</v>
      </c>
      <c r="B12">
        <v>12</v>
      </c>
      <c r="C12" t="s">
        <v>24</v>
      </c>
      <c r="D12">
        <v>92.35</v>
      </c>
      <c r="E12">
        <v>0.6</v>
      </c>
      <c r="F12">
        <v>0.53400000000000003</v>
      </c>
      <c r="H12" s="4" t="str">
        <f t="array" aca="1" ref="H12" ca="1">SUBSTITUTE(SUBSTITUTE(_xlfn.TEXTJOIN("",TRUE,IF(ISERR(MID(C12,ROW(INDIRECT("1:100")),1)+0),MID(C12,ROW(INDIRECT("1:100")),1),"")),")",""),"(","")</f>
        <v>All items less medical care</v>
      </c>
      <c r="J12">
        <f t="shared" si="2"/>
        <v>2015</v>
      </c>
      <c r="K12">
        <v>10</v>
      </c>
      <c r="L12" s="3">
        <f t="shared" si="0"/>
        <v>42278</v>
      </c>
      <c r="M12" s="4">
        <f t="array" aca="1" ref="M12" ca="1">INDEX($F:$F,MATCH(1,($J12=$A:$A)*($K12=$B:$B)*(M$1=$H:$H),0))</f>
        <v>0.23400000000000001</v>
      </c>
      <c r="N12" s="4">
        <f t="array" aca="1" ref="N12" ca="1">INDEX($F:$F,MATCH(1,($J12=$A:$A)*($K12=$B:$B)*(N$1=$H:$H),0))</f>
        <v>-1.2689999999999999</v>
      </c>
      <c r="O12" s="4">
        <f t="array" aca="1" ref="O12" ca="1">INDEX($F:$F,MATCH(1,($J12=$A:$A)*($K12=$B:$B)*(O$1=$H:$H),0))</f>
        <v>0.88200000000000001</v>
      </c>
      <c r="P12" s="4">
        <f t="array" aca="1" ref="P12" ca="1">INDEX($F:$F,MATCH(1,($J12=$A:$A)*($K12=$B:$B)*(P$1=$H:$H),0))</f>
        <v>6.8000000000000005E-2</v>
      </c>
      <c r="Q12" s="4">
        <f t="array" aca="1" ref="Q12" ca="1">INDEX($F:$F,MATCH(1,($J12=$A:$A)*($K12=$B:$B)*(Q$1=$H:$H),0))</f>
        <v>3.5000000000000003E-2</v>
      </c>
      <c r="R12" s="4">
        <f t="array" aca="1" ref="R12" ca="1">INDEX($F:$F,MATCH(1,($J12=$A:$A)*($K12=$B:$B)*(R$1=$H:$H),0))</f>
        <v>0.22600000000000001</v>
      </c>
      <c r="S12" s="4">
        <f t="array" aca="1" ref="S12" ca="1">INDEX($F:$F,MATCH(1,($J12=$A:$A)*($K12=$B:$B)*(S$1=$H:$H),0))</f>
        <v>6.2E-2</v>
      </c>
      <c r="T12">
        <f t="shared" ca="1" si="1"/>
        <v>0.2380000000000001</v>
      </c>
      <c r="U12" s="4" cm="1">
        <f t="array" aca="1" ref="U12" ca="1">INDEX($F:$F,MATCH(1,($J12=$A:$A)*($K12=$B:$B)*(U$1=$H:$H),0))</f>
        <v>0</v>
      </c>
    </row>
    <row r="13" spans="1:21" x14ac:dyDescent="0.25">
      <c r="A13">
        <v>2014</v>
      </c>
      <c r="B13">
        <v>12</v>
      </c>
      <c r="C13" t="s">
        <v>25</v>
      </c>
      <c r="D13">
        <v>91.557000000000002</v>
      </c>
      <c r="E13">
        <v>1.9</v>
      </c>
      <c r="F13">
        <v>1.712</v>
      </c>
      <c r="H13" s="4" t="str">
        <f t="array" aca="1" ref="H13" ca="1">SUBSTITUTE(SUBSTITUTE(_xlfn.TEXTJOIN("",TRUE,IF(ISERR(MID(C13,ROW(INDIRECT("1:100")),1)+0),MID(C13,ROW(INDIRECT("1:100")),1),"")),")",""),"(","")</f>
        <v>All items less energy</v>
      </c>
      <c r="J13">
        <f t="shared" si="2"/>
        <v>2015</v>
      </c>
      <c r="K13">
        <v>11</v>
      </c>
      <c r="L13" s="3">
        <f t="shared" si="0"/>
        <v>42309</v>
      </c>
      <c r="M13" s="4">
        <f t="array" aca="1" ref="M13" ca="1">INDEX($F:$F,MATCH(1,($J13=$A:$A)*($K13=$B:$B)*(M$1=$H:$H),0))</f>
        <v>0.183</v>
      </c>
      <c r="N13" s="4">
        <f t="array" aca="1" ref="N13" ca="1">INDEX($F:$F,MATCH(1,($J13=$A:$A)*($K13=$B:$B)*(N$1=$H:$H),0))</f>
        <v>-0.94899999999999995</v>
      </c>
      <c r="O13" s="4">
        <f t="array" aca="1" ref="O13" ca="1">INDEX($F:$F,MATCH(1,($J13=$A:$A)*($K13=$B:$B)*(O$1=$H:$H),0))</f>
        <v>0.89500000000000002</v>
      </c>
      <c r="P13" s="4">
        <f t="array" aca="1" ref="P13" ca="1">INDEX($F:$F,MATCH(1,($J13=$A:$A)*($K13=$B:$B)*(P$1=$H:$H),0))</f>
        <v>9.2999999999999999E-2</v>
      </c>
      <c r="Q13" s="4">
        <f t="array" aca="1" ref="Q13" ca="1">INDEX($F:$F,MATCH(1,($J13=$A:$A)*($K13=$B:$B)*(Q$1=$H:$H),0))</f>
        <v>3.6999999999999998E-2</v>
      </c>
      <c r="R13" s="4">
        <f t="array" aca="1" ref="R13" ca="1">INDEX($F:$F,MATCH(1,($J13=$A:$A)*($K13=$B:$B)*(R$1=$H:$H),0))</f>
        <v>0.22600000000000001</v>
      </c>
      <c r="S13" s="4">
        <f t="array" aca="1" ref="S13" ca="1">INDEX($F:$F,MATCH(1,($J13=$A:$A)*($K13=$B:$B)*(S$1=$H:$H),0))</f>
        <v>7.0000000000000007E-2</v>
      </c>
      <c r="T13">
        <f t="shared" ca="1" si="1"/>
        <v>0.55499999999999994</v>
      </c>
      <c r="U13" s="4" cm="1">
        <f t="array" aca="1" ref="U13" ca="1">INDEX($F:$F,MATCH(1,($J13=$A:$A)*($K13=$B:$B)*(U$1=$H:$H),0))</f>
        <v>0</v>
      </c>
    </row>
    <row r="14" spans="1:21" x14ac:dyDescent="0.25">
      <c r="A14">
        <v>2014</v>
      </c>
      <c r="B14">
        <v>12</v>
      </c>
      <c r="C14" t="s">
        <v>26</v>
      </c>
      <c r="D14">
        <v>38.293999999999997</v>
      </c>
      <c r="E14">
        <v>-2</v>
      </c>
      <c r="F14">
        <v>-0.77500000000000002</v>
      </c>
      <c r="H14" s="4" t="str">
        <f t="array" aca="1" ref="H14" ca="1">SUBSTITUTE(SUBSTITUTE(_xlfn.TEXTJOIN("",TRUE,IF(ISERR(MID(C14,ROW(INDIRECT("1:100")),1)+0),MID(C14,ROW(INDIRECT("1:100")),1),"")),")",""),"(","")</f>
        <v>Commodities</v>
      </c>
      <c r="J14">
        <f t="shared" si="2"/>
        <v>2015</v>
      </c>
      <c r="K14">
        <v>12</v>
      </c>
      <c r="L14" s="3">
        <f t="shared" si="0"/>
        <v>42339</v>
      </c>
      <c r="M14" s="4">
        <f t="array" aca="1" ref="M14" ca="1">INDEX($F:$F,MATCH(1,($J14=$A:$A)*($K14=$B:$B)*(M$1=$H:$H),0))</f>
        <v>0.11700000000000001</v>
      </c>
      <c r="N14" s="4">
        <f t="array" aca="1" ref="N14" ca="1">INDEX($F:$F,MATCH(1,($J14=$A:$A)*($K14=$B:$B)*(N$1=$H:$H),0))</f>
        <v>-0.63100000000000001</v>
      </c>
      <c r="O14" s="4">
        <f t="array" aca="1" ref="O14" ca="1">INDEX($F:$F,MATCH(1,($J14=$A:$A)*($K14=$B:$B)*(O$1=$H:$H),0))</f>
        <v>0.873</v>
      </c>
      <c r="P14" s="4">
        <f t="array" aca="1" ref="P14" ca="1">INDEX($F:$F,MATCH(1,($J14=$A:$A)*($K14=$B:$B)*(P$1=$H:$H),0))</f>
        <v>0.10199999999999999</v>
      </c>
      <c r="Q14" s="4">
        <f t="array" aca="1" ref="Q14" ca="1">INDEX($F:$F,MATCH(1,($J14=$A:$A)*($K14=$B:$B)*(Q$1=$H:$H),0))</f>
        <v>3.7999999999999999E-2</v>
      </c>
      <c r="R14" s="4">
        <f t="array" aca="1" ref="R14" ca="1">INDEX($F:$F,MATCH(1,($J14=$A:$A)*($K14=$B:$B)*(R$1=$H:$H),0))</f>
        <v>0.19900000000000001</v>
      </c>
      <c r="S14" s="4">
        <f t="array" aca="1" ref="S14" ca="1">INDEX($F:$F,MATCH(1,($J14=$A:$A)*($K14=$B:$B)*(S$1=$H:$H),0))</f>
        <v>6.3E-2</v>
      </c>
      <c r="T14">
        <f t="shared" ca="1" si="1"/>
        <v>0.7609999999999999</v>
      </c>
      <c r="U14" s="4" cm="1">
        <f t="array" aca="1" ref="U14" ca="1">INDEX($F:$F,MATCH(1,($J14=$A:$A)*($K14=$B:$B)*(U$1=$H:$H),0))</f>
        <v>0</v>
      </c>
    </row>
    <row r="15" spans="1:21" x14ac:dyDescent="0.25">
      <c r="A15">
        <v>2014</v>
      </c>
      <c r="B15">
        <v>12</v>
      </c>
      <c r="C15" t="s">
        <v>27</v>
      </c>
      <c r="D15">
        <v>61.706000000000003</v>
      </c>
      <c r="E15">
        <v>2.5</v>
      </c>
      <c r="F15">
        <v>1.532</v>
      </c>
      <c r="H15" s="4" t="str">
        <f t="array" aca="1" ref="H15" ca="1">SUBSTITUTE(SUBSTITUTE(_xlfn.TEXTJOIN("",TRUE,IF(ISERR(MID(C15,ROW(INDIRECT("1:100")),1)+0),MID(C15,ROW(INDIRECT("1:100")),1),"")),")",""),"(","")</f>
        <v>Services</v>
      </c>
      <c r="J15">
        <f>+J3+1</f>
        <v>2016</v>
      </c>
      <c r="K15">
        <f t="shared" ref="K15:K58" si="3">+K3</f>
        <v>1</v>
      </c>
      <c r="L15" s="3">
        <f t="shared" si="0"/>
        <v>42370</v>
      </c>
      <c r="M15" s="4">
        <f t="array" aca="1" ref="M15" ca="1">INDEX($F:$F,MATCH(1,($J15=$A:$A)*($K15=$B:$B)*(M$1=$H:$H),0))</f>
        <v>0.13300000000000001</v>
      </c>
      <c r="N15" s="4">
        <f t="array" aca="1" ref="N15" ca="1">INDEX($F:$F,MATCH(1,($J15=$A:$A)*($K15=$B:$B)*(N$1=$H:$H),0))</f>
        <v>-0.06</v>
      </c>
      <c r="O15" s="4">
        <f t="array" aca="1" ref="O15" ca="1">INDEX($F:$F,MATCH(1,($J15=$A:$A)*($K15=$B:$B)*(O$1=$H:$H),0))</f>
        <v>0.89</v>
      </c>
      <c r="P15" s="4">
        <f t="array" aca="1" ref="P15" ca="1">INDEX($F:$F,MATCH(1,($J15=$A:$A)*($K15=$B:$B)*(P$1=$H:$H),0))</f>
        <v>9.7000000000000003E-2</v>
      </c>
      <c r="Q15" s="4">
        <f t="array" aca="1" ref="Q15" ca="1">INDEX($F:$F,MATCH(1,($J15=$A:$A)*($K15=$B:$B)*(Q$1=$H:$H),0))</f>
        <v>3.9E-2</v>
      </c>
      <c r="R15" s="4">
        <f t="array" aca="1" ref="R15" ca="1">INDEX($F:$F,MATCH(1,($J15=$A:$A)*($K15=$B:$B)*(R$1=$H:$H),0))</f>
        <v>0.23599999999999999</v>
      </c>
      <c r="S15" s="4">
        <f t="array" aca="1" ref="S15" ca="1">INDEX($F:$F,MATCH(1,($J15=$A:$A)*($K15=$B:$B)*(S$1=$H:$H),0))</f>
        <v>5.3999999999999999E-2</v>
      </c>
      <c r="T15">
        <f t="shared" ca="1" si="1"/>
        <v>1.389</v>
      </c>
      <c r="U15" s="4" cm="1">
        <f t="array" aca="1" ref="U15" ca="1">INDEX($F:$F,MATCH(1,($J15=$A:$A)*($K15=$B:$B)*(U$1=$H:$H),0))</f>
        <v>0</v>
      </c>
    </row>
    <row r="16" spans="1:21" x14ac:dyDescent="0.25">
      <c r="A16">
        <v>2014</v>
      </c>
      <c r="B16">
        <v>12</v>
      </c>
      <c r="C16" t="s">
        <v>28</v>
      </c>
      <c r="D16">
        <v>8.9420000000000002</v>
      </c>
      <c r="E16">
        <v>-2</v>
      </c>
      <c r="F16">
        <v>-0.183</v>
      </c>
      <c r="H16" s="4" t="str">
        <f t="array" aca="1" ref="H16" ca="1">SUBSTITUTE(SUBSTITUTE(_xlfn.TEXTJOIN("",TRUE,IF(ISERR(MID(C16,ROW(INDIRECT("1:100")),1)+0),MID(C16,ROW(INDIRECT("1:100")),1),"")),")",""),"(","")</f>
        <v>Durables</v>
      </c>
      <c r="J16">
        <f t="shared" ref="J16:J26" si="4">+J15</f>
        <v>2016</v>
      </c>
      <c r="K16">
        <f t="shared" si="3"/>
        <v>2</v>
      </c>
      <c r="L16" s="3">
        <f t="shared" si="0"/>
        <v>42401</v>
      </c>
      <c r="M16" s="4">
        <f t="array" aca="1" ref="M16" ca="1">INDEX($F:$F,MATCH(1,($J16=$A:$A)*($K16=$B:$B)*(M$1=$H:$H),0))</f>
        <v>0.13500000000000001</v>
      </c>
      <c r="N16" s="4">
        <f t="array" aca="1" ref="N16" ca="1">INDEX($F:$F,MATCH(1,($J16=$A:$A)*($K16=$B:$B)*(N$1=$H:$H),0))</f>
        <v>-0.52100000000000002</v>
      </c>
      <c r="O16" s="4">
        <f t="array" aca="1" ref="O16" ca="1">INDEX($F:$F,MATCH(1,($J16=$A:$A)*($K16=$B:$B)*(O$1=$H:$H),0))</f>
        <v>0.89600000000000002</v>
      </c>
      <c r="P16" s="4">
        <f t="array" aca="1" ref="P16" ca="1">INDEX($F:$F,MATCH(1,($J16=$A:$A)*($K16=$B:$B)*(P$1=$H:$H),0))</f>
        <v>8.5999999999999993E-2</v>
      </c>
      <c r="Q16" s="4">
        <f t="array" aca="1" ref="Q16" ca="1">INDEX($F:$F,MATCH(1,($J16=$A:$A)*($K16=$B:$B)*(Q$1=$H:$H),0))</f>
        <v>5.1999999999999998E-2</v>
      </c>
      <c r="R16" s="4">
        <f t="array" aca="1" ref="R16" ca="1">INDEX($F:$F,MATCH(1,($J16=$A:$A)*($K16=$B:$B)*(R$1=$H:$H),0))</f>
        <v>0.28100000000000003</v>
      </c>
      <c r="S16" s="4">
        <f t="array" aca="1" ref="S16" ca="1">INDEX($F:$F,MATCH(1,($J16=$A:$A)*($K16=$B:$B)*(S$1=$H:$H),0))</f>
        <v>6.4000000000000001E-2</v>
      </c>
      <c r="T16">
        <f t="shared" ca="1" si="1"/>
        <v>0.9930000000000001</v>
      </c>
      <c r="U16" s="4" cm="1">
        <f t="array" aca="1" ref="U16" ca="1">INDEX($F:$F,MATCH(1,($J16=$A:$A)*($K16=$B:$B)*(U$1=$H:$H),0))</f>
        <v>0</v>
      </c>
    </row>
    <row r="17" spans="1:21" x14ac:dyDescent="0.25">
      <c r="A17">
        <v>2014</v>
      </c>
      <c r="B17">
        <v>12</v>
      </c>
      <c r="C17" t="s">
        <v>29</v>
      </c>
      <c r="D17">
        <v>29.352</v>
      </c>
      <c r="E17">
        <v>-2</v>
      </c>
      <c r="F17">
        <v>-0.59199999999999997</v>
      </c>
      <c r="H17" s="4" t="str">
        <f t="array" aca="1" ref="H17" ca="1">SUBSTITUTE(SUBSTITUTE(_xlfn.TEXTJOIN("",TRUE,IF(ISERR(MID(C17,ROW(INDIRECT("1:100")),1)+0),MID(C17,ROW(INDIRECT("1:100")),1),"")),")",""),"(","")</f>
        <v>Nondurables</v>
      </c>
      <c r="J17">
        <f t="shared" si="4"/>
        <v>2016</v>
      </c>
      <c r="K17">
        <f t="shared" si="3"/>
        <v>3</v>
      </c>
      <c r="L17" s="3">
        <f t="shared" si="0"/>
        <v>42430</v>
      </c>
      <c r="M17" s="4">
        <f t="array" aca="1" ref="M17" ca="1">INDEX($F:$F,MATCH(1,($J17=$A:$A)*($K17=$B:$B)*(M$1=$H:$H),0))</f>
        <v>0.123</v>
      </c>
      <c r="N17" s="4">
        <f t="array" aca="1" ref="N17" ca="1">INDEX($F:$F,MATCH(1,($J17=$A:$A)*($K17=$B:$B)*(N$1=$H:$H),0))</f>
        <v>-0.61799999999999999</v>
      </c>
      <c r="O17" s="4">
        <f t="array" aca="1" ref="O17" ca="1">INDEX($F:$F,MATCH(1,($J17=$A:$A)*($K17=$B:$B)*(O$1=$H:$H),0))</f>
        <v>0.89800000000000002</v>
      </c>
      <c r="P17" s="4">
        <f t="array" aca="1" ref="P17" ca="1">INDEX($F:$F,MATCH(1,($J17=$A:$A)*($K17=$B:$B)*(P$1=$H:$H),0))</f>
        <v>8.7999999999999995E-2</v>
      </c>
      <c r="Q17" s="4">
        <f t="array" aca="1" ref="Q17" ca="1">INDEX($F:$F,MATCH(1,($J17=$A:$A)*($K17=$B:$B)*(Q$1=$H:$H),0))</f>
        <v>6.0999999999999999E-2</v>
      </c>
      <c r="R17" s="4">
        <f t="array" aca="1" ref="R17" ca="1">INDEX($F:$F,MATCH(1,($J17=$A:$A)*($K17=$B:$B)*(R$1=$H:$H),0))</f>
        <v>0.26300000000000001</v>
      </c>
      <c r="S17" s="4">
        <f t="array" aca="1" ref="S17" ca="1">INDEX($F:$F,MATCH(1,($J17=$A:$A)*($K17=$B:$B)*(S$1=$H:$H),0))</f>
        <v>6.6000000000000003E-2</v>
      </c>
      <c r="T17">
        <f t="shared" ca="1" si="1"/>
        <v>0.88100000000000001</v>
      </c>
      <c r="U17" s="4" cm="1">
        <f t="array" aca="1" ref="U17" ca="1">INDEX($F:$F,MATCH(1,($J17=$A:$A)*($K17=$B:$B)*(U$1=$H:$H),0))</f>
        <v>0</v>
      </c>
    </row>
    <row r="18" spans="1:21" x14ac:dyDescent="0.25">
      <c r="A18">
        <v>2014</v>
      </c>
      <c r="B18">
        <v>12</v>
      </c>
      <c r="C18" t="s">
        <v>8</v>
      </c>
      <c r="D18">
        <v>41.872999999999998</v>
      </c>
      <c r="E18">
        <v>2.5</v>
      </c>
      <c r="F18">
        <v>1.044</v>
      </c>
      <c r="H18" s="4" t="str">
        <f t="array" aca="1" ref="H18" ca="1">SUBSTITUTE(SUBSTITUTE(_xlfn.TEXTJOIN("",TRUE,IF(ISERR(MID(C18,ROW(INDIRECT("1:100")),1)+0),MID(C18,ROW(INDIRECT("1:100")),1),"")),")",""),"(","")</f>
        <v>Housing</v>
      </c>
      <c r="J18">
        <f t="shared" si="4"/>
        <v>2016</v>
      </c>
      <c r="K18">
        <f t="shared" si="3"/>
        <v>4</v>
      </c>
      <c r="L18" s="3">
        <f t="shared" si="0"/>
        <v>42461</v>
      </c>
      <c r="M18" s="4">
        <f t="array" aca="1" ref="M18" ca="1">INDEX($F:$F,MATCH(1,($J18=$A:$A)*($K18=$B:$B)*(M$1=$H:$H),0))</f>
        <v>0.14399999999999999</v>
      </c>
      <c r="N18" s="4">
        <f t="array" aca="1" ref="N18" ca="1">INDEX($F:$F,MATCH(1,($J18=$A:$A)*($K18=$B:$B)*(N$1=$H:$H),0))</f>
        <v>-0.34599999999999997</v>
      </c>
      <c r="O18" s="4">
        <f t="array" aca="1" ref="O18" ca="1">INDEX($F:$F,MATCH(1,($J18=$A:$A)*($K18=$B:$B)*(O$1=$H:$H),0))</f>
        <v>0.88900000000000001</v>
      </c>
      <c r="P18" s="4">
        <f t="array" aca="1" ref="P18" ca="1">INDEX($F:$F,MATCH(1,($J18=$A:$A)*($K18=$B:$B)*(P$1=$H:$H),0))</f>
        <v>8.2000000000000003E-2</v>
      </c>
      <c r="Q18" s="4">
        <f t="array" aca="1" ref="Q18" ca="1">INDEX($F:$F,MATCH(1,($J18=$A:$A)*($K18=$B:$B)*(Q$1=$H:$H),0))</f>
        <v>7.2999999999999995E-2</v>
      </c>
      <c r="R18" s="4">
        <f t="array" aca="1" ref="R18" ca="1">INDEX($F:$F,MATCH(1,($J18=$A:$A)*($K18=$B:$B)*(R$1=$H:$H),0))</f>
        <v>0.24199999999999999</v>
      </c>
      <c r="S18" s="4">
        <f t="array" aca="1" ref="S18" ca="1">INDEX($F:$F,MATCH(1,($J18=$A:$A)*($K18=$B:$B)*(S$1=$H:$H),0))</f>
        <v>7.0000000000000007E-2</v>
      </c>
      <c r="T18">
        <f t="shared" ca="1" si="1"/>
        <v>1.1540000000000001</v>
      </c>
      <c r="U18" s="4" cm="1">
        <f t="array" aca="1" ref="U18" ca="1">INDEX($F:$F,MATCH(1,($J18=$A:$A)*($K18=$B:$B)*(U$1=$H:$H),0))</f>
        <v>0</v>
      </c>
    </row>
    <row r="19" spans="1:21" x14ac:dyDescent="0.25">
      <c r="A19">
        <v>2014</v>
      </c>
      <c r="B19">
        <v>12</v>
      </c>
      <c r="C19" t="s">
        <v>30</v>
      </c>
      <c r="D19">
        <v>7.0369999999999999</v>
      </c>
      <c r="E19">
        <v>0.4</v>
      </c>
      <c r="F19">
        <v>2.9000000000000001E-2</v>
      </c>
      <c r="H19" s="4" t="str">
        <f t="array" aca="1" ref="H19" ca="1">SUBSTITUTE(SUBSTITUTE(_xlfn.TEXTJOIN("",TRUE,IF(ISERR(MID(C19,ROW(INDIRECT("1:100")),1)+0),MID(C19,ROW(INDIRECT("1:100")),1),"")),")",""),"(","")</f>
        <v>Education and communication</v>
      </c>
      <c r="J19">
        <f t="shared" si="4"/>
        <v>2016</v>
      </c>
      <c r="K19">
        <f t="shared" si="3"/>
        <v>5</v>
      </c>
      <c r="L19" s="3">
        <f t="shared" si="0"/>
        <v>42491</v>
      </c>
      <c r="M19" s="4">
        <f t="array" aca="1" ref="M19" ca="1">INDEX($F:$F,MATCH(1,($J19=$A:$A)*($K19=$B:$B)*(M$1=$H:$H),0))</f>
        <v>0.106</v>
      </c>
      <c r="N19" s="4">
        <f t="array" aca="1" ref="N19" ca="1">INDEX($F:$F,MATCH(1,($J19=$A:$A)*($K19=$B:$B)*(N$1=$H:$H),0))</f>
        <v>-0.56100000000000005</v>
      </c>
      <c r="O19" s="4">
        <f t="array" aca="1" ref="O19" ca="1">INDEX($F:$F,MATCH(1,($J19=$A:$A)*($K19=$B:$B)*(O$1=$H:$H),0))</f>
        <v>0.99299999999999999</v>
      </c>
      <c r="P19" s="4">
        <f t="array" aca="1" ref="P19" ca="1">INDEX($F:$F,MATCH(1,($J19=$A:$A)*($K19=$B:$B)*(P$1=$H:$H),0))</f>
        <v>0.08</v>
      </c>
      <c r="Q19" s="4">
        <f t="array" aca="1" ref="Q19" ca="1">INDEX($F:$F,MATCH(1,($J19=$A:$A)*($K19=$B:$B)*(Q$1=$H:$H),0))</f>
        <v>6.5000000000000002E-2</v>
      </c>
      <c r="R19" s="4">
        <f t="array" aca="1" ref="R19" ca="1">INDEX($F:$F,MATCH(1,($J19=$A:$A)*($K19=$B:$B)*(R$1=$H:$H),0))</f>
        <v>0.25800000000000001</v>
      </c>
      <c r="S19" s="4">
        <f t="array" aca="1" ref="S19" ca="1">INDEX($F:$F,MATCH(1,($J19=$A:$A)*($K19=$B:$B)*(S$1=$H:$H),0))</f>
        <v>7.1999999999999995E-2</v>
      </c>
      <c r="T19">
        <f t="shared" ca="1" si="1"/>
        <v>1.0129999999999999</v>
      </c>
      <c r="U19" s="4" cm="1">
        <f t="array" aca="1" ref="U19" ca="1">INDEX($F:$F,MATCH(1,($J19=$A:$A)*($K19=$B:$B)*(U$1=$H:$H),0))</f>
        <v>0</v>
      </c>
    </row>
    <row r="20" spans="1:21" x14ac:dyDescent="0.25">
      <c r="A20">
        <v>2014</v>
      </c>
      <c r="B20">
        <v>12</v>
      </c>
      <c r="C20" t="s">
        <v>31</v>
      </c>
      <c r="D20">
        <v>5.7249999999999996</v>
      </c>
      <c r="E20">
        <v>0</v>
      </c>
      <c r="F20">
        <v>1E-3</v>
      </c>
      <c r="H20" s="4" t="str">
        <f t="array" aca="1" ref="H20" ca="1">SUBSTITUTE(SUBSTITUTE(_xlfn.TEXTJOIN("",TRUE,IF(ISERR(MID(C20,ROW(INDIRECT("1:100")),1)+0),MID(C20,ROW(INDIRECT("1:100")),1),"")),")",""),"(","")</f>
        <v>Recreation</v>
      </c>
      <c r="J20">
        <f t="shared" si="4"/>
        <v>2016</v>
      </c>
      <c r="K20">
        <f t="shared" si="3"/>
        <v>6</v>
      </c>
      <c r="L20" s="3">
        <f t="shared" si="0"/>
        <v>42522</v>
      </c>
      <c r="M20" s="4">
        <f t="array" aca="1" ref="M20" ca="1">INDEX($F:$F,MATCH(1,($J20=$A:$A)*($K20=$B:$B)*(M$1=$H:$H),0))</f>
        <v>5.8999999999999997E-2</v>
      </c>
      <c r="N20" s="4">
        <f t="array" aca="1" ref="N20" ca="1">INDEX($F:$F,MATCH(1,($J20=$A:$A)*($K20=$B:$B)*(N$1=$H:$H),0))</f>
        <v>-0.55200000000000005</v>
      </c>
      <c r="O20" s="4">
        <f t="array" aca="1" ref="O20" ca="1">INDEX($F:$F,MATCH(1,($J20=$A:$A)*($K20=$B:$B)*(O$1=$H:$H),0))</f>
        <v>1</v>
      </c>
      <c r="P20" s="4">
        <f t="array" aca="1" ref="P20" ca="1">INDEX($F:$F,MATCH(1,($J20=$A:$A)*($K20=$B:$B)*(P$1=$H:$H),0))</f>
        <v>7.3999999999999996E-2</v>
      </c>
      <c r="Q20" s="4">
        <f t="array" aca="1" ref="Q20" ca="1">INDEX($F:$F,MATCH(1,($J20=$A:$A)*($K20=$B:$B)*(Q$1=$H:$H),0))</f>
        <v>5.8000000000000003E-2</v>
      </c>
      <c r="R20" s="4">
        <f t="array" aca="1" ref="R20" ca="1">INDEX($F:$F,MATCH(1,($J20=$A:$A)*($K20=$B:$B)*(R$1=$H:$H),0))</f>
        <v>0.29399999999999998</v>
      </c>
      <c r="S20" s="4">
        <f t="array" aca="1" ref="S20" ca="1">INDEX($F:$F,MATCH(1,($J20=$A:$A)*($K20=$B:$B)*(S$1=$H:$H),0))</f>
        <v>6.0999999999999999E-2</v>
      </c>
      <c r="T20">
        <f t="shared" ca="1" si="1"/>
        <v>0.99399999999999977</v>
      </c>
      <c r="U20" s="4" cm="1">
        <f t="array" aca="1" ref="U20" ca="1">INDEX($F:$F,MATCH(1,($J20=$A:$A)*($K20=$B:$B)*(U$1=$H:$H),0))</f>
        <v>0</v>
      </c>
    </row>
    <row r="21" spans="1:21" x14ac:dyDescent="0.25">
      <c r="A21">
        <v>2014</v>
      </c>
      <c r="B21">
        <v>12</v>
      </c>
      <c r="C21" t="s">
        <v>6</v>
      </c>
      <c r="D21">
        <v>15.143000000000001</v>
      </c>
      <c r="E21">
        <v>3.3</v>
      </c>
      <c r="F21">
        <v>0.48699999999999999</v>
      </c>
      <c r="H21" s="4" t="str">
        <f t="array" aca="1" ref="H21" ca="1">SUBSTITUTE(SUBSTITUTE(_xlfn.TEXTJOIN("",TRUE,IF(ISERR(MID(C21,ROW(INDIRECT("1:100")),1)+0),MID(C21,ROW(INDIRECT("1:100")),1),"")),")",""),"(","")</f>
        <v>Food and beverages</v>
      </c>
      <c r="J21">
        <f t="shared" si="4"/>
        <v>2016</v>
      </c>
      <c r="K21">
        <f t="shared" si="3"/>
        <v>7</v>
      </c>
      <c r="L21" s="3">
        <f t="shared" si="0"/>
        <v>42552</v>
      </c>
      <c r="M21" s="4">
        <f t="array" aca="1" ref="M21" ca="1">INDEX($F:$F,MATCH(1,($J21=$A:$A)*($K21=$B:$B)*(M$1=$H:$H),0))</f>
        <v>4.3999999999999997E-2</v>
      </c>
      <c r="N21" s="4">
        <f t="array" aca="1" ref="N21" ca="1">INDEX($F:$F,MATCH(1,($J21=$A:$A)*($K21=$B:$B)*(N$1=$H:$H),0))</f>
        <v>-0.73799999999999999</v>
      </c>
      <c r="O21" s="4">
        <f t="array" aca="1" ref="O21" ca="1">INDEX($F:$F,MATCH(1,($J21=$A:$A)*($K21=$B:$B)*(O$1=$H:$H),0))</f>
        <v>1.024</v>
      </c>
      <c r="P21" s="4">
        <f t="array" aca="1" ref="P21" ca="1">INDEX($F:$F,MATCH(1,($J21=$A:$A)*($K21=$B:$B)*(P$1=$H:$H),0))</f>
        <v>0.06</v>
      </c>
      <c r="Q21" s="4">
        <f t="array" aca="1" ref="Q21" ca="1">INDEX($F:$F,MATCH(1,($J21=$A:$A)*($K21=$B:$B)*(Q$1=$H:$H),0))</f>
        <v>4.9000000000000002E-2</v>
      </c>
      <c r="R21" s="4">
        <f t="array" aca="1" ref="R21" ca="1">INDEX($F:$F,MATCH(1,($J21=$A:$A)*($K21=$B:$B)*(R$1=$H:$H),0))</f>
        <v>0.32300000000000001</v>
      </c>
      <c r="S21" s="4">
        <f t="array" aca="1" ref="S21" ca="1">INDEX($F:$F,MATCH(1,($J21=$A:$A)*($K21=$B:$B)*(S$1=$H:$H),0))</f>
        <v>6.3E-2</v>
      </c>
      <c r="T21">
        <f t="shared" ca="1" si="1"/>
        <v>0.82499999999999996</v>
      </c>
      <c r="U21" s="4" cm="1">
        <f t="array" aca="1" ref="U21" ca="1">INDEX($F:$F,MATCH(1,($J21=$A:$A)*($K21=$B:$B)*(U$1=$H:$H),0))</f>
        <v>0</v>
      </c>
    </row>
    <row r="22" spans="1:21" x14ac:dyDescent="0.25">
      <c r="A22">
        <v>2014</v>
      </c>
      <c r="B22">
        <v>12</v>
      </c>
      <c r="C22" t="s">
        <v>32</v>
      </c>
      <c r="D22">
        <v>11.893000000000001</v>
      </c>
      <c r="E22">
        <v>1.2</v>
      </c>
      <c r="F22">
        <v>0.14699999999999999</v>
      </c>
      <c r="H22" s="4" t="str">
        <f t="array" aca="1" ref="H22" ca="1">SUBSTITUTE(SUBSTITUTE(_xlfn.TEXTJOIN("",TRUE,IF(ISERR(MID(C22,ROW(INDIRECT("1:100")),1)+0),MID(C22,ROW(INDIRECT("1:100")),1),"")),")",""),"(","")</f>
        <v>Other services</v>
      </c>
      <c r="J22">
        <f t="shared" si="4"/>
        <v>2016</v>
      </c>
      <c r="K22">
        <f t="shared" si="3"/>
        <v>8</v>
      </c>
      <c r="L22" s="3">
        <f t="shared" si="0"/>
        <v>42583</v>
      </c>
      <c r="M22" s="4">
        <f t="array" aca="1" ref="M22" ca="1">INDEX($F:$F,MATCH(1,($J22=$A:$A)*($K22=$B:$B)*(M$1=$H:$H),0))</f>
        <v>1.4E-2</v>
      </c>
      <c r="N22" s="4">
        <f t="array" aca="1" ref="N22" ca="1">INDEX($F:$F,MATCH(1,($J22=$A:$A)*($K22=$B:$B)*(N$1=$H:$H),0))</f>
        <v>-0.60299999999999998</v>
      </c>
      <c r="O22" s="4">
        <f t="array" aca="1" ref="O22" ca="1">INDEX($F:$F,MATCH(1,($J22=$A:$A)*($K22=$B:$B)*(O$1=$H:$H),0))</f>
        <v>1.081</v>
      </c>
      <c r="P22" s="4">
        <f t="array" aca="1" ref="P22" ca="1">INDEX($F:$F,MATCH(1,($J22=$A:$A)*($K22=$B:$B)*(P$1=$H:$H),0))</f>
        <v>5.1999999999999998E-2</v>
      </c>
      <c r="Q22" s="4">
        <f t="array" aca="1" ref="Q22" ca="1">INDEX($F:$F,MATCH(1,($J22=$A:$A)*($K22=$B:$B)*(Q$1=$H:$H),0))</f>
        <v>5.0999999999999997E-2</v>
      </c>
      <c r="R22" s="4">
        <f t="array" aca="1" ref="R22" ca="1">INDEX($F:$F,MATCH(1,($J22=$A:$A)*($K22=$B:$B)*(R$1=$H:$H),0))</f>
        <v>0.39900000000000002</v>
      </c>
      <c r="S22" s="4">
        <f t="array" aca="1" ref="S22" ca="1">INDEX($F:$F,MATCH(1,($J22=$A:$A)*($K22=$B:$B)*(S$1=$H:$H),0))</f>
        <v>6.6000000000000003E-2</v>
      </c>
      <c r="T22">
        <f t="shared" ca="1" si="1"/>
        <v>1.06</v>
      </c>
      <c r="U22" s="4" cm="1">
        <f t="array" aca="1" ref="U22" ca="1">INDEX($F:$F,MATCH(1,($J22=$A:$A)*($K22=$B:$B)*(U$1=$H:$H),0))</f>
        <v>0</v>
      </c>
    </row>
    <row r="23" spans="1:21" x14ac:dyDescent="0.25">
      <c r="A23">
        <v>2014</v>
      </c>
      <c r="B23">
        <v>12</v>
      </c>
      <c r="C23" t="s">
        <v>33</v>
      </c>
      <c r="D23">
        <v>2.7290000000000001</v>
      </c>
      <c r="E23">
        <v>-3.2</v>
      </c>
      <c r="F23">
        <v>-8.7999999999999995E-2</v>
      </c>
      <c r="H23" s="4" t="str">
        <f t="array" aca="1" ref="H23" ca="1">SUBSTITUTE(SUBSTITUTE(_xlfn.TEXTJOIN("",TRUE,IF(ISERR(MID(C23,ROW(INDIRECT("1:100")),1)+0),MID(C23,ROW(INDIRECT("1:100")),1),"")),")",""),"(","")</f>
        <v>Apparel less footwear</v>
      </c>
      <c r="J23">
        <f t="shared" si="4"/>
        <v>2016</v>
      </c>
      <c r="K23">
        <f t="shared" si="3"/>
        <v>9</v>
      </c>
      <c r="L23" s="3">
        <f t="shared" si="0"/>
        <v>42614</v>
      </c>
      <c r="M23" s="4">
        <f t="array" aca="1" ref="M23" ca="1">INDEX($F:$F,MATCH(1,($J23=$A:$A)*($K23=$B:$B)*(M$1=$H:$H),0))</f>
        <v>-2.8000000000000001E-2</v>
      </c>
      <c r="N23" s="4">
        <f t="array" aca="1" ref="N23" ca="1">INDEX($F:$F,MATCH(1,($J23=$A:$A)*($K23=$B:$B)*(N$1=$H:$H),0))</f>
        <v>-0.151</v>
      </c>
      <c r="O23" s="4">
        <f t="array" aca="1" ref="O23" ca="1">INDEX($F:$F,MATCH(1,($J23=$A:$A)*($K23=$B:$B)*(O$1=$H:$H),0))</f>
        <v>1.135</v>
      </c>
      <c r="P23" s="4">
        <f t="array" aca="1" ref="P23" ca="1">INDEX($F:$F,MATCH(1,($J23=$A:$A)*($K23=$B:$B)*(P$1=$H:$H),0))</f>
        <v>4.0000000000000001E-3</v>
      </c>
      <c r="Q23" s="4">
        <f t="array" aca="1" ref="Q23" ca="1">INDEX($F:$F,MATCH(1,($J23=$A:$A)*($K23=$B:$B)*(Q$1=$H:$H),0))</f>
        <v>4.4999999999999998E-2</v>
      </c>
      <c r="R23" s="4">
        <f t="array" aca="1" ref="R23" ca="1">INDEX($F:$F,MATCH(1,($J23=$A:$A)*($K23=$B:$B)*(R$1=$H:$H),0))</f>
        <v>0.39900000000000002</v>
      </c>
      <c r="S23" s="4">
        <f t="array" aca="1" ref="S23" ca="1">INDEX($F:$F,MATCH(1,($J23=$A:$A)*($K23=$B:$B)*(S$1=$H:$H),0))</f>
        <v>7.0000000000000007E-2</v>
      </c>
      <c r="T23">
        <f t="shared" ca="1" si="1"/>
        <v>1.474</v>
      </c>
      <c r="U23" s="4" cm="1">
        <f t="array" aca="1" ref="U23" ca="1">INDEX($F:$F,MATCH(1,($J23=$A:$A)*($K23=$B:$B)*(U$1=$H:$H),0))</f>
        <v>0</v>
      </c>
    </row>
    <row r="24" spans="1:21" x14ac:dyDescent="0.25">
      <c r="A24">
        <v>2014</v>
      </c>
      <c r="B24">
        <v>12</v>
      </c>
      <c r="C24" t="s">
        <v>34</v>
      </c>
      <c r="D24">
        <v>5.2089999999999996</v>
      </c>
      <c r="E24">
        <v>3</v>
      </c>
      <c r="F24">
        <v>0.155</v>
      </c>
      <c r="H24" s="4" t="str">
        <f t="array" aca="1" ref="H24" ca="1">SUBSTITUTE(SUBSTITUTE(_xlfn.TEXTJOIN("",TRUE,IF(ISERR(MID(C24,ROW(INDIRECT("1:100")),1)+0),MID(C24,ROW(INDIRECT("1:100")),1),"")),")",""),"(","")</f>
        <v>Fuels and utilities</v>
      </c>
      <c r="J24">
        <f t="shared" si="4"/>
        <v>2016</v>
      </c>
      <c r="K24">
        <f t="shared" si="3"/>
        <v>10</v>
      </c>
      <c r="L24" s="3">
        <f t="shared" si="0"/>
        <v>42644</v>
      </c>
      <c r="M24" s="4">
        <f t="array" aca="1" ref="M24" ca="1">INDEX($F:$F,MATCH(1,($J24=$A:$A)*($K24=$B:$B)*(M$1=$H:$H),0))</f>
        <v>-4.3999999999999997E-2</v>
      </c>
      <c r="N24" s="4">
        <f t="array" aca="1" ref="N24" ca="1">INDEX($F:$F,MATCH(1,($J24=$A:$A)*($K24=$B:$B)*(N$1=$H:$H),0))</f>
        <v>4.2000000000000003E-2</v>
      </c>
      <c r="O24" s="4">
        <f t="array" aca="1" ref="O24" ca="1">INDEX($F:$F,MATCH(1,($J24=$A:$A)*($K24=$B:$B)*(O$1=$H:$H),0))</f>
        <v>1.2050000000000001</v>
      </c>
      <c r="P24" s="4">
        <f t="array" aca="1" ref="P24" ca="1">INDEX($F:$F,MATCH(1,($J24=$A:$A)*($K24=$B:$B)*(P$1=$H:$H),0))</f>
        <v>-1.9E-2</v>
      </c>
      <c r="Q24" s="4">
        <f t="array" aca="1" ref="Q24" ca="1">INDEX($F:$F,MATCH(1,($J24=$A:$A)*($K24=$B:$B)*(Q$1=$H:$H),0))</f>
        <v>0.03</v>
      </c>
      <c r="R24" s="4">
        <f t="array" aca="1" ref="R24" ca="1">INDEX($F:$F,MATCH(1,($J24=$A:$A)*($K24=$B:$B)*(R$1=$H:$H),0))</f>
        <v>0.35299999999999998</v>
      </c>
      <c r="S24" s="4">
        <f t="array" aca="1" ref="S24" ca="1">INDEX($F:$F,MATCH(1,($J24=$A:$A)*($K24=$B:$B)*(S$1=$H:$H),0))</f>
        <v>5.7000000000000002E-2</v>
      </c>
      <c r="T24">
        <f t="shared" ca="1" si="1"/>
        <v>1.6240000000000001</v>
      </c>
      <c r="U24" s="4" cm="1">
        <f t="array" aca="1" ref="U24" ca="1">INDEX($F:$F,MATCH(1,($J24=$A:$A)*($K24=$B:$B)*(U$1=$H:$H),0))</f>
        <v>0</v>
      </c>
    </row>
    <row r="25" spans="1:21" x14ac:dyDescent="0.25">
      <c r="A25">
        <v>2014</v>
      </c>
      <c r="B25">
        <v>12</v>
      </c>
      <c r="C25" t="s">
        <v>11</v>
      </c>
      <c r="D25">
        <v>7.65</v>
      </c>
      <c r="E25">
        <v>3</v>
      </c>
      <c r="F25">
        <v>0.223</v>
      </c>
      <c r="H25" s="4" t="str">
        <f t="array" aca="1" ref="H25" ca="1">SUBSTITUTE(SUBSTITUTE(_xlfn.TEXTJOIN("",TRUE,IF(ISERR(MID(C25,ROW(INDIRECT("1:100")),1)+0),MID(C25,ROW(INDIRECT("1:100")),1),"")),")",""),"(","")</f>
        <v>Medical care</v>
      </c>
      <c r="J25">
        <f t="shared" si="4"/>
        <v>2016</v>
      </c>
      <c r="K25">
        <f t="shared" si="3"/>
        <v>11</v>
      </c>
      <c r="L25" s="3">
        <f t="shared" si="0"/>
        <v>42675</v>
      </c>
      <c r="M25" s="4">
        <f t="array" aca="1" ref="M25" ca="1">INDEX($F:$F,MATCH(1,($J25=$A:$A)*($K25=$B:$B)*(M$1=$H:$H),0))</f>
        <v>-3.7999999999999999E-2</v>
      </c>
      <c r="N25" s="4">
        <f t="array" aca="1" ref="N25" ca="1">INDEX($F:$F,MATCH(1,($J25=$A:$A)*($K25=$B:$B)*(N$1=$H:$H),0))</f>
        <v>9.0999999999999998E-2</v>
      </c>
      <c r="O25" s="4">
        <f t="array" aca="1" ref="O25" ca="1">INDEX($F:$F,MATCH(1,($J25=$A:$A)*($K25=$B:$B)*(O$1=$H:$H),0))</f>
        <v>1.2210000000000001</v>
      </c>
      <c r="P25" s="4">
        <f t="array" aca="1" ref="P25" ca="1">INDEX($F:$F,MATCH(1,($J25=$A:$A)*($K25=$B:$B)*(P$1=$H:$H),0))</f>
        <v>-2.3E-2</v>
      </c>
      <c r="Q25" s="4">
        <f t="array" aca="1" ref="Q25" ca="1">INDEX($F:$F,MATCH(1,($J25=$A:$A)*($K25=$B:$B)*(Q$1=$H:$H),0))</f>
        <v>4.9000000000000002E-2</v>
      </c>
      <c r="R25" s="4">
        <f t="array" aca="1" ref="R25" ca="1">INDEX($F:$F,MATCH(1,($J25=$A:$A)*($K25=$B:$B)*(R$1=$H:$H),0))</f>
        <v>0.33300000000000002</v>
      </c>
      <c r="S25" s="4">
        <f t="array" aca="1" ref="S25" ca="1">INDEX($F:$F,MATCH(1,($J25=$A:$A)*($K25=$B:$B)*(S$1=$H:$H),0))</f>
        <v>5.8000000000000003E-2</v>
      </c>
      <c r="T25">
        <f t="shared" ca="1" si="1"/>
        <v>1.6910000000000001</v>
      </c>
      <c r="U25" s="4" cm="1">
        <f t="array" aca="1" ref="U25" ca="1">INDEX($F:$F,MATCH(1,($J25=$A:$A)*($K25=$B:$B)*(U$1=$H:$H),0))</f>
        <v>0</v>
      </c>
    </row>
    <row r="26" spans="1:21" x14ac:dyDescent="0.25">
      <c r="A26">
        <v>2014</v>
      </c>
      <c r="B26">
        <v>12</v>
      </c>
      <c r="C26" t="s">
        <v>7</v>
      </c>
      <c r="D26">
        <v>15.743</v>
      </c>
      <c r="E26">
        <v>-6.2</v>
      </c>
      <c r="F26">
        <v>-1.0129999999999999</v>
      </c>
      <c r="H26" s="4" t="str">
        <f t="array" aca="1" ref="H26" ca="1">SUBSTITUTE(SUBSTITUTE(_xlfn.TEXTJOIN("",TRUE,IF(ISERR(MID(C26,ROW(INDIRECT("1:100")),1)+0),MID(C26,ROW(INDIRECT("1:100")),1),"")),")",""),"(","")</f>
        <v>Transportation</v>
      </c>
      <c r="J26">
        <f t="shared" si="4"/>
        <v>2016</v>
      </c>
      <c r="K26">
        <f t="shared" si="3"/>
        <v>12</v>
      </c>
      <c r="L26" s="3">
        <f t="shared" si="0"/>
        <v>42705</v>
      </c>
      <c r="M26" s="4">
        <f t="array" aca="1" ref="M26" ca="1">INDEX($F:$F,MATCH(1,($J26=$A:$A)*($K26=$B:$B)*(M$1=$H:$H),0))</f>
        <v>-0.02</v>
      </c>
      <c r="N26" s="4">
        <f t="array" aca="1" ref="N26" ca="1">INDEX($F:$F,MATCH(1,($J26=$A:$A)*($K26=$B:$B)*(N$1=$H:$H),0))</f>
        <v>0.376</v>
      </c>
      <c r="O26" s="4">
        <f t="array" aca="1" ref="O26" ca="1">INDEX($F:$F,MATCH(1,($J26=$A:$A)*($K26=$B:$B)*(O$1=$H:$H),0))</f>
        <v>1.284</v>
      </c>
      <c r="P26" s="4">
        <f t="array" aca="1" ref="P26" ca="1">INDEX($F:$F,MATCH(1,($J26=$A:$A)*($K26=$B:$B)*(P$1=$H:$H),0))</f>
        <v>-1.6E-2</v>
      </c>
      <c r="Q26" s="4">
        <f t="array" aca="1" ref="Q26" ca="1">INDEX($F:$F,MATCH(1,($J26=$A:$A)*($K26=$B:$B)*(Q$1=$H:$H),0))</f>
        <v>4.5999999999999999E-2</v>
      </c>
      <c r="R26" s="4">
        <f t="array" aca="1" ref="R26" ca="1">INDEX($F:$F,MATCH(1,($J26=$A:$A)*($K26=$B:$B)*(R$1=$H:$H),0))</f>
        <v>0.34100000000000003</v>
      </c>
      <c r="S26" s="4">
        <f t="array" aca="1" ref="S26" ca="1">INDEX($F:$F,MATCH(1,($J26=$A:$A)*($K26=$B:$B)*(S$1=$H:$H),0))</f>
        <v>6.7000000000000004E-2</v>
      </c>
      <c r="T26">
        <f t="shared" ca="1" si="1"/>
        <v>2.0780000000000003</v>
      </c>
      <c r="U26" s="4" cm="1">
        <f t="array" aca="1" ref="U26" ca="1">INDEX($F:$F,MATCH(1,($J26=$A:$A)*($K26=$B:$B)*(U$1=$H:$H),0))</f>
        <v>0</v>
      </c>
    </row>
    <row r="27" spans="1:21" x14ac:dyDescent="0.25">
      <c r="A27">
        <v>2014</v>
      </c>
      <c r="B27">
        <v>12</v>
      </c>
      <c r="C27" t="s">
        <v>35</v>
      </c>
      <c r="D27">
        <v>10.034000000000001</v>
      </c>
      <c r="E27">
        <v>1.4</v>
      </c>
      <c r="F27">
        <v>0.13700000000000001</v>
      </c>
      <c r="H27" s="4" t="str">
        <f t="array" aca="1" ref="H27" ca="1">SUBSTITUTE(SUBSTITUTE(_xlfn.TEXTJOIN("",TRUE,IF(ISERR(MID(C27,ROW(INDIRECT("1:100")),1)+0),MID(C27,ROW(INDIRECT("1:100")),1),"")),")",""),"(","")</f>
        <v>Utilities and public transportation</v>
      </c>
      <c r="J27">
        <f>+J15+1</f>
        <v>2017</v>
      </c>
      <c r="K27">
        <f t="shared" si="3"/>
        <v>1</v>
      </c>
      <c r="L27" s="3">
        <f t="shared" si="0"/>
        <v>42736</v>
      </c>
      <c r="M27" s="4">
        <f t="array" aca="1" ref="M27" ca="1">INDEX($F:$F,MATCH(1,($J27=$A:$A)*($K27=$B:$B)*(M$1=$H:$H),0))</f>
        <v>-0.01</v>
      </c>
      <c r="N27" s="4">
        <f t="array" aca="1" ref="N27" ca="1">INDEX($F:$F,MATCH(1,($J27=$A:$A)*($K27=$B:$B)*(N$1=$H:$H),0))</f>
        <v>0.72599999999999998</v>
      </c>
      <c r="O27" s="4">
        <f t="array" aca="1" ref="O27" ca="1">INDEX($F:$F,MATCH(1,($J27=$A:$A)*($K27=$B:$B)*(O$1=$H:$H),0))</f>
        <v>1.3240000000000001</v>
      </c>
      <c r="P27" s="4">
        <f t="array" aca="1" ref="P27" ca="1">INDEX($F:$F,MATCH(1,($J27=$A:$A)*($K27=$B:$B)*(P$1=$H:$H),0))</f>
        <v>-2.3E-2</v>
      </c>
      <c r="Q27" s="4">
        <f t="array" aca="1" ref="Q27" ca="1">INDEX($F:$F,MATCH(1,($J27=$A:$A)*($K27=$B:$B)*(Q$1=$H:$H),0))</f>
        <v>6.3E-2</v>
      </c>
      <c r="R27" s="4">
        <f t="array" aca="1" ref="R27" ca="1">INDEX($F:$F,MATCH(1,($J27=$A:$A)*($K27=$B:$B)*(R$1=$H:$H),0))</f>
        <v>0.32500000000000001</v>
      </c>
      <c r="S27" s="4">
        <f t="array" aca="1" ref="S27" ca="1">INDEX($F:$F,MATCH(1,($J27=$A:$A)*($K27=$B:$B)*(S$1=$H:$H),0))</f>
        <v>6.5000000000000002E-2</v>
      </c>
      <c r="T27">
        <f t="shared" ca="1" si="1"/>
        <v>2.4700000000000002</v>
      </c>
      <c r="U27" s="4" cm="1">
        <f t="array" aca="1" ref="U27" ca="1">INDEX($F:$F,MATCH(1,($J27=$A:$A)*($K27=$B:$B)*(U$1=$H:$H),0))</f>
        <v>0</v>
      </c>
    </row>
    <row r="28" spans="1:21" x14ac:dyDescent="0.25">
      <c r="A28">
        <v>2014</v>
      </c>
      <c r="B28">
        <v>12</v>
      </c>
      <c r="C28" t="s">
        <v>36</v>
      </c>
      <c r="D28">
        <v>4.181</v>
      </c>
      <c r="E28">
        <v>-0.9</v>
      </c>
      <c r="F28">
        <v>-0.04</v>
      </c>
      <c r="H28" s="4" t="str">
        <f t="array" aca="1" ref="H28" ca="1">SUBSTITUTE(SUBSTITUTE(_xlfn.TEXTJOIN("",TRUE,IF(ISERR(MID(C28,ROW(INDIRECT("1:100")),1)+0),MID(C28,ROW(INDIRECT("1:100")),1),"")),")",""),"(","")</f>
        <v>Household furnishings and operations</v>
      </c>
      <c r="J28">
        <f t="shared" ref="J28:J38" si="5">+J27</f>
        <v>2017</v>
      </c>
      <c r="K28">
        <f t="shared" si="3"/>
        <v>2</v>
      </c>
      <c r="L28" s="3">
        <f t="shared" si="0"/>
        <v>42767</v>
      </c>
      <c r="M28" s="4">
        <f t="array" aca="1" ref="M28" ca="1">INDEX($F:$F,MATCH(1,($J28=$A:$A)*($K28=$B:$B)*(M$1=$H:$H),0))</f>
        <v>8.0000000000000002E-3</v>
      </c>
      <c r="N28" s="4">
        <f t="array" aca="1" ref="N28" ca="1">INDEX($F:$F,MATCH(1,($J28=$A:$A)*($K28=$B:$B)*(N$1=$H:$H),0))</f>
        <v>0.93799999999999994</v>
      </c>
      <c r="O28" s="4">
        <f t="array" aca="1" ref="O28" ca="1">INDEX($F:$F,MATCH(1,($J28=$A:$A)*($K28=$B:$B)*(O$1=$H:$H),0))</f>
        <v>1.351</v>
      </c>
      <c r="P28" s="4">
        <f t="array" aca="1" ref="P28" ca="1">INDEX($F:$F,MATCH(1,($J28=$A:$A)*($K28=$B:$B)*(P$1=$H:$H),0))</f>
        <v>-2.3E-2</v>
      </c>
      <c r="Q28" s="4">
        <f t="array" aca="1" ref="Q28" ca="1">INDEX($F:$F,MATCH(1,($J28=$A:$A)*($K28=$B:$B)*(Q$1=$H:$H),0))</f>
        <v>8.5999999999999993E-2</v>
      </c>
      <c r="R28" s="4">
        <f t="array" aca="1" ref="R28" ca="1">INDEX($F:$F,MATCH(1,($J28=$A:$A)*($K28=$B:$B)*(R$1=$H:$H),0))</f>
        <v>0.30099999999999999</v>
      </c>
      <c r="S28" s="4">
        <f t="array" aca="1" ref="S28" ca="1">INDEX($F:$F,MATCH(1,($J28=$A:$A)*($K28=$B:$B)*(S$1=$H:$H),0))</f>
        <v>6.3E-2</v>
      </c>
      <c r="T28">
        <f t="shared" ca="1" si="1"/>
        <v>2.7239999999999998</v>
      </c>
      <c r="U28" s="4" cm="1">
        <f t="array" aca="1" ref="U28" ca="1">INDEX($F:$F,MATCH(1,($J28=$A:$A)*($K28=$B:$B)*(U$1=$H:$H),0))</f>
        <v>0</v>
      </c>
    </row>
    <row r="29" spans="1:21" x14ac:dyDescent="0.25">
      <c r="A29">
        <v>2014</v>
      </c>
      <c r="B29">
        <v>12</v>
      </c>
      <c r="C29" t="s">
        <v>12</v>
      </c>
      <c r="D29">
        <v>3.3679999999999999</v>
      </c>
      <c r="E29">
        <v>1.6</v>
      </c>
      <c r="F29">
        <v>5.3999999999999999E-2</v>
      </c>
      <c r="H29" s="4" t="str">
        <f t="array" aca="1" ref="H29" ca="1">SUBSTITUTE(SUBSTITUTE(_xlfn.TEXTJOIN("",TRUE,IF(ISERR(MID(C29,ROW(INDIRECT("1:100")),1)+0),MID(C29,ROW(INDIRECT("1:100")),1),"")),")",""),"(","")</f>
        <v>Other goods and services</v>
      </c>
      <c r="J29">
        <f t="shared" si="5"/>
        <v>2017</v>
      </c>
      <c r="K29">
        <f t="shared" si="3"/>
        <v>3</v>
      </c>
      <c r="L29" s="3">
        <f t="shared" si="0"/>
        <v>42795</v>
      </c>
      <c r="M29" s="4">
        <f t="array" aca="1" ref="M29" ca="1">INDEX($F:$F,MATCH(1,($J29=$A:$A)*($K29=$B:$B)*(M$1=$H:$H),0))</f>
        <v>7.8E-2</v>
      </c>
      <c r="N29" s="4">
        <f t="array" aca="1" ref="N29" ca="1">INDEX($F:$F,MATCH(1,($J29=$A:$A)*($K29=$B:$B)*(N$1=$H:$H),0))</f>
        <v>0.69899999999999995</v>
      </c>
      <c r="O29" s="4">
        <f t="array" aca="1" ref="O29" ca="1">INDEX($F:$F,MATCH(1,($J29=$A:$A)*($K29=$B:$B)*(O$1=$H:$H),0))</f>
        <v>1.3120000000000001</v>
      </c>
      <c r="P29" s="4">
        <f t="array" aca="1" ref="P29" ca="1">INDEX($F:$F,MATCH(1,($J29=$A:$A)*($K29=$B:$B)*(P$1=$H:$H),0))</f>
        <v>-0.155</v>
      </c>
      <c r="Q29" s="4">
        <f t="array" aca="1" ref="Q29" ca="1">INDEX($F:$F,MATCH(1,($J29=$A:$A)*($K29=$B:$B)*(Q$1=$H:$H),0))</f>
        <v>7.3999999999999996E-2</v>
      </c>
      <c r="R29" s="4">
        <f t="array" aca="1" ref="R29" ca="1">INDEX($F:$F,MATCH(1,($J29=$A:$A)*($K29=$B:$B)*(R$1=$H:$H),0))</f>
        <v>0.29399999999999998</v>
      </c>
      <c r="S29" s="4">
        <f t="array" aca="1" ref="S29" ca="1">INDEX($F:$F,MATCH(1,($J29=$A:$A)*($K29=$B:$B)*(S$1=$H:$H),0))</f>
        <v>5.8000000000000003E-2</v>
      </c>
      <c r="T29">
        <f t="shared" ca="1" si="1"/>
        <v>2.36</v>
      </c>
      <c r="U29" s="4" cm="1">
        <f t="array" aca="1" ref="U29" ca="1">INDEX($F:$F,MATCH(1,($J29=$A:$A)*($K29=$B:$B)*(U$1=$H:$H),0))</f>
        <v>0</v>
      </c>
    </row>
    <row r="30" spans="1:21" x14ac:dyDescent="0.25">
      <c r="A30">
        <v>2015</v>
      </c>
      <c r="B30">
        <v>1</v>
      </c>
      <c r="C30" t="s">
        <v>14</v>
      </c>
      <c r="D30">
        <v>100</v>
      </c>
      <c r="E30">
        <v>-0.1</v>
      </c>
      <c r="H30" s="4" t="str">
        <f t="array" aca="1" ref="H30" ca="1">SUBSTITUTE(SUBSTITUTE(_xlfn.TEXTJOIN("",TRUE,IF(ISERR(MID(C30,ROW(INDIRECT("1:100")),1)+0),MID(C30,ROW(INDIRECT("1:100")),1),"")),")",""),"(","")</f>
        <v>All items</v>
      </c>
      <c r="J30">
        <f t="shared" si="5"/>
        <v>2017</v>
      </c>
      <c r="K30">
        <f t="shared" si="3"/>
        <v>4</v>
      </c>
      <c r="L30" s="3">
        <f t="shared" si="0"/>
        <v>42826</v>
      </c>
      <c r="M30" s="4">
        <f t="array" aca="1" ref="M30" ca="1">INDEX($F:$F,MATCH(1,($J30=$A:$A)*($K30=$B:$B)*(M$1=$H:$H),0))</f>
        <v>8.5999999999999993E-2</v>
      </c>
      <c r="N30" s="4">
        <f t="array" aca="1" ref="N30" ca="1">INDEX($F:$F,MATCH(1,($J30=$A:$A)*($K30=$B:$B)*(N$1=$H:$H),0))</f>
        <v>0.54300000000000004</v>
      </c>
      <c r="O30" s="4">
        <f t="array" aca="1" ref="O30" ca="1">INDEX($F:$F,MATCH(1,($J30=$A:$A)*($K30=$B:$B)*(O$1=$H:$H),0))</f>
        <v>1.3460000000000001</v>
      </c>
      <c r="P30" s="4">
        <f t="array" aca="1" ref="P30" ca="1">INDEX($F:$F,MATCH(1,($J30=$A:$A)*($K30=$B:$B)*(P$1=$H:$H),0))</f>
        <v>-0.17899999999999999</v>
      </c>
      <c r="Q30" s="4">
        <f t="array" aca="1" ref="Q30" ca="1">INDEX($F:$F,MATCH(1,($J30=$A:$A)*($K30=$B:$B)*(Q$1=$H:$H),0))</f>
        <v>5.5E-2</v>
      </c>
      <c r="R30" s="4">
        <f t="array" aca="1" ref="R30" ca="1">INDEX($F:$F,MATCH(1,($J30=$A:$A)*($K30=$B:$B)*(R$1=$H:$H),0))</f>
        <v>0.249</v>
      </c>
      <c r="S30" s="4">
        <f t="array" aca="1" ref="S30" ca="1">INDEX($F:$F,MATCH(1,($J30=$A:$A)*($K30=$B:$B)*(S$1=$H:$H),0))</f>
        <v>8.4000000000000005E-2</v>
      </c>
      <c r="T30">
        <f t="shared" ca="1" si="1"/>
        <v>2.1840000000000002</v>
      </c>
      <c r="U30" s="4" cm="1">
        <f t="array" aca="1" ref="U30" ca="1">INDEX($F:$F,MATCH(1,($J30=$A:$A)*($K30=$B:$B)*(U$1=$H:$H),0))</f>
        <v>0</v>
      </c>
    </row>
    <row r="31" spans="1:21" x14ac:dyDescent="0.25">
      <c r="A31">
        <v>2015</v>
      </c>
      <c r="B31">
        <v>1</v>
      </c>
      <c r="C31" t="s">
        <v>15</v>
      </c>
      <c r="D31">
        <v>14.257</v>
      </c>
      <c r="E31">
        <v>3.2</v>
      </c>
      <c r="F31">
        <v>0.44600000000000001</v>
      </c>
      <c r="H31" s="4" t="str">
        <f t="array" aca="1" ref="H31" ca="1">SUBSTITUTE(SUBSTITUTE(_xlfn.TEXTJOIN("",TRUE,IF(ISERR(MID(C31,ROW(INDIRECT("1:100")),1)+0),MID(C31,ROW(INDIRECT("1:100")),1),"")),")",""),"(","")</f>
        <v>Food</v>
      </c>
      <c r="J31">
        <f t="shared" si="5"/>
        <v>2017</v>
      </c>
      <c r="K31">
        <f t="shared" si="3"/>
        <v>5</v>
      </c>
      <c r="L31" s="3">
        <f t="shared" si="0"/>
        <v>42856</v>
      </c>
      <c r="M31" s="4">
        <f t="array" aca="1" ref="M31" ca="1">INDEX($F:$F,MATCH(1,($J31=$A:$A)*($K31=$B:$B)*(M$1=$H:$H),0))</f>
        <v>0.129</v>
      </c>
      <c r="N31" s="4">
        <f t="array" aca="1" ref="N31" ca="1">INDEX($F:$F,MATCH(1,($J31=$A:$A)*($K31=$B:$B)*(N$1=$H:$H),0))</f>
        <v>0.28199999999999997</v>
      </c>
      <c r="O31" s="4">
        <f t="array" aca="1" ref="O31" ca="1">INDEX($F:$F,MATCH(1,($J31=$A:$A)*($K31=$B:$B)*(O$1=$H:$H),0))</f>
        <v>1.3129999999999999</v>
      </c>
      <c r="P31" s="4">
        <f t="array" aca="1" ref="P31" ca="1">INDEX($F:$F,MATCH(1,($J31=$A:$A)*($K31=$B:$B)*(P$1=$H:$H),0))</f>
        <v>-0.17199999999999999</v>
      </c>
      <c r="Q31" s="4">
        <f t="array" aca="1" ref="Q31" ca="1">INDEX($F:$F,MATCH(1,($J31=$A:$A)*($K31=$B:$B)*(Q$1=$H:$H),0))</f>
        <v>5.1999999999999998E-2</v>
      </c>
      <c r="R31" s="4">
        <f t="array" aca="1" ref="R31" ca="1">INDEX($F:$F,MATCH(1,($J31=$A:$A)*($K31=$B:$B)*(R$1=$H:$H),0))</f>
        <v>0.22500000000000001</v>
      </c>
      <c r="S31" s="4">
        <f t="array" aca="1" ref="S31" ca="1">INDEX($F:$F,MATCH(1,($J31=$A:$A)*($K31=$B:$B)*(S$1=$H:$H),0))</f>
        <v>7.4999999999999997E-2</v>
      </c>
      <c r="T31">
        <f t="shared" ca="1" si="1"/>
        <v>1.9040000000000001</v>
      </c>
      <c r="U31" s="4" cm="1">
        <f t="array" aca="1" ref="U31" ca="1">INDEX($F:$F,MATCH(1,($J31=$A:$A)*($K31=$B:$B)*(U$1=$H:$H),0))</f>
        <v>0</v>
      </c>
    </row>
    <row r="32" spans="1:21" x14ac:dyDescent="0.25">
      <c r="A32">
        <v>2015</v>
      </c>
      <c r="B32">
        <v>1</v>
      </c>
      <c r="C32" t="s">
        <v>16</v>
      </c>
      <c r="D32">
        <v>8.0299999999999994</v>
      </c>
      <c r="E32">
        <v>-19.600000000000001</v>
      </c>
      <c r="F32">
        <v>-1.8029999999999999</v>
      </c>
      <c r="H32" s="4" t="str">
        <f t="array" aca="1" ref="H32" ca="1">SUBSTITUTE(SUBSTITUTE(_xlfn.TEXTJOIN("",TRUE,IF(ISERR(MID(C32,ROW(INDIRECT("1:100")),1)+0),MID(C32,ROW(INDIRECT("1:100")),1),"")),")",""),"(","")</f>
        <v>Energy</v>
      </c>
      <c r="J32">
        <f t="shared" si="5"/>
        <v>2017</v>
      </c>
      <c r="K32">
        <f t="shared" si="3"/>
        <v>6</v>
      </c>
      <c r="L32" s="3">
        <f t="shared" si="0"/>
        <v>42887</v>
      </c>
      <c r="M32" s="4">
        <f t="array" aca="1" ref="M32" ca="1">INDEX($F:$F,MATCH(1,($J32=$A:$A)*($K32=$B:$B)*(M$1=$H:$H),0))</f>
        <v>0.13</v>
      </c>
      <c r="N32" s="4">
        <f t="array" aca="1" ref="N32" ca="1">INDEX($F:$F,MATCH(1,($J32=$A:$A)*($K32=$B:$B)*(N$1=$H:$H),0))</f>
        <v>7.8E-2</v>
      </c>
      <c r="O32" s="4">
        <f t="array" aca="1" ref="O32" ca="1">INDEX($F:$F,MATCH(1,($J32=$A:$A)*($K32=$B:$B)*(O$1=$H:$H),0))</f>
        <v>1.272</v>
      </c>
      <c r="P32" s="4">
        <f t="array" aca="1" ref="P32" ca="1">INDEX($F:$F,MATCH(1,($J32=$A:$A)*($K32=$B:$B)*(P$1=$H:$H),0))</f>
        <v>-0.17100000000000001</v>
      </c>
      <c r="Q32" s="4">
        <f t="array" aca="1" ref="Q32" ca="1">INDEX($F:$F,MATCH(1,($J32=$A:$A)*($K32=$B:$B)*(Q$1=$H:$H),0))</f>
        <v>4.5999999999999999E-2</v>
      </c>
      <c r="R32" s="4">
        <f t="array" aca="1" ref="R32" ca="1">INDEX($F:$F,MATCH(1,($J32=$A:$A)*($K32=$B:$B)*(R$1=$H:$H),0))</f>
        <v>0.224</v>
      </c>
      <c r="S32" s="4">
        <f t="array" aca="1" ref="S32" ca="1">INDEX($F:$F,MATCH(1,($J32=$A:$A)*($K32=$B:$B)*(S$1=$H:$H),0))</f>
        <v>7.5999999999999998E-2</v>
      </c>
      <c r="T32">
        <f t="shared" ca="1" si="1"/>
        <v>1.655</v>
      </c>
      <c r="U32" s="4" cm="1">
        <f t="array" aca="1" ref="U32" ca="1">INDEX($F:$F,MATCH(1,($J32=$A:$A)*($K32=$B:$B)*(U$1=$H:$H),0))</f>
        <v>0</v>
      </c>
    </row>
    <row r="33" spans="1:21" x14ac:dyDescent="0.25">
      <c r="A33">
        <v>2015</v>
      </c>
      <c r="B33">
        <v>1</v>
      </c>
      <c r="C33" t="s">
        <v>17</v>
      </c>
      <c r="D33">
        <v>77.712999999999994</v>
      </c>
      <c r="E33">
        <v>1.6</v>
      </c>
      <c r="F33">
        <v>1.268</v>
      </c>
      <c r="H33" s="4" t="str">
        <f t="array" aca="1" ref="H33" ca="1">SUBSTITUTE(SUBSTITUTE(_xlfn.TEXTJOIN("",TRUE,IF(ISERR(MID(C33,ROW(INDIRECT("1:100")),1)+0),MID(C33,ROW(INDIRECT("1:100")),1),"")),")",""),"(","")</f>
        <v>All items less food and energy</v>
      </c>
      <c r="J33">
        <f t="shared" si="5"/>
        <v>2017</v>
      </c>
      <c r="K33">
        <f t="shared" si="3"/>
        <v>7</v>
      </c>
      <c r="L33" s="3">
        <f t="shared" si="0"/>
        <v>42917</v>
      </c>
      <c r="M33" s="4">
        <f t="array" aca="1" ref="M33" ca="1">INDEX($F:$F,MATCH(1,($J33=$A:$A)*($K33=$B:$B)*(M$1=$H:$H),0))</f>
        <v>0.158</v>
      </c>
      <c r="N33" s="4">
        <f t="array" aca="1" ref="N33" ca="1">INDEX($F:$F,MATCH(1,($J33=$A:$A)*($K33=$B:$B)*(N$1=$H:$H),0))</f>
        <v>0.182</v>
      </c>
      <c r="O33" s="4">
        <f t="array" aca="1" ref="O33" ca="1">INDEX($F:$F,MATCH(1,($J33=$A:$A)*($K33=$B:$B)*(O$1=$H:$H),0))</f>
        <v>1.202</v>
      </c>
      <c r="P33" s="4">
        <f t="array" aca="1" ref="P33" ca="1">INDEX($F:$F,MATCH(1,($J33=$A:$A)*($K33=$B:$B)*(P$1=$H:$H),0))</f>
        <v>-0.17100000000000001</v>
      </c>
      <c r="Q33" s="4">
        <f t="array" aca="1" ref="Q33" ca="1">INDEX($F:$F,MATCH(1,($J33=$A:$A)*($K33=$B:$B)*(Q$1=$H:$H),0))</f>
        <v>7.2999999999999995E-2</v>
      </c>
      <c r="R33" s="4">
        <f t="array" aca="1" ref="R33" ca="1">INDEX($F:$F,MATCH(1,($J33=$A:$A)*($K33=$B:$B)*(R$1=$H:$H),0))</f>
        <v>0.218</v>
      </c>
      <c r="S33" s="4">
        <f t="array" aca="1" ref="S33" ca="1">INDEX($F:$F,MATCH(1,($J33=$A:$A)*($K33=$B:$B)*(S$1=$H:$H),0))</f>
        <v>7.9000000000000001E-2</v>
      </c>
      <c r="T33">
        <f t="shared" ca="1" si="1"/>
        <v>1.7409999999999997</v>
      </c>
      <c r="U33" s="4" cm="1">
        <f t="array" aca="1" ref="U33" ca="1">INDEX($F:$F,MATCH(1,($J33=$A:$A)*($K33=$B:$B)*(U$1=$H:$H),0))</f>
        <v>0</v>
      </c>
    </row>
    <row r="34" spans="1:21" x14ac:dyDescent="0.25">
      <c r="A34">
        <v>2015</v>
      </c>
      <c r="B34">
        <v>1</v>
      </c>
      <c r="C34" t="s">
        <v>18</v>
      </c>
      <c r="H34" s="4" t="str">
        <f t="array" aca="1" ref="H34" ca="1">SUBSTITUTE(SUBSTITUTE(_xlfn.TEXTJOIN("",TRUE,IF(ISERR(MID(C34,ROW(INDIRECT("1:100")),1)+0),MID(C34,ROW(INDIRECT("1:100")),1),"")),")",""),"(","")</f>
        <v>Special aggregate indexes</v>
      </c>
      <c r="J34">
        <f t="shared" si="5"/>
        <v>2017</v>
      </c>
      <c r="K34">
        <f t="shared" si="3"/>
        <v>8</v>
      </c>
      <c r="L34" s="3">
        <f t="shared" ref="L34:L65" si="6">DATE(J34,K34,1)</f>
        <v>42948</v>
      </c>
      <c r="M34" s="4">
        <f t="array" aca="1" ref="M34" ca="1">INDEX($F:$F,MATCH(1,($J34=$A:$A)*($K34=$B:$B)*(M$1=$H:$H),0))</f>
        <v>0.16600000000000001</v>
      </c>
      <c r="N34" s="4">
        <f t="array" aca="1" ref="N34" ca="1">INDEX($F:$F,MATCH(1,($J34=$A:$A)*($K34=$B:$B)*(N$1=$H:$H),0))</f>
        <v>0.42699999999999999</v>
      </c>
      <c r="O34" s="4">
        <f t="array" aca="1" ref="O34" ca="1">INDEX($F:$F,MATCH(1,($J34=$A:$A)*($K34=$B:$B)*(O$1=$H:$H),0))</f>
        <v>1.2370000000000001</v>
      </c>
      <c r="P34" s="4">
        <f t="array" aca="1" ref="P34" ca="1">INDEX($F:$F,MATCH(1,($J34=$A:$A)*($K34=$B:$B)*(P$1=$H:$H),0))</f>
        <v>-0.182</v>
      </c>
      <c r="Q34" s="4">
        <f t="array" aca="1" ref="Q34" ca="1">INDEX($F:$F,MATCH(1,($J34=$A:$A)*($K34=$B:$B)*(Q$1=$H:$H),0))</f>
        <v>8.5000000000000006E-2</v>
      </c>
      <c r="R34" s="4">
        <f t="array" aca="1" ref="R34" ca="1">INDEX($F:$F,MATCH(1,($J34=$A:$A)*($K34=$B:$B)*(R$1=$H:$H),0))</f>
        <v>0.155</v>
      </c>
      <c r="S34" s="4">
        <f t="array" aca="1" ref="S34" ca="1">INDEX($F:$F,MATCH(1,($J34=$A:$A)*($K34=$B:$B)*(S$1=$H:$H),0))</f>
        <v>6.9000000000000006E-2</v>
      </c>
      <c r="T34">
        <f t="shared" ref="T34:T65" ca="1" si="7">SUM(M34:S34)</f>
        <v>1.9570000000000001</v>
      </c>
      <c r="U34" s="4" cm="1">
        <f t="array" aca="1" ref="U34" ca="1">INDEX($F:$F,MATCH(1,($J34=$A:$A)*($K34=$B:$B)*(U$1=$H:$H),0))</f>
        <v>0</v>
      </c>
    </row>
    <row r="35" spans="1:21" x14ac:dyDescent="0.25">
      <c r="A35">
        <v>2015</v>
      </c>
      <c r="B35">
        <v>1</v>
      </c>
      <c r="C35" t="s">
        <v>19</v>
      </c>
      <c r="D35">
        <v>85.742999999999995</v>
      </c>
      <c r="E35">
        <v>-0.6</v>
      </c>
      <c r="F35">
        <v>-0.53500000000000003</v>
      </c>
      <c r="H35" s="4" t="str">
        <f t="array" aca="1" ref="H35" ca="1">SUBSTITUTE(SUBSTITUTE(_xlfn.TEXTJOIN("",TRUE,IF(ISERR(MID(C35,ROW(INDIRECT("1:100")),1)+0),MID(C35,ROW(INDIRECT("1:100")),1),"")),")",""),"(","")</f>
        <v>All items less food</v>
      </c>
      <c r="J35">
        <f t="shared" si="5"/>
        <v>2017</v>
      </c>
      <c r="K35">
        <f t="shared" si="3"/>
        <v>9</v>
      </c>
      <c r="L35" s="3">
        <f t="shared" si="6"/>
        <v>42979</v>
      </c>
      <c r="M35" s="4">
        <f t="array" aca="1" ref="M35" ca="1">INDEX($F:$F,MATCH(1,($J35=$A:$A)*($K35=$B:$B)*(M$1=$H:$H),0))</f>
        <v>0.183</v>
      </c>
      <c r="N35" s="4">
        <f t="array" aca="1" ref="N35" ca="1">INDEX($F:$F,MATCH(1,($J35=$A:$A)*($K35=$B:$B)*(N$1=$H:$H),0))</f>
        <v>0.73199999999999998</v>
      </c>
      <c r="O35" s="4">
        <f t="array" aca="1" ref="O35" ca="1">INDEX($F:$F,MATCH(1,($J35=$A:$A)*($K35=$B:$B)*(O$1=$H:$H),0))</f>
        <v>1.1850000000000001</v>
      </c>
      <c r="P35" s="4">
        <f t="array" aca="1" ref="P35" ca="1">INDEX($F:$F,MATCH(1,($J35=$A:$A)*($K35=$B:$B)*(P$1=$H:$H),0))</f>
        <v>-0.15</v>
      </c>
      <c r="Q35" s="4">
        <f t="array" aca="1" ref="Q35" ca="1">INDEX($F:$F,MATCH(1,($J35=$A:$A)*($K35=$B:$B)*(Q$1=$H:$H),0))</f>
        <v>9.4E-2</v>
      </c>
      <c r="R35" s="4">
        <f t="array" aca="1" ref="R35" ca="1">INDEX($F:$F,MATCH(1,($J35=$A:$A)*($K35=$B:$B)*(R$1=$H:$H),0))</f>
        <v>0.13300000000000001</v>
      </c>
      <c r="S35" s="4">
        <f t="array" aca="1" ref="S35" ca="1">INDEX($F:$F,MATCH(1,($J35=$A:$A)*($K35=$B:$B)*(S$1=$H:$H),0))</f>
        <v>6.4000000000000001E-2</v>
      </c>
      <c r="T35">
        <f t="shared" ca="1" si="7"/>
        <v>2.2410000000000001</v>
      </c>
      <c r="U35" s="4" cm="1">
        <f t="array" aca="1" ref="U35" ca="1">INDEX($F:$F,MATCH(1,($J35=$A:$A)*($K35=$B:$B)*(U$1=$H:$H),0))</f>
        <v>0</v>
      </c>
    </row>
    <row r="36" spans="1:21" x14ac:dyDescent="0.25">
      <c r="A36">
        <v>2015</v>
      </c>
      <c r="B36">
        <v>1</v>
      </c>
      <c r="C36" t="s">
        <v>20</v>
      </c>
      <c r="D36">
        <v>67.289000000000001</v>
      </c>
      <c r="E36">
        <v>-1.5</v>
      </c>
      <c r="F36">
        <v>-1.03</v>
      </c>
      <c r="H36" s="4" t="str">
        <f t="array" aca="1" ref="H36" ca="1">SUBSTITUTE(SUBSTITUTE(_xlfn.TEXTJOIN("",TRUE,IF(ISERR(MID(C36,ROW(INDIRECT("1:100")),1)+0),MID(C36,ROW(INDIRECT("1:100")),1),"")),")",""),"(","")</f>
        <v>All items less shelter</v>
      </c>
      <c r="J36">
        <f t="shared" si="5"/>
        <v>2017</v>
      </c>
      <c r="K36">
        <f t="shared" si="3"/>
        <v>10</v>
      </c>
      <c r="L36" s="3">
        <f t="shared" si="6"/>
        <v>43009</v>
      </c>
      <c r="M36" s="4">
        <f t="array" aca="1" ref="M36" ca="1">INDEX($F:$F,MATCH(1,($J36=$A:$A)*($K36=$B:$B)*(M$1=$H:$H),0))</f>
        <v>0.19400000000000001</v>
      </c>
      <c r="N36" s="4">
        <f t="array" aca="1" ref="N36" ca="1">INDEX($F:$F,MATCH(1,($J36=$A:$A)*($K36=$B:$B)*(N$1=$H:$H),0))</f>
        <v>0.48899999999999999</v>
      </c>
      <c r="O36" s="4">
        <f t="array" aca="1" ref="O36" ca="1">INDEX($F:$F,MATCH(1,($J36=$A:$A)*($K36=$B:$B)*(O$1=$H:$H),0))</f>
        <v>1.1839999999999999</v>
      </c>
      <c r="P36" s="4">
        <f t="array" aca="1" ref="P36" ca="1">INDEX($F:$F,MATCH(1,($J36=$A:$A)*($K36=$B:$B)*(P$1=$H:$H),0))</f>
        <v>-0.124</v>
      </c>
      <c r="Q36" s="4">
        <f t="array" aca="1" ref="Q36" ca="1">INDEX($F:$F,MATCH(1,($J36=$A:$A)*($K36=$B:$B)*(Q$1=$H:$H),0))</f>
        <v>9.5000000000000001E-2</v>
      </c>
      <c r="R36" s="4">
        <f t="array" aca="1" ref="R36" ca="1">INDEX($F:$F,MATCH(1,($J36=$A:$A)*($K36=$B:$B)*(R$1=$H:$H),0))</f>
        <v>0.14299999999999999</v>
      </c>
      <c r="S36" s="4">
        <f t="array" aca="1" ref="S36" ca="1">INDEX($F:$F,MATCH(1,($J36=$A:$A)*($K36=$B:$B)*(S$1=$H:$H),0))</f>
        <v>0.08</v>
      </c>
      <c r="T36">
        <f t="shared" ca="1" si="7"/>
        <v>2.0609999999999999</v>
      </c>
      <c r="U36" s="4" cm="1">
        <f t="array" aca="1" ref="U36" ca="1">INDEX($F:$F,MATCH(1,($J36=$A:$A)*($K36=$B:$B)*(U$1=$H:$H),0))</f>
        <v>0</v>
      </c>
    </row>
    <row r="37" spans="1:21" x14ac:dyDescent="0.25">
      <c r="A37">
        <v>2015</v>
      </c>
      <c r="B37">
        <v>1</v>
      </c>
      <c r="C37" t="s">
        <v>21</v>
      </c>
      <c r="D37">
        <v>53.031999999999996</v>
      </c>
      <c r="E37">
        <v>-2.7</v>
      </c>
      <c r="F37">
        <v>-1.476</v>
      </c>
      <c r="H37" s="4" t="str">
        <f t="array" aca="1" ref="H37" ca="1">SUBSTITUTE(SUBSTITUTE(_xlfn.TEXTJOIN("",TRUE,IF(ISERR(MID(C37,ROW(INDIRECT("1:100")),1)+0),MID(C37,ROW(INDIRECT("1:100")),1),"")),")",""),"(","")</f>
        <v>All items less food and shelter</v>
      </c>
      <c r="J37">
        <f t="shared" si="5"/>
        <v>2017</v>
      </c>
      <c r="K37">
        <f t="shared" si="3"/>
        <v>11</v>
      </c>
      <c r="L37" s="3">
        <f t="shared" si="6"/>
        <v>43040</v>
      </c>
      <c r="M37" s="4">
        <f t="array" aca="1" ref="M37" ca="1">INDEX($F:$F,MATCH(1,($J37=$A:$A)*($K37=$B:$B)*(M$1=$H:$H),0))</f>
        <v>0.20399999999999999</v>
      </c>
      <c r="N37" s="4">
        <f t="array" aca="1" ref="N37" ca="1">INDEX($F:$F,MATCH(1,($J37=$A:$A)*($K37=$B:$B)*(N$1=$H:$H),0))</f>
        <v>0.67200000000000004</v>
      </c>
      <c r="O37" s="4">
        <f t="array" aca="1" ref="O37" ca="1">INDEX($F:$F,MATCH(1,($J37=$A:$A)*($K37=$B:$B)*(O$1=$H:$H),0))</f>
        <v>1.1930000000000001</v>
      </c>
      <c r="P37" s="4">
        <f t="array" aca="1" ref="P37" ca="1">INDEX($F:$F,MATCH(1,($J37=$A:$A)*($K37=$B:$B)*(P$1=$H:$H),0))</f>
        <v>-0.11899999999999999</v>
      </c>
      <c r="Q37" s="4">
        <f t="array" aca="1" ref="Q37" ca="1">INDEX($F:$F,MATCH(1,($J37=$A:$A)*($K37=$B:$B)*(Q$1=$H:$H),0))</f>
        <v>8.1000000000000003E-2</v>
      </c>
      <c r="R37" s="4">
        <f t="array" aca="1" ref="R37" ca="1">INDEX($F:$F,MATCH(1,($J37=$A:$A)*($K37=$B:$B)*(R$1=$H:$H),0))</f>
        <v>0.14299999999999999</v>
      </c>
      <c r="S37" s="4">
        <f t="array" aca="1" ref="S37" ca="1">INDEX($F:$F,MATCH(1,($J37=$A:$A)*($K37=$B:$B)*(S$1=$H:$H),0))</f>
        <v>7.6999999999999999E-2</v>
      </c>
      <c r="T37">
        <f t="shared" ca="1" si="7"/>
        <v>2.2509999999999999</v>
      </c>
      <c r="U37" s="4" cm="1">
        <f t="array" aca="1" ref="U37" ca="1">INDEX($F:$F,MATCH(1,($J37=$A:$A)*($K37=$B:$B)*(U$1=$H:$H),0))</f>
        <v>0</v>
      </c>
    </row>
    <row r="38" spans="1:21" x14ac:dyDescent="0.25">
      <c r="A38">
        <v>2015</v>
      </c>
      <c r="B38">
        <v>1</v>
      </c>
      <c r="C38" t="s">
        <v>22</v>
      </c>
      <c r="D38">
        <v>45.002000000000002</v>
      </c>
      <c r="E38">
        <v>0.7</v>
      </c>
      <c r="F38">
        <v>0.32800000000000001</v>
      </c>
      <c r="H38" s="4" t="str">
        <f t="array" aca="1" ref="H38" ca="1">SUBSTITUTE(SUBSTITUTE(_xlfn.TEXTJOIN("",TRUE,IF(ISERR(MID(C38,ROW(INDIRECT("1:100")),1)+0),MID(C38,ROW(INDIRECT("1:100")),1),"")),")",""),"(","")</f>
        <v>All items less food, shelter, and energy</v>
      </c>
      <c r="J38">
        <f t="shared" si="5"/>
        <v>2017</v>
      </c>
      <c r="K38">
        <f t="shared" si="3"/>
        <v>12</v>
      </c>
      <c r="L38" s="3">
        <f t="shared" si="6"/>
        <v>43070</v>
      </c>
      <c r="M38" s="4">
        <f t="array" aca="1" ref="M38" ca="1">INDEX($F:$F,MATCH(1,($J38=$A:$A)*($K38=$B:$B)*(M$1=$H:$H),0))</f>
        <v>0.23100000000000001</v>
      </c>
      <c r="N38" s="4">
        <f t="array" aca="1" ref="N38" ca="1">INDEX($F:$F,MATCH(1,($J38=$A:$A)*($K38=$B:$B)*(N$1=$H:$H),0))</f>
        <v>0.52800000000000002</v>
      </c>
      <c r="O38" s="4">
        <f t="array" aca="1" ref="O38" ca="1">INDEX($F:$F,MATCH(1,($J38=$A:$A)*($K38=$B:$B)*(O$1=$H:$H),0))</f>
        <v>1.218</v>
      </c>
      <c r="P38" s="4">
        <f t="array" aca="1" ref="P38" ca="1">INDEX($F:$F,MATCH(1,($J38=$A:$A)*($K38=$B:$B)*(P$1=$H:$H),0))</f>
        <v>-0.121</v>
      </c>
      <c r="Q38" s="4">
        <f t="array" aca="1" ref="Q38" ca="1">INDEX($F:$F,MATCH(1,($J38=$A:$A)*($K38=$B:$B)*(Q$1=$H:$H),0))</f>
        <v>8.5999999999999993E-2</v>
      </c>
      <c r="R38" s="4">
        <f t="array" aca="1" ref="R38" ca="1">INDEX($F:$F,MATCH(1,($J38=$A:$A)*($K38=$B:$B)*(R$1=$H:$H),0))</f>
        <v>0.152</v>
      </c>
      <c r="S38" s="4">
        <f t="array" aca="1" ref="S38" ca="1">INDEX($F:$F,MATCH(1,($J38=$A:$A)*($K38=$B:$B)*(S$1=$H:$H),0))</f>
        <v>6.5000000000000002E-2</v>
      </c>
      <c r="T38">
        <f t="shared" ca="1" si="7"/>
        <v>2.1589999999999998</v>
      </c>
      <c r="U38" s="4" cm="1">
        <f t="array" aca="1" ref="U38" ca="1">INDEX($F:$F,MATCH(1,($J38=$A:$A)*($K38=$B:$B)*(U$1=$H:$H),0))</f>
        <v>0</v>
      </c>
    </row>
    <row r="39" spans="1:21" x14ac:dyDescent="0.25">
      <c r="A39">
        <v>2015</v>
      </c>
      <c r="B39">
        <v>1</v>
      </c>
      <c r="C39" t="s">
        <v>23</v>
      </c>
      <c r="D39">
        <v>43.411000000000001</v>
      </c>
      <c r="E39">
        <v>0.9</v>
      </c>
      <c r="F39">
        <v>0.39400000000000002</v>
      </c>
      <c r="H39" s="4" t="str">
        <f t="array" aca="1" ref="H39" ca="1">SUBSTITUTE(SUBSTITUTE(_xlfn.TEXTJOIN("",TRUE,IF(ISERR(MID(C39,ROW(INDIRECT("1:100")),1)+0),MID(C39,ROW(INDIRECT("1:100")),1),"")),")",""),"(","")</f>
        <v>All items less food, shelter, energy, and used cars and trucks</v>
      </c>
      <c r="J39">
        <f>+J27+1</f>
        <v>2018</v>
      </c>
      <c r="K39">
        <f t="shared" si="3"/>
        <v>1</v>
      </c>
      <c r="L39" s="3">
        <f t="shared" si="6"/>
        <v>43101</v>
      </c>
      <c r="M39" s="4">
        <f t="array" aca="1" ref="M39" ca="1">INDEX($F:$F,MATCH(1,($J39=$A:$A)*($K39=$B:$B)*(M$1=$H:$H),0))</f>
        <v>0.23699999999999999</v>
      </c>
      <c r="N39" s="4">
        <f t="array" aca="1" ref="N39" ca="1">INDEX($F:$F,MATCH(1,($J39=$A:$A)*($K39=$B:$B)*(N$1=$H:$H),0))</f>
        <v>0.48099999999999998</v>
      </c>
      <c r="O39" s="4">
        <f t="array" aca="1" ref="O39" ca="1">INDEX($F:$F,MATCH(1,($J39=$A:$A)*($K39=$B:$B)*(O$1=$H:$H),0))</f>
        <v>1.1830000000000001</v>
      </c>
      <c r="P39" s="4">
        <f t="array" aca="1" ref="P39" ca="1">INDEX($F:$F,MATCH(1,($J39=$A:$A)*($K39=$B:$B)*(P$1=$H:$H),0))</f>
        <v>-0.12</v>
      </c>
      <c r="Q39" s="4">
        <f t="array" aca="1" ref="Q39" ca="1">INDEX($F:$F,MATCH(1,($J39=$A:$A)*($K39=$B:$B)*(Q$1=$H:$H),0))</f>
        <v>6.4000000000000001E-2</v>
      </c>
      <c r="R39" s="4">
        <f t="array" aca="1" ref="R39" ca="1">INDEX($F:$F,MATCH(1,($J39=$A:$A)*($K39=$B:$B)*(R$1=$H:$H),0))</f>
        <v>0.17</v>
      </c>
      <c r="S39" s="4">
        <f t="array" aca="1" ref="S39" ca="1">INDEX($F:$F,MATCH(1,($J39=$A:$A)*($K39=$B:$B)*(S$1=$H:$H),0))</f>
        <v>7.4999999999999997E-2</v>
      </c>
      <c r="T39">
        <f t="shared" ca="1" si="7"/>
        <v>2.0900000000000003</v>
      </c>
      <c r="U39" s="4" cm="1">
        <f t="array" aca="1" ref="U39" ca="1">INDEX($F:$F,MATCH(1,($J39=$A:$A)*($K39=$B:$B)*(U$1=$H:$H),0))</f>
        <v>0</v>
      </c>
    </row>
    <row r="40" spans="1:21" x14ac:dyDescent="0.25">
      <c r="A40">
        <v>2015</v>
      </c>
      <c r="B40">
        <v>1</v>
      </c>
      <c r="C40" t="s">
        <v>24</v>
      </c>
      <c r="D40">
        <v>92.284000000000006</v>
      </c>
      <c r="E40">
        <v>-0.3</v>
      </c>
      <c r="F40">
        <v>-0.28899999999999998</v>
      </c>
      <c r="H40" s="4" t="str">
        <f t="array" aca="1" ref="H40" ca="1">SUBSTITUTE(SUBSTITUTE(_xlfn.TEXTJOIN("",TRUE,IF(ISERR(MID(C40,ROW(INDIRECT("1:100")),1)+0),MID(C40,ROW(INDIRECT("1:100")),1),"")),")",""),"(","")</f>
        <v>All items less medical care</v>
      </c>
      <c r="J40">
        <f t="shared" ref="J40:J50" si="8">+J39</f>
        <v>2018</v>
      </c>
      <c r="K40">
        <f t="shared" si="3"/>
        <v>2</v>
      </c>
      <c r="L40" s="3">
        <f t="shared" si="6"/>
        <v>43132</v>
      </c>
      <c r="M40" s="4">
        <f t="array" aca="1" ref="M40" ca="1">INDEX($F:$F,MATCH(1,($J40=$A:$A)*($K40=$B:$B)*(M$1=$H:$H),0))</f>
        <v>0.20399999999999999</v>
      </c>
      <c r="N40" s="4">
        <f t="array" aca="1" ref="N40" ca="1">INDEX($F:$F,MATCH(1,($J40=$A:$A)*($K40=$B:$B)*(N$1=$H:$H),0))</f>
        <v>0.65700000000000003</v>
      </c>
      <c r="O40" s="4">
        <f t="array" aca="1" ref="O40" ca="1">INDEX($F:$F,MATCH(1,($J40=$A:$A)*($K40=$B:$B)*(O$1=$H:$H),0))</f>
        <v>1.1930000000000001</v>
      </c>
      <c r="P40" s="4">
        <f t="array" aca="1" ref="P40" ca="1">INDEX($F:$F,MATCH(1,($J40=$A:$A)*($K40=$B:$B)*(P$1=$H:$H),0))</f>
        <v>-0.123</v>
      </c>
      <c r="Q40" s="4">
        <f t="array" aca="1" ref="Q40" ca="1">INDEX($F:$F,MATCH(1,($J40=$A:$A)*($K40=$B:$B)*(Q$1=$H:$H),0))</f>
        <v>3.5000000000000003E-2</v>
      </c>
      <c r="R40" s="4">
        <f t="array" aca="1" ref="R40" ca="1">INDEX($F:$F,MATCH(1,($J40=$A:$A)*($K40=$B:$B)*(R$1=$H:$H),0))</f>
        <v>0.152</v>
      </c>
      <c r="S40" s="4">
        <f t="array" aca="1" ref="S40" ca="1">INDEX($F:$F,MATCH(1,($J40=$A:$A)*($K40=$B:$B)*(S$1=$H:$H),0))</f>
        <v>7.5999999999999998E-2</v>
      </c>
      <c r="T40">
        <f t="shared" ca="1" si="7"/>
        <v>2.1940000000000004</v>
      </c>
      <c r="U40" s="4" cm="1">
        <f t="array" aca="1" ref="U40" ca="1">INDEX($F:$F,MATCH(1,($J40=$A:$A)*($K40=$B:$B)*(U$1=$H:$H),0))</f>
        <v>0</v>
      </c>
    </row>
    <row r="41" spans="1:21" x14ac:dyDescent="0.25">
      <c r="A41">
        <v>2015</v>
      </c>
      <c r="B41">
        <v>1</v>
      </c>
      <c r="C41" t="s">
        <v>25</v>
      </c>
      <c r="D41">
        <v>91.97</v>
      </c>
      <c r="E41">
        <v>1.9</v>
      </c>
      <c r="F41">
        <v>1.714</v>
      </c>
      <c r="H41" s="4" t="str">
        <f t="array" aca="1" ref="H41" ca="1">SUBSTITUTE(SUBSTITUTE(_xlfn.TEXTJOIN("",TRUE,IF(ISERR(MID(C41,ROW(INDIRECT("1:100")),1)+0),MID(C41,ROW(INDIRECT("1:100")),1),"")),")",""),"(","")</f>
        <v>All items less energy</v>
      </c>
      <c r="J41">
        <f t="shared" si="8"/>
        <v>2018</v>
      </c>
      <c r="K41">
        <f t="shared" si="3"/>
        <v>3</v>
      </c>
      <c r="L41" s="3">
        <f t="shared" si="6"/>
        <v>43160</v>
      </c>
      <c r="M41" s="4">
        <f t="array" aca="1" ref="M41" ca="1">INDEX($F:$F,MATCH(1,($J41=$A:$A)*($K41=$B:$B)*(M$1=$H:$H),0))</f>
        <v>0.188</v>
      </c>
      <c r="N41" s="4">
        <f t="array" aca="1" ref="N41" ca="1">INDEX($F:$F,MATCH(1,($J41=$A:$A)*($K41=$B:$B)*(N$1=$H:$H),0))</f>
        <v>0.624</v>
      </c>
      <c r="O41" s="4">
        <f t="array" aca="1" ref="O41" ca="1">INDEX($F:$F,MATCH(1,($J41=$A:$A)*($K41=$B:$B)*(O$1=$H:$H),0))</f>
        <v>1.256</v>
      </c>
      <c r="P41" s="4">
        <f t="array" aca="1" ref="P41" ca="1">INDEX($F:$F,MATCH(1,($J41=$A:$A)*($K41=$B:$B)*(P$1=$H:$H),0))</f>
        <v>-0.01</v>
      </c>
      <c r="Q41" s="4">
        <f t="array" aca="1" ref="Q41" ca="1">INDEX($F:$F,MATCH(1,($J41=$A:$A)*($K41=$B:$B)*(Q$1=$H:$H),0))</f>
        <v>3.5000000000000003E-2</v>
      </c>
      <c r="R41" s="4">
        <f t="array" aca="1" ref="R41" ca="1">INDEX($F:$F,MATCH(1,($J41=$A:$A)*($K41=$B:$B)*(R$1=$H:$H),0))</f>
        <v>0.17199999999999999</v>
      </c>
      <c r="S41" s="4">
        <f t="array" aca="1" ref="S41" ca="1">INDEX($F:$F,MATCH(1,($J41=$A:$A)*($K41=$B:$B)*(S$1=$H:$H),0))</f>
        <v>8.1000000000000003E-2</v>
      </c>
      <c r="T41">
        <f t="shared" ca="1" si="7"/>
        <v>2.3460000000000005</v>
      </c>
      <c r="U41" s="4" cm="1">
        <f t="array" aca="1" ref="U41" ca="1">INDEX($F:$F,MATCH(1,($J41=$A:$A)*($K41=$B:$B)*(U$1=$H:$H),0))</f>
        <v>0</v>
      </c>
    </row>
    <row r="42" spans="1:21" x14ac:dyDescent="0.25">
      <c r="A42">
        <v>2015</v>
      </c>
      <c r="B42">
        <v>1</v>
      </c>
      <c r="C42" t="s">
        <v>26</v>
      </c>
      <c r="D42">
        <v>37.880000000000003</v>
      </c>
      <c r="E42">
        <v>-4.0999999999999996</v>
      </c>
      <c r="F42">
        <v>-1.5840000000000001</v>
      </c>
      <c r="H42" s="4" t="str">
        <f t="array" aca="1" ref="H42" ca="1">SUBSTITUTE(SUBSTITUTE(_xlfn.TEXTJOIN("",TRUE,IF(ISERR(MID(C42,ROW(INDIRECT("1:100")),1)+0),MID(C42,ROW(INDIRECT("1:100")),1),"")),")",""),"(","")</f>
        <v>Commodities</v>
      </c>
      <c r="J42">
        <f t="shared" si="8"/>
        <v>2018</v>
      </c>
      <c r="K42">
        <f t="shared" si="3"/>
        <v>4</v>
      </c>
      <c r="L42" s="3">
        <f t="shared" si="6"/>
        <v>43191</v>
      </c>
      <c r="M42" s="4">
        <f t="array" aca="1" ref="M42" ca="1">INDEX($F:$F,MATCH(1,($J42=$A:$A)*($K42=$B:$B)*(M$1=$H:$H),0))</f>
        <v>0.20100000000000001</v>
      </c>
      <c r="N42" s="4">
        <f t="array" aca="1" ref="N42" ca="1">INDEX($F:$F,MATCH(1,($J42=$A:$A)*($K42=$B:$B)*(N$1=$H:$H),0))</f>
        <v>0.68200000000000005</v>
      </c>
      <c r="O42" s="4">
        <f t="array" aca="1" ref="O42" ca="1">INDEX($F:$F,MATCH(1,($J42=$A:$A)*($K42=$B:$B)*(O$1=$H:$H),0))</f>
        <v>1.2569999999999999</v>
      </c>
      <c r="P42" s="4">
        <f t="array" aca="1" ref="P42" ca="1">INDEX($F:$F,MATCH(1,($J42=$A:$A)*($K42=$B:$B)*(P$1=$H:$H),0))</f>
        <v>8.0000000000000002E-3</v>
      </c>
      <c r="Q42" s="4">
        <f t="array" aca="1" ref="Q42" ca="1">INDEX($F:$F,MATCH(1,($J42=$A:$A)*($K42=$B:$B)*(Q$1=$H:$H),0))</f>
        <v>1.6E-2</v>
      </c>
      <c r="R42" s="4">
        <f t="array" aca="1" ref="R42" ca="1">INDEX($F:$F,MATCH(1,($J42=$A:$A)*($K42=$B:$B)*(R$1=$H:$H),0))</f>
        <v>0.19</v>
      </c>
      <c r="S42" s="4">
        <f t="array" aca="1" ref="S42" ca="1">INDEX($F:$F,MATCH(1,($J42=$A:$A)*($K42=$B:$B)*(S$1=$H:$H),0))</f>
        <v>7.6999999999999999E-2</v>
      </c>
      <c r="T42">
        <f t="shared" ca="1" si="7"/>
        <v>2.4309999999999996</v>
      </c>
      <c r="U42" s="4" cm="1">
        <f t="array" aca="1" ref="U42" ca="1">INDEX($F:$F,MATCH(1,($J42=$A:$A)*($K42=$B:$B)*(U$1=$H:$H),0))</f>
        <v>0</v>
      </c>
    </row>
    <row r="43" spans="1:21" x14ac:dyDescent="0.25">
      <c r="A43">
        <v>2015</v>
      </c>
      <c r="B43">
        <v>1</v>
      </c>
      <c r="C43" t="s">
        <v>27</v>
      </c>
      <c r="D43">
        <v>62.12</v>
      </c>
      <c r="E43">
        <v>2.4</v>
      </c>
      <c r="F43">
        <v>1.494</v>
      </c>
      <c r="H43" s="4" t="str">
        <f t="array" aca="1" ref="H43" ca="1">SUBSTITUTE(SUBSTITUTE(_xlfn.TEXTJOIN("",TRUE,IF(ISERR(MID(C43,ROW(INDIRECT("1:100")),1)+0),MID(C43,ROW(INDIRECT("1:100")),1),"")),")",""),"(","")</f>
        <v>Services</v>
      </c>
      <c r="J43">
        <f t="shared" si="8"/>
        <v>2018</v>
      </c>
      <c r="K43">
        <f t="shared" si="3"/>
        <v>5</v>
      </c>
      <c r="L43" s="3">
        <f t="shared" si="6"/>
        <v>43221</v>
      </c>
      <c r="M43" s="4">
        <f t="array" aca="1" ref="M43" ca="1">INDEX($F:$F,MATCH(1,($J43=$A:$A)*($K43=$B:$B)*(M$1=$H:$H),0))</f>
        <v>0.18</v>
      </c>
      <c r="N43" s="4">
        <f t="array" aca="1" ref="N43" ca="1">INDEX($F:$F,MATCH(1,($J43=$A:$A)*($K43=$B:$B)*(N$1=$H:$H),0))</f>
        <v>0.97299999999999998</v>
      </c>
      <c r="O43" s="4">
        <f t="array" aca="1" ref="O43" ca="1">INDEX($F:$F,MATCH(1,($J43=$A:$A)*($K43=$B:$B)*(O$1=$H:$H),0))</f>
        <v>1.264</v>
      </c>
      <c r="P43" s="4">
        <f t="array" aca="1" ref="P43" ca="1">INDEX($F:$F,MATCH(1,($J43=$A:$A)*($K43=$B:$B)*(P$1=$H:$H),0))</f>
        <v>3.5000000000000003E-2</v>
      </c>
      <c r="Q43" s="4">
        <f t="array" aca="1" ref="Q43" ca="1">INDEX($F:$F,MATCH(1,($J43=$A:$A)*($K43=$B:$B)*(Q$1=$H:$H),0))</f>
        <v>1.4E-2</v>
      </c>
      <c r="R43" s="4">
        <f t="array" aca="1" ref="R43" ca="1">INDEX($F:$F,MATCH(1,($J43=$A:$A)*($K43=$B:$B)*(R$1=$H:$H),0))</f>
        <v>0.20599999999999999</v>
      </c>
      <c r="S43" s="4">
        <f t="array" aca="1" ref="S43" ca="1">INDEX($F:$F,MATCH(1,($J43=$A:$A)*($K43=$B:$B)*(S$1=$H:$H),0))</f>
        <v>0.08</v>
      </c>
      <c r="T43">
        <f t="shared" ca="1" si="7"/>
        <v>2.7519999999999998</v>
      </c>
      <c r="U43" s="4" cm="1">
        <f t="array" aca="1" ref="U43" ca="1">INDEX($F:$F,MATCH(1,($J43=$A:$A)*($K43=$B:$B)*(U$1=$H:$H),0))</f>
        <v>0</v>
      </c>
    </row>
    <row r="44" spans="1:21" x14ac:dyDescent="0.25">
      <c r="A44">
        <v>2015</v>
      </c>
      <c r="B44">
        <v>1</v>
      </c>
      <c r="C44" t="s">
        <v>28</v>
      </c>
      <c r="D44">
        <v>8.9499999999999993</v>
      </c>
      <c r="E44">
        <v>-2</v>
      </c>
      <c r="F44">
        <v>-0.184</v>
      </c>
      <c r="H44" s="4" t="str">
        <f t="array" aca="1" ref="H44" ca="1">SUBSTITUTE(SUBSTITUTE(_xlfn.TEXTJOIN("",TRUE,IF(ISERR(MID(C44,ROW(INDIRECT("1:100")),1)+0),MID(C44,ROW(INDIRECT("1:100")),1),"")),")",""),"(","")</f>
        <v>Durables</v>
      </c>
      <c r="J44">
        <f t="shared" si="8"/>
        <v>2018</v>
      </c>
      <c r="K44">
        <f t="shared" si="3"/>
        <v>6</v>
      </c>
      <c r="L44" s="3">
        <f t="shared" si="6"/>
        <v>43252</v>
      </c>
      <c r="M44" s="4">
        <f t="array" aca="1" ref="M44" ca="1">INDEX($F:$F,MATCH(1,($J44=$A:$A)*($K44=$B:$B)*(M$1=$H:$H),0))</f>
        <v>0.21</v>
      </c>
      <c r="N44" s="4">
        <f t="array" aca="1" ref="N44" ca="1">INDEX($F:$F,MATCH(1,($J44=$A:$A)*($K44=$B:$B)*(N$1=$H:$H),0))</f>
        <v>1.091</v>
      </c>
      <c r="O44" s="4">
        <f t="array" aca="1" ref="O44" ca="1">INDEX($F:$F,MATCH(1,($J44=$A:$A)*($K44=$B:$B)*(O$1=$H:$H),0))</f>
        <v>1.1830000000000001</v>
      </c>
      <c r="P44" s="4">
        <f t="array" aca="1" ref="P44" ca="1">INDEX($F:$F,MATCH(1,($J44=$A:$A)*($K44=$B:$B)*(P$1=$H:$H),0))</f>
        <v>5.0999999999999997E-2</v>
      </c>
      <c r="Q44" s="4">
        <f t="array" aca="1" ref="Q44" ca="1">INDEX($F:$F,MATCH(1,($J44=$A:$A)*($K44=$B:$B)*(Q$1=$H:$H),0))</f>
        <v>3.1E-2</v>
      </c>
      <c r="R44" s="4">
        <f t="array" aca="1" ref="R44" ca="1">INDEX($F:$F,MATCH(1,($J44=$A:$A)*($K44=$B:$B)*(R$1=$H:$H),0))</f>
        <v>0.21199999999999999</v>
      </c>
      <c r="S44" s="4">
        <f t="array" aca="1" ref="S44" ca="1">INDEX($F:$F,MATCH(1,($J44=$A:$A)*($K44=$B:$B)*(S$1=$H:$H),0))</f>
        <v>7.1999999999999995E-2</v>
      </c>
      <c r="T44">
        <f t="shared" ca="1" si="7"/>
        <v>2.8500000000000005</v>
      </c>
      <c r="U44" s="4" cm="1">
        <f t="array" aca="1" ref="U44" ca="1">INDEX($F:$F,MATCH(1,($J44=$A:$A)*($K44=$B:$B)*(U$1=$H:$H),0))</f>
        <v>0</v>
      </c>
    </row>
    <row r="45" spans="1:21" x14ac:dyDescent="0.25">
      <c r="A45">
        <v>2015</v>
      </c>
      <c r="B45">
        <v>1</v>
      </c>
      <c r="C45" t="s">
        <v>29</v>
      </c>
      <c r="D45">
        <v>28.93</v>
      </c>
      <c r="E45">
        <v>-4.7</v>
      </c>
      <c r="F45">
        <v>-1.399</v>
      </c>
      <c r="H45" s="4" t="str">
        <f t="array" aca="1" ref="H45" ca="1">SUBSTITUTE(SUBSTITUTE(_xlfn.TEXTJOIN("",TRUE,IF(ISERR(MID(C45,ROW(INDIRECT("1:100")),1)+0),MID(C45,ROW(INDIRECT("1:100")),1),"")),")",""),"(","")</f>
        <v>Nondurables</v>
      </c>
      <c r="J45">
        <f t="shared" si="8"/>
        <v>2018</v>
      </c>
      <c r="K45">
        <f t="shared" si="3"/>
        <v>7</v>
      </c>
      <c r="L45" s="3">
        <f t="shared" si="6"/>
        <v>43282</v>
      </c>
      <c r="M45" s="4">
        <f t="array" aca="1" ref="M45" ca="1">INDEX($F:$F,MATCH(1,($J45=$A:$A)*($K45=$B:$B)*(M$1=$H:$H),0))</f>
        <v>0.20499999999999999</v>
      </c>
      <c r="N45" s="4">
        <f t="array" aca="1" ref="N45" ca="1">INDEX($F:$F,MATCH(1,($J45=$A:$A)*($K45=$B:$B)*(N$1=$H:$H),0))</f>
        <v>1.177</v>
      </c>
      <c r="O45" s="4">
        <f t="array" aca="1" ref="O45" ca="1">INDEX($F:$F,MATCH(1,($J45=$A:$A)*($K45=$B:$B)*(O$1=$H:$H),0))</f>
        <v>1.2350000000000001</v>
      </c>
      <c r="P45" s="4">
        <f t="array" aca="1" ref="P45" ca="1">INDEX($F:$F,MATCH(1,($J45=$A:$A)*($K45=$B:$B)*(P$1=$H:$H),0))</f>
        <v>6.8000000000000005E-2</v>
      </c>
      <c r="Q45" s="4">
        <f t="array" aca="1" ref="Q45" ca="1">INDEX($F:$F,MATCH(1,($J45=$A:$A)*($K45=$B:$B)*(Q$1=$H:$H),0))</f>
        <v>0.02</v>
      </c>
      <c r="R45" s="4">
        <f t="array" aca="1" ref="R45" ca="1">INDEX($F:$F,MATCH(1,($J45=$A:$A)*($K45=$B:$B)*(R$1=$H:$H),0))</f>
        <v>0.16500000000000001</v>
      </c>
      <c r="S45" s="4">
        <f t="array" aca="1" ref="S45" ca="1">INDEX($F:$F,MATCH(1,($J45=$A:$A)*($K45=$B:$B)*(S$1=$H:$H),0))</f>
        <v>6.7000000000000004E-2</v>
      </c>
      <c r="T45">
        <f t="shared" ca="1" si="7"/>
        <v>2.9370000000000003</v>
      </c>
      <c r="U45" s="4" cm="1">
        <f t="array" aca="1" ref="U45" ca="1">INDEX($F:$F,MATCH(1,($J45=$A:$A)*($K45=$B:$B)*(U$1=$H:$H),0))</f>
        <v>0</v>
      </c>
    </row>
    <row r="46" spans="1:21" x14ac:dyDescent="0.25">
      <c r="A46">
        <v>2015</v>
      </c>
      <c r="B46">
        <v>1</v>
      </c>
      <c r="C46" t="s">
        <v>8</v>
      </c>
      <c r="D46">
        <v>42.173000000000002</v>
      </c>
      <c r="E46">
        <v>2.2999999999999998</v>
      </c>
      <c r="F46">
        <v>0.94299999999999995</v>
      </c>
      <c r="H46" s="4" t="str">
        <f t="array" aca="1" ref="H46" ca="1">SUBSTITUTE(SUBSTITUTE(_xlfn.TEXTJOIN("",TRUE,IF(ISERR(MID(C46,ROW(INDIRECT("1:100")),1)+0),MID(C46,ROW(INDIRECT("1:100")),1),"")),")",""),"(","")</f>
        <v>Housing</v>
      </c>
      <c r="J46">
        <f t="shared" si="8"/>
        <v>2018</v>
      </c>
      <c r="K46">
        <f t="shared" si="3"/>
        <v>8</v>
      </c>
      <c r="L46" s="3">
        <f t="shared" si="6"/>
        <v>43313</v>
      </c>
      <c r="M46" s="4">
        <f t="array" aca="1" ref="M46" ca="1">INDEX($F:$F,MATCH(1,($J46=$A:$A)*($K46=$B:$B)*(M$1=$H:$H),0))</f>
        <v>0.20599999999999999</v>
      </c>
      <c r="N46" s="4">
        <f t="array" aca="1" ref="N46" ca="1">INDEX($F:$F,MATCH(1,($J46=$A:$A)*($K46=$B:$B)*(N$1=$H:$H),0))</f>
        <v>1.0369999999999999</v>
      </c>
      <c r="O46" s="4">
        <f t="array" aca="1" ref="O46" ca="1">INDEX($F:$F,MATCH(1,($J46=$A:$A)*($K46=$B:$B)*(O$1=$H:$H),0))</f>
        <v>1.2070000000000001</v>
      </c>
      <c r="P46" s="4">
        <f t="array" aca="1" ref="P46" ca="1">INDEX($F:$F,MATCH(1,($J46=$A:$A)*($K46=$B:$B)*(P$1=$H:$H),0))</f>
        <v>8.1000000000000003E-2</v>
      </c>
      <c r="Q46" s="4">
        <f t="array" aca="1" ref="Q46" ca="1">INDEX($F:$F,MATCH(1,($J46=$A:$A)*($K46=$B:$B)*(Q$1=$H:$H),0))</f>
        <v>5.0000000000000001E-3</v>
      </c>
      <c r="R46" s="4">
        <f t="array" aca="1" ref="R46" ca="1">INDEX($F:$F,MATCH(1,($J46=$A:$A)*($K46=$B:$B)*(R$1=$H:$H),0))</f>
        <v>0.13300000000000001</v>
      </c>
      <c r="S46" s="4">
        <f t="array" aca="1" ref="S46" ca="1">INDEX($F:$F,MATCH(1,($J46=$A:$A)*($K46=$B:$B)*(S$1=$H:$H),0))</f>
        <v>7.0999999999999994E-2</v>
      </c>
      <c r="T46">
        <f t="shared" ca="1" si="7"/>
        <v>2.74</v>
      </c>
      <c r="U46" s="4" cm="1">
        <f t="array" aca="1" ref="U46" ca="1">INDEX($F:$F,MATCH(1,($J46=$A:$A)*($K46=$B:$B)*(U$1=$H:$H),0))</f>
        <v>0</v>
      </c>
    </row>
    <row r="47" spans="1:21" x14ac:dyDescent="0.25">
      <c r="A47">
        <v>2015</v>
      </c>
      <c r="B47">
        <v>1</v>
      </c>
      <c r="C47" t="s">
        <v>30</v>
      </c>
      <c r="D47">
        <v>7.0620000000000003</v>
      </c>
      <c r="E47">
        <v>0.4</v>
      </c>
      <c r="F47">
        <v>3.1E-2</v>
      </c>
      <c r="H47" s="4" t="str">
        <f t="array" aca="1" ref="H47" ca="1">SUBSTITUTE(SUBSTITUTE(_xlfn.TEXTJOIN("",TRUE,IF(ISERR(MID(C47,ROW(INDIRECT("1:100")),1)+0),MID(C47,ROW(INDIRECT("1:100")),1),"")),")",""),"(","")</f>
        <v>Education and communication</v>
      </c>
      <c r="J47">
        <f t="shared" si="8"/>
        <v>2018</v>
      </c>
      <c r="K47">
        <f t="shared" si="3"/>
        <v>9</v>
      </c>
      <c r="L47" s="3">
        <f t="shared" si="6"/>
        <v>43344</v>
      </c>
      <c r="M47" s="4">
        <f t="array" aca="1" ref="M47" ca="1">INDEX($F:$F,MATCH(1,($J47=$A:$A)*($K47=$B:$B)*(M$1=$H:$H),0))</f>
        <v>0.19700000000000001</v>
      </c>
      <c r="N47" s="4">
        <f t="array" aca="1" ref="N47" ca="1">INDEX($F:$F,MATCH(1,($J47=$A:$A)*($K47=$B:$B)*(N$1=$H:$H),0))</f>
        <v>0.63</v>
      </c>
      <c r="O47" s="4">
        <f t="array" aca="1" ref="O47" ca="1">INDEX($F:$F,MATCH(1,($J47=$A:$A)*($K47=$B:$B)*(O$1=$H:$H),0))</f>
        <v>1.147</v>
      </c>
      <c r="P47" s="4">
        <f t="array" aca="1" ref="P47" ca="1">INDEX($F:$F,MATCH(1,($J47=$A:$A)*($K47=$B:$B)*(P$1=$H:$H),0))</f>
        <v>8.2000000000000003E-2</v>
      </c>
      <c r="Q47" s="4">
        <f t="array" aca="1" ref="Q47" ca="1">INDEX($F:$F,MATCH(1,($J47=$A:$A)*($K47=$B:$B)*(Q$1=$H:$H),0))</f>
        <v>1.4999999999999999E-2</v>
      </c>
      <c r="R47" s="4">
        <f t="array" aca="1" ref="R47" ca="1">INDEX($F:$F,MATCH(1,($J47=$A:$A)*($K47=$B:$B)*(R$1=$H:$H),0))</f>
        <v>0.14899999999999999</v>
      </c>
      <c r="S47" s="4">
        <f t="array" aca="1" ref="S47" ca="1">INDEX($F:$F,MATCH(1,($J47=$A:$A)*($K47=$B:$B)*(S$1=$H:$H),0))</f>
        <v>6.8000000000000005E-2</v>
      </c>
      <c r="T47">
        <f t="shared" ca="1" si="7"/>
        <v>2.2880000000000003</v>
      </c>
      <c r="U47" s="4" cm="1">
        <f t="array" aca="1" ref="U47" ca="1">INDEX($F:$F,MATCH(1,($J47=$A:$A)*($K47=$B:$B)*(U$1=$H:$H),0))</f>
        <v>0</v>
      </c>
    </row>
    <row r="48" spans="1:21" x14ac:dyDescent="0.25">
      <c r="A48">
        <v>2015</v>
      </c>
      <c r="B48">
        <v>1</v>
      </c>
      <c r="C48" t="s">
        <v>31</v>
      </c>
      <c r="D48">
        <v>5.75</v>
      </c>
      <c r="E48">
        <v>0</v>
      </c>
      <c r="F48">
        <v>1E-3</v>
      </c>
      <c r="H48" s="4" t="str">
        <f t="array" aca="1" ref="H48" ca="1">SUBSTITUTE(SUBSTITUTE(_xlfn.TEXTJOIN("",TRUE,IF(ISERR(MID(C48,ROW(INDIRECT("1:100")),1)+0),MID(C48,ROW(INDIRECT("1:100")),1),"")),")",""),"(","")</f>
        <v>Recreation</v>
      </c>
      <c r="J48">
        <f t="shared" si="8"/>
        <v>2018</v>
      </c>
      <c r="K48">
        <f t="shared" si="3"/>
        <v>10</v>
      </c>
      <c r="L48" s="3">
        <f t="shared" si="6"/>
        <v>43374</v>
      </c>
      <c r="M48" s="4">
        <f t="array" aca="1" ref="M48" ca="1">INDEX($F:$F,MATCH(1,($J48=$A:$A)*($K48=$B:$B)*(M$1=$H:$H),0))</f>
        <v>0.17599999999999999</v>
      </c>
      <c r="N48" s="4">
        <f t="array" aca="1" ref="N48" ca="1">INDEX($F:$F,MATCH(1,($J48=$A:$A)*($K48=$B:$B)*(N$1=$H:$H),0))</f>
        <v>0.89500000000000002</v>
      </c>
      <c r="O48" s="4">
        <f t="array" aca="1" ref="O48" ca="1">INDEX($F:$F,MATCH(1,($J48=$A:$A)*($K48=$B:$B)*(O$1=$H:$H),0))</f>
        <v>1.1779999999999999</v>
      </c>
      <c r="P48" s="4">
        <f t="array" aca="1" ref="P48" ca="1">INDEX($F:$F,MATCH(1,($J48=$A:$A)*($K48=$B:$B)*(P$1=$H:$H),0))</f>
        <v>6.3E-2</v>
      </c>
      <c r="Q48" s="4">
        <f t="array" aca="1" ref="Q48" ca="1">INDEX($F:$F,MATCH(1,($J48=$A:$A)*($K48=$B:$B)*(Q$1=$H:$H),0))</f>
        <v>8.9999999999999993E-3</v>
      </c>
      <c r="R48" s="4">
        <f t="array" aca="1" ref="R48" ca="1">INDEX($F:$F,MATCH(1,($J48=$A:$A)*($K48=$B:$B)*(R$1=$H:$H),0))</f>
        <v>0.14799999999999999</v>
      </c>
      <c r="S48" s="4">
        <f t="array" aca="1" ref="S48" ca="1">INDEX($F:$F,MATCH(1,($J48=$A:$A)*($K48=$B:$B)*(S$1=$H:$H),0))</f>
        <v>5.8999999999999997E-2</v>
      </c>
      <c r="T48">
        <f t="shared" ca="1" si="7"/>
        <v>2.528</v>
      </c>
      <c r="U48" s="4" cm="1">
        <f t="array" aca="1" ref="U48" ca="1">INDEX($F:$F,MATCH(1,($J48=$A:$A)*($K48=$B:$B)*(U$1=$H:$H),0))</f>
        <v>0</v>
      </c>
    </row>
    <row r="49" spans="1:21" x14ac:dyDescent="0.25">
      <c r="A49">
        <v>2015</v>
      </c>
      <c r="B49">
        <v>1</v>
      </c>
      <c r="C49" t="s">
        <v>6</v>
      </c>
      <c r="D49">
        <v>15.272</v>
      </c>
      <c r="E49">
        <v>3.1</v>
      </c>
      <c r="F49">
        <v>0.45600000000000002</v>
      </c>
      <c r="H49" s="4" t="str">
        <f t="array" aca="1" ref="H49" ca="1">SUBSTITUTE(SUBSTITUTE(_xlfn.TEXTJOIN("",TRUE,IF(ISERR(MID(C49,ROW(INDIRECT("1:100")),1)+0),MID(C49,ROW(INDIRECT("1:100")),1),"")),")",""),"(","")</f>
        <v>Food and beverages</v>
      </c>
      <c r="J49">
        <f t="shared" si="8"/>
        <v>2018</v>
      </c>
      <c r="K49">
        <f t="shared" si="3"/>
        <v>11</v>
      </c>
      <c r="L49" s="3">
        <f t="shared" si="6"/>
        <v>43405</v>
      </c>
      <c r="M49" s="4">
        <f t="array" aca="1" ref="M49" ca="1">INDEX($F:$F,MATCH(1,($J49=$A:$A)*($K49=$B:$B)*(M$1=$H:$H),0))</f>
        <v>0.20399999999999999</v>
      </c>
      <c r="N49" s="4">
        <f t="array" aca="1" ref="N49" ca="1">INDEX($F:$F,MATCH(1,($J49=$A:$A)*($K49=$B:$B)*(N$1=$H:$H),0))</f>
        <v>0.48599999999999999</v>
      </c>
      <c r="O49" s="4">
        <f t="array" aca="1" ref="O49" ca="1">INDEX($F:$F,MATCH(1,($J49=$A:$A)*($K49=$B:$B)*(O$1=$H:$H),0))</f>
        <v>1.2030000000000001</v>
      </c>
      <c r="P49" s="4">
        <f t="array" aca="1" ref="P49" ca="1">INDEX($F:$F,MATCH(1,($J49=$A:$A)*($K49=$B:$B)*(P$1=$H:$H),0))</f>
        <v>1.2999999999999999E-2</v>
      </c>
      <c r="Q49" s="4">
        <f t="array" aca="1" ref="Q49" ca="1">INDEX($F:$F,MATCH(1,($J49=$A:$A)*($K49=$B:$B)*(Q$1=$H:$H),0))</f>
        <v>3.5000000000000003E-2</v>
      </c>
      <c r="R49" s="4">
        <f t="array" aca="1" ref="R49" ca="1">INDEX($F:$F,MATCH(1,($J49=$A:$A)*($K49=$B:$B)*(R$1=$H:$H),0))</f>
        <v>0.17599999999999999</v>
      </c>
      <c r="S49" s="4">
        <f t="array" aca="1" ref="S49" ca="1">INDEX($F:$F,MATCH(1,($J49=$A:$A)*($K49=$B:$B)*(S$1=$H:$H),0))</f>
        <v>6.7000000000000004E-2</v>
      </c>
      <c r="T49">
        <f t="shared" ca="1" si="7"/>
        <v>2.1840000000000002</v>
      </c>
      <c r="U49" s="4" cm="1">
        <f t="array" aca="1" ref="U49" ca="1">INDEX($F:$F,MATCH(1,($J49=$A:$A)*($K49=$B:$B)*(U$1=$H:$H),0))</f>
        <v>0</v>
      </c>
    </row>
    <row r="50" spans="1:21" x14ac:dyDescent="0.25">
      <c r="A50">
        <v>2015</v>
      </c>
      <c r="B50">
        <v>1</v>
      </c>
      <c r="C50" t="s">
        <v>32</v>
      </c>
      <c r="D50">
        <v>11.955</v>
      </c>
      <c r="E50">
        <v>1.3</v>
      </c>
      <c r="F50">
        <v>0.155</v>
      </c>
      <c r="H50" s="4" t="str">
        <f t="array" aca="1" ref="H50" ca="1">SUBSTITUTE(SUBSTITUTE(_xlfn.TEXTJOIN("",TRUE,IF(ISERR(MID(C50,ROW(INDIRECT("1:100")),1)+0),MID(C50,ROW(INDIRECT("1:100")),1),"")),")",""),"(","")</f>
        <v>Other services</v>
      </c>
      <c r="J50">
        <f t="shared" si="8"/>
        <v>2018</v>
      </c>
      <c r="K50">
        <f t="shared" si="3"/>
        <v>12</v>
      </c>
      <c r="L50" s="3">
        <f t="shared" si="6"/>
        <v>43435</v>
      </c>
      <c r="M50" s="4">
        <f t="array" aca="1" ref="M50" ca="1">INDEX($F:$F,MATCH(1,($J50=$A:$A)*($K50=$B:$B)*(M$1=$H:$H),0))</f>
        <v>0.22900000000000001</v>
      </c>
      <c r="N50" s="4">
        <f t="array" aca="1" ref="N50" ca="1">INDEX($F:$F,MATCH(1,($J50=$A:$A)*($K50=$B:$B)*(N$1=$H:$H),0))</f>
        <v>0.124</v>
      </c>
      <c r="O50" s="4">
        <f t="array" aca="1" ref="O50" ca="1">INDEX($F:$F,MATCH(1,($J50=$A:$A)*($K50=$B:$B)*(O$1=$H:$H),0))</f>
        <v>1.2370000000000001</v>
      </c>
      <c r="P50" s="4">
        <f t="array" aca="1" ref="P50" ca="1">INDEX($F:$F,MATCH(1,($J50=$A:$A)*($K50=$B:$B)*(P$1=$H:$H),0))</f>
        <v>1.4999999999999999E-2</v>
      </c>
      <c r="Q50" s="4">
        <f t="array" aca="1" ref="Q50" ca="1">INDEX($F:$F,MATCH(1,($J50=$A:$A)*($K50=$B:$B)*(Q$1=$H:$H),0))</f>
        <v>6.6000000000000003E-2</v>
      </c>
      <c r="R50" s="4">
        <f t="array" aca="1" ref="R50" ca="1">INDEX($F:$F,MATCH(1,($J50=$A:$A)*($K50=$B:$B)*(R$1=$H:$H),0))</f>
        <v>0.17399999999999999</v>
      </c>
      <c r="S50" s="4">
        <f t="array" aca="1" ref="S50" ca="1">INDEX($F:$F,MATCH(1,($J50=$A:$A)*($K50=$B:$B)*(S$1=$H:$H),0))</f>
        <v>6.8000000000000005E-2</v>
      </c>
      <c r="T50">
        <f t="shared" ca="1" si="7"/>
        <v>1.913</v>
      </c>
      <c r="U50" s="4" cm="1">
        <f t="array" aca="1" ref="U50" ca="1">INDEX($F:$F,MATCH(1,($J50=$A:$A)*($K50=$B:$B)*(U$1=$H:$H),0))</f>
        <v>0</v>
      </c>
    </row>
    <row r="51" spans="1:21" x14ac:dyDescent="0.25">
      <c r="A51">
        <v>2015</v>
      </c>
      <c r="B51">
        <v>1</v>
      </c>
      <c r="C51" t="s">
        <v>33</v>
      </c>
      <c r="D51">
        <v>2.6190000000000002</v>
      </c>
      <c r="E51">
        <v>-2.4</v>
      </c>
      <c r="F51">
        <v>-6.5000000000000002E-2</v>
      </c>
      <c r="H51" s="4" t="str">
        <f t="array" aca="1" ref="H51" ca="1">SUBSTITUTE(SUBSTITUTE(_xlfn.TEXTJOIN("",TRUE,IF(ISERR(MID(C51,ROW(INDIRECT("1:100")),1)+0),MID(C51,ROW(INDIRECT("1:100")),1),"")),")",""),"(","")</f>
        <v>Apparel less footwear</v>
      </c>
      <c r="J51">
        <f>+J39+1</f>
        <v>2019</v>
      </c>
      <c r="K51">
        <f t="shared" si="3"/>
        <v>1</v>
      </c>
      <c r="L51" s="3">
        <f t="shared" si="6"/>
        <v>43466</v>
      </c>
      <c r="M51" s="4">
        <f t="array" aca="1" ref="M51" ca="1">INDEX($F:$F,MATCH(1,($J51=$A:$A)*($K51=$B:$B)*(M$1=$H:$H),0))</f>
        <v>0.23200000000000001</v>
      </c>
      <c r="N51" s="4">
        <f t="array" aca="1" ref="N51" ca="1">INDEX($F:$F,MATCH(1,($J51=$A:$A)*($K51=$B:$B)*(N$1=$H:$H),0))</f>
        <v>-0.224</v>
      </c>
      <c r="O51" s="4">
        <f t="array" aca="1" ref="O51" ca="1">INDEX($F:$F,MATCH(1,($J51=$A:$A)*($K51=$B:$B)*(O$1=$H:$H),0))</f>
        <v>1.2150000000000001</v>
      </c>
      <c r="P51" s="4">
        <f t="array" aca="1" ref="P51" ca="1">INDEX($F:$F,MATCH(1,($J51=$A:$A)*($K51=$B:$B)*(P$1=$H:$H),0))</f>
        <v>2.1000000000000001E-2</v>
      </c>
      <c r="Q51" s="4">
        <f t="array" aca="1" ref="Q51" ca="1">INDEX($F:$F,MATCH(1,($J51=$A:$A)*($K51=$B:$B)*(Q$1=$H:$H),0))</f>
        <v>7.8E-2</v>
      </c>
      <c r="R51" s="4">
        <f t="array" aca="1" ref="R51" ca="1">INDEX($F:$F,MATCH(1,($J51=$A:$A)*($K51=$B:$B)*(R$1=$H:$H),0))</f>
        <v>0.16500000000000001</v>
      </c>
      <c r="S51" s="4">
        <f t="array" aca="1" ref="S51" ca="1">INDEX($F:$F,MATCH(1,($J51=$A:$A)*($K51=$B:$B)*(S$1=$H:$H),0))</f>
        <v>6.0999999999999999E-2</v>
      </c>
      <c r="T51">
        <f t="shared" ca="1" si="7"/>
        <v>1.548</v>
      </c>
      <c r="U51" s="4" cm="1">
        <f t="array" aca="1" ref="U51" ca="1">INDEX($F:$F,MATCH(1,($J51=$A:$A)*($K51=$B:$B)*(U$1=$H:$H),0))</f>
        <v>0</v>
      </c>
    </row>
    <row r="52" spans="1:21" x14ac:dyDescent="0.25">
      <c r="A52">
        <v>2015</v>
      </c>
      <c r="B52">
        <v>1</v>
      </c>
      <c r="C52" t="s">
        <v>34</v>
      </c>
      <c r="D52">
        <v>5.2729999999999997</v>
      </c>
      <c r="E52">
        <v>1</v>
      </c>
      <c r="F52">
        <v>5.0999999999999997E-2</v>
      </c>
      <c r="H52" s="4" t="str">
        <f t="array" aca="1" ref="H52" ca="1">SUBSTITUTE(SUBSTITUTE(_xlfn.TEXTJOIN("",TRUE,IF(ISERR(MID(C52,ROW(INDIRECT("1:100")),1)+0),MID(C52,ROW(INDIRECT("1:100")),1),"")),")",""),"(","")</f>
        <v>Fuels and utilities</v>
      </c>
      <c r="J52">
        <f t="shared" ref="J52:J60" si="9">+J51</f>
        <v>2019</v>
      </c>
      <c r="K52">
        <f t="shared" si="3"/>
        <v>2</v>
      </c>
      <c r="L52" s="3">
        <f t="shared" si="6"/>
        <v>43497</v>
      </c>
      <c r="M52" s="4">
        <f t="array" aca="1" ref="M52" ca="1">INDEX($F:$F,MATCH(1,($J52=$A:$A)*($K52=$B:$B)*(M$1=$H:$H),0))</f>
        <v>0.27900000000000003</v>
      </c>
      <c r="N52" s="4">
        <f t="array" aca="1" ref="N52" ca="1">INDEX($F:$F,MATCH(1,($J52=$A:$A)*($K52=$B:$B)*(N$1=$H:$H),0))</f>
        <v>-0.252</v>
      </c>
      <c r="O52" s="4">
        <f t="array" aca="1" ref="O52" ca="1">INDEX($F:$F,MATCH(1,($J52=$A:$A)*($K52=$B:$B)*(O$1=$H:$H),0))</f>
        <v>1.1970000000000001</v>
      </c>
      <c r="P52" s="4">
        <f t="array" aca="1" ref="P52" ca="1">INDEX($F:$F,MATCH(1,($J52=$A:$A)*($K52=$B:$B)*(P$1=$H:$H),0))</f>
        <v>4.1000000000000002E-2</v>
      </c>
      <c r="Q52" s="4">
        <f t="array" aca="1" ref="Q52" ca="1">INDEX($F:$F,MATCH(1,($J52=$A:$A)*($K52=$B:$B)*(Q$1=$H:$H),0))</f>
        <v>5.8000000000000003E-2</v>
      </c>
      <c r="R52" s="4">
        <f t="array" aca="1" ref="R52" ca="1">INDEX($F:$F,MATCH(1,($J52=$A:$A)*($K52=$B:$B)*(R$1=$H:$H),0))</f>
        <v>0.15</v>
      </c>
      <c r="S52" s="4">
        <f t="array" aca="1" ref="S52" ca="1">INDEX($F:$F,MATCH(1,($J52=$A:$A)*($K52=$B:$B)*(S$1=$H:$H),0))</f>
        <v>7.1999999999999995E-2</v>
      </c>
      <c r="T52">
        <f t="shared" ca="1" si="7"/>
        <v>1.5450000000000002</v>
      </c>
      <c r="U52" s="4" cm="1">
        <f t="array" aca="1" ref="U52" ca="1">INDEX($F:$F,MATCH(1,($J52=$A:$A)*($K52=$B:$B)*(U$1=$H:$H),0))</f>
        <v>0</v>
      </c>
    </row>
    <row r="53" spans="1:21" x14ac:dyDescent="0.25">
      <c r="A53">
        <v>2015</v>
      </c>
      <c r="B53">
        <v>1</v>
      </c>
      <c r="C53" t="s">
        <v>11</v>
      </c>
      <c r="D53">
        <v>7.7160000000000002</v>
      </c>
      <c r="E53">
        <v>2.6</v>
      </c>
      <c r="F53">
        <v>0.2</v>
      </c>
      <c r="H53" s="4" t="str">
        <f t="array" aca="1" ref="H53" ca="1">SUBSTITUTE(SUBSTITUTE(_xlfn.TEXTJOIN("",TRUE,IF(ISERR(MID(C53,ROW(INDIRECT("1:100")),1)+0),MID(C53,ROW(INDIRECT("1:100")),1),"")),")",""),"(","")</f>
        <v>Medical care</v>
      </c>
      <c r="J53">
        <f t="shared" si="9"/>
        <v>2019</v>
      </c>
      <c r="K53">
        <f t="shared" si="3"/>
        <v>3</v>
      </c>
      <c r="L53" s="3">
        <f t="shared" si="6"/>
        <v>43525</v>
      </c>
      <c r="M53" s="4">
        <f t="array" aca="1" ref="M53" ca="1">INDEX($F:$F,MATCH(1,($J53=$A:$A)*($K53=$B:$B)*(M$1=$H:$H),0))</f>
        <v>0.29699999999999999</v>
      </c>
      <c r="N53" s="4">
        <f t="array" aca="1" ref="N53" ca="1">INDEX($F:$F,MATCH(1,($J53=$A:$A)*($K53=$B:$B)*(N$1=$H:$H),0))</f>
        <v>0.08</v>
      </c>
      <c r="O53" s="4">
        <f t="array" aca="1" ref="O53" ca="1">INDEX($F:$F,MATCH(1,($J53=$A:$A)*($K53=$B:$B)*(O$1=$H:$H),0))</f>
        <v>1.2190000000000001</v>
      </c>
      <c r="P53" s="4">
        <f t="array" aca="1" ref="P53" ca="1">INDEX($F:$F,MATCH(1,($J53=$A:$A)*($K53=$B:$B)*(P$1=$H:$H),0))</f>
        <v>5.0999999999999997E-2</v>
      </c>
      <c r="Q53" s="4">
        <f t="array" aca="1" ref="Q53" ca="1">INDEX($F:$F,MATCH(1,($J53=$A:$A)*($K53=$B:$B)*(Q$1=$H:$H),0))</f>
        <v>7.0000000000000007E-2</v>
      </c>
      <c r="R53" s="4">
        <f t="array" aca="1" ref="R53" ca="1">INDEX($F:$F,MATCH(1,($J53=$A:$A)*($K53=$B:$B)*(R$1=$H:$H),0))</f>
        <v>0.14899999999999999</v>
      </c>
      <c r="S53" s="4">
        <f t="array" aca="1" ref="S53" ca="1">INDEX($F:$F,MATCH(1,($J53=$A:$A)*($K53=$B:$B)*(S$1=$H:$H),0))</f>
        <v>6.7000000000000004E-2</v>
      </c>
      <c r="T53">
        <f t="shared" ca="1" si="7"/>
        <v>1.9330000000000001</v>
      </c>
      <c r="U53" s="4" cm="1">
        <f t="array" aca="1" ref="U53" ca="1">INDEX($F:$F,MATCH(1,($J53=$A:$A)*($K53=$B:$B)*(U$1=$H:$H),0))</f>
        <v>0</v>
      </c>
    </row>
    <row r="54" spans="1:21" x14ac:dyDescent="0.25">
      <c r="A54">
        <v>2015</v>
      </c>
      <c r="B54">
        <v>1</v>
      </c>
      <c r="C54" t="s">
        <v>7</v>
      </c>
      <c r="D54">
        <v>15.289</v>
      </c>
      <c r="E54">
        <v>-10.6</v>
      </c>
      <c r="F54">
        <v>-1.7350000000000001</v>
      </c>
      <c r="H54" s="4" t="str">
        <f t="array" aca="1" ref="H54" ca="1">SUBSTITUTE(SUBSTITUTE(_xlfn.TEXTJOIN("",TRUE,IF(ISERR(MID(C54,ROW(INDIRECT("1:100")),1)+0),MID(C54,ROW(INDIRECT("1:100")),1),"")),")",""),"(","")</f>
        <v>Transportation</v>
      </c>
      <c r="J54">
        <f t="shared" si="9"/>
        <v>2019</v>
      </c>
      <c r="K54">
        <f t="shared" si="3"/>
        <v>4</v>
      </c>
      <c r="L54" s="3">
        <f t="shared" si="6"/>
        <v>43556</v>
      </c>
      <c r="M54" s="4">
        <f t="array" aca="1" ref="M54" ca="1">INDEX($F:$F,MATCH(1,($J54=$A:$A)*($K54=$B:$B)*(M$1=$H:$H),0))</f>
        <v>0.247</v>
      </c>
      <c r="N54" s="4">
        <f t="array" aca="1" ref="N54" ca="1">INDEX($F:$F,MATCH(1,($J54=$A:$A)*($K54=$B:$B)*(N$1=$H:$H),0))</f>
        <v>0.27300000000000002</v>
      </c>
      <c r="O54" s="4">
        <f t="array" aca="1" ref="O54" ca="1">INDEX($F:$F,MATCH(1,($J54=$A:$A)*($K54=$B:$B)*(O$1=$H:$H),0))</f>
        <v>1.212</v>
      </c>
      <c r="P54" s="4">
        <f t="array" aca="1" ref="P54" ca="1">INDEX($F:$F,MATCH(1,($J54=$A:$A)*($K54=$B:$B)*(P$1=$H:$H),0))</f>
        <v>0.06</v>
      </c>
      <c r="Q54" s="4">
        <f t="array" aca="1" ref="Q54" ca="1">INDEX($F:$F,MATCH(1,($J54=$A:$A)*($K54=$B:$B)*(Q$1=$H:$H),0))</f>
        <v>8.7999999999999995E-2</v>
      </c>
      <c r="R54" s="4">
        <f t="array" aca="1" ref="R54" ca="1">INDEX($F:$F,MATCH(1,($J54=$A:$A)*($K54=$B:$B)*(R$1=$H:$H),0))</f>
        <v>0.16600000000000001</v>
      </c>
      <c r="S54" s="4">
        <f t="array" aca="1" ref="S54" ca="1">INDEX($F:$F,MATCH(1,($J54=$A:$A)*($K54=$B:$B)*(S$1=$H:$H),0))</f>
        <v>4.3999999999999997E-2</v>
      </c>
      <c r="T54">
        <f t="shared" ca="1" si="7"/>
        <v>2.0900000000000003</v>
      </c>
      <c r="U54" s="4" cm="1">
        <f t="array" aca="1" ref="U54" ca="1">INDEX($F:$F,MATCH(1,($J54=$A:$A)*($K54=$B:$B)*(U$1=$H:$H),0))</f>
        <v>0</v>
      </c>
    </row>
    <row r="55" spans="1:21" x14ac:dyDescent="0.25">
      <c r="A55">
        <v>2015</v>
      </c>
      <c r="B55">
        <v>1</v>
      </c>
      <c r="C55" t="s">
        <v>35</v>
      </c>
      <c r="D55">
        <v>10.089</v>
      </c>
      <c r="E55">
        <v>0.7</v>
      </c>
      <c r="F55">
        <v>6.9000000000000006E-2</v>
      </c>
      <c r="H55" s="4" t="str">
        <f t="array" aca="1" ref="H55" ca="1">SUBSTITUTE(SUBSTITUTE(_xlfn.TEXTJOIN("",TRUE,IF(ISERR(MID(C55,ROW(INDIRECT("1:100")),1)+0),MID(C55,ROW(INDIRECT("1:100")),1),"")),")",""),"(","")</f>
        <v>Utilities and public transportation</v>
      </c>
      <c r="J55">
        <f t="shared" si="9"/>
        <v>2019</v>
      </c>
      <c r="K55">
        <f t="shared" si="3"/>
        <v>5</v>
      </c>
      <c r="L55" s="3">
        <f t="shared" si="6"/>
        <v>43586</v>
      </c>
      <c r="M55" s="4">
        <f t="array" aca="1" ref="M55" ca="1">INDEX($F:$F,MATCH(1,($J55=$A:$A)*($K55=$B:$B)*(M$1=$H:$H),0))</f>
        <v>0.27700000000000002</v>
      </c>
      <c r="N55" s="4">
        <f t="array" aca="1" ref="N55" ca="1">INDEX($F:$F,MATCH(1,($J55=$A:$A)*($K55=$B:$B)*(N$1=$H:$H),0))</f>
        <v>0.10100000000000001</v>
      </c>
      <c r="O55" s="4">
        <f t="array" aca="1" ref="O55" ca="1">INDEX($F:$F,MATCH(1,($J55=$A:$A)*($K55=$B:$B)*(O$1=$H:$H),0))</f>
        <v>1.1659999999999999</v>
      </c>
      <c r="P55" s="4">
        <f t="array" aca="1" ref="P55" ca="1">INDEX($F:$F,MATCH(1,($J55=$A:$A)*($K55=$B:$B)*(P$1=$H:$H),0))</f>
        <v>4.4999999999999998E-2</v>
      </c>
      <c r="Q55" s="4">
        <f t="array" aca="1" ref="Q55" ca="1">INDEX($F:$F,MATCH(1,($J55=$A:$A)*($K55=$B:$B)*(Q$1=$H:$H),0))</f>
        <v>6.7000000000000004E-2</v>
      </c>
      <c r="R55" s="4">
        <f t="array" aca="1" ref="R55" ca="1">INDEX($F:$F,MATCH(1,($J55=$A:$A)*($K55=$B:$B)*(R$1=$H:$H),0))</f>
        <v>0.17899999999999999</v>
      </c>
      <c r="S55" s="4">
        <f t="array" aca="1" ref="S55" ca="1">INDEX($F:$F,MATCH(1,($J55=$A:$A)*($K55=$B:$B)*(S$1=$H:$H),0))</f>
        <v>5.1999999999999998E-2</v>
      </c>
      <c r="T55">
        <f t="shared" ca="1" si="7"/>
        <v>1.887</v>
      </c>
      <c r="U55" s="4" cm="1">
        <f t="array" aca="1" ref="U55" ca="1">INDEX($F:$F,MATCH(1,($J55=$A:$A)*($K55=$B:$B)*(U$1=$H:$H),0))</f>
        <v>0</v>
      </c>
    </row>
    <row r="56" spans="1:21" x14ac:dyDescent="0.25">
      <c r="A56">
        <v>2015</v>
      </c>
      <c r="B56">
        <v>1</v>
      </c>
      <c r="C56" t="s">
        <v>36</v>
      </c>
      <c r="D56">
        <v>4.1890000000000001</v>
      </c>
      <c r="E56">
        <v>-1.1000000000000001</v>
      </c>
      <c r="F56">
        <v>-4.8000000000000001E-2</v>
      </c>
      <c r="H56" s="4" t="str">
        <f t="array" aca="1" ref="H56" ca="1">SUBSTITUTE(SUBSTITUTE(_xlfn.TEXTJOIN("",TRUE,IF(ISERR(MID(C56,ROW(INDIRECT("1:100")),1)+0),MID(C56,ROW(INDIRECT("1:100")),1),"")),")",""),"(","")</f>
        <v>Household furnishings and operations</v>
      </c>
      <c r="J56">
        <f t="shared" si="9"/>
        <v>2019</v>
      </c>
      <c r="K56">
        <f t="shared" si="3"/>
        <v>6</v>
      </c>
      <c r="L56" s="3">
        <f t="shared" si="6"/>
        <v>43617</v>
      </c>
      <c r="M56" s="4">
        <f t="array" aca="1" ref="M56" ca="1">INDEX($F:$F,MATCH(1,($J56=$A:$A)*($K56=$B:$B)*(M$1=$H:$H),0))</f>
        <v>0.26600000000000001</v>
      </c>
      <c r="N56" s="4">
        <f t="array" aca="1" ref="N56" ca="1">INDEX($F:$F,MATCH(1,($J56=$A:$A)*($K56=$B:$B)*(N$1=$H:$H),0))</f>
        <v>-0.128</v>
      </c>
      <c r="O56" s="4">
        <f t="array" aca="1" ref="O56" ca="1">INDEX($F:$F,MATCH(1,($J56=$A:$A)*($K56=$B:$B)*(O$1=$H:$H),0))</f>
        <v>1.248</v>
      </c>
      <c r="P56" s="4">
        <f t="array" aca="1" ref="P56" ca="1">INDEX($F:$F,MATCH(1,($J56=$A:$A)*($K56=$B:$B)*(P$1=$H:$H),0))</f>
        <v>3.9E-2</v>
      </c>
      <c r="Q56" s="4">
        <f t="array" aca="1" ref="Q56" ca="1">INDEX($F:$F,MATCH(1,($J56=$A:$A)*($K56=$B:$B)*(Q$1=$H:$H),0))</f>
        <v>4.7E-2</v>
      </c>
      <c r="R56" s="4">
        <f t="array" aca="1" ref="R56" ca="1">INDEX($F:$F,MATCH(1,($J56=$A:$A)*($K56=$B:$B)*(R$1=$H:$H),0))</f>
        <v>0.16900000000000001</v>
      </c>
      <c r="S56" s="4">
        <f t="array" aca="1" ref="S56" ca="1">INDEX($F:$F,MATCH(1,($J56=$A:$A)*($K56=$B:$B)*(S$1=$H:$H),0))</f>
        <v>4.7E-2</v>
      </c>
      <c r="T56">
        <f t="shared" ca="1" si="7"/>
        <v>1.6879999999999999</v>
      </c>
      <c r="U56" s="4" cm="1">
        <f t="array" aca="1" ref="U56" ca="1">INDEX($F:$F,MATCH(1,($J56=$A:$A)*($K56=$B:$B)*(U$1=$H:$H),0))</f>
        <v>0</v>
      </c>
    </row>
    <row r="57" spans="1:21" x14ac:dyDescent="0.25">
      <c r="A57">
        <v>2015</v>
      </c>
      <c r="B57">
        <v>1</v>
      </c>
      <c r="C57" t="s">
        <v>12</v>
      </c>
      <c r="D57">
        <v>3.3940000000000001</v>
      </c>
      <c r="E57">
        <v>1.8</v>
      </c>
      <c r="F57">
        <v>6.2E-2</v>
      </c>
      <c r="H57" s="4" t="str">
        <f t="array" aca="1" ref="H57" ca="1">SUBSTITUTE(SUBSTITUTE(_xlfn.TEXTJOIN("",TRUE,IF(ISERR(MID(C57,ROW(INDIRECT("1:100")),1)+0),MID(C57,ROW(INDIRECT("1:100")),1),"")),")",""),"(","")</f>
        <v>Other goods and services</v>
      </c>
      <c r="J57">
        <f t="shared" si="9"/>
        <v>2019</v>
      </c>
      <c r="K57">
        <f t="shared" si="3"/>
        <v>7</v>
      </c>
      <c r="L57" s="3">
        <f t="shared" si="6"/>
        <v>43647</v>
      </c>
      <c r="M57" s="4">
        <f t="array" aca="1" ref="M57" ca="1">INDEX($F:$F,MATCH(1,($J57=$A:$A)*($K57=$B:$B)*(M$1=$H:$H),0))</f>
        <v>0.254</v>
      </c>
      <c r="N57" s="4">
        <f t="array" aca="1" ref="N57" ca="1">INDEX($F:$F,MATCH(1,($J57=$A:$A)*($K57=$B:$B)*(N$1=$H:$H),0))</f>
        <v>-5.0999999999999997E-2</v>
      </c>
      <c r="O57" s="4">
        <f t="array" aca="1" ref="O57" ca="1">INDEX($F:$F,MATCH(1,($J57=$A:$A)*($K57=$B:$B)*(O$1=$H:$H),0))</f>
        <v>1.2609999999999999</v>
      </c>
      <c r="P57" s="4">
        <f t="array" aca="1" ref="P57" ca="1">INDEX($F:$F,MATCH(1,($J57=$A:$A)*($K57=$B:$B)*(P$1=$H:$H),0))</f>
        <v>0.04</v>
      </c>
      <c r="Q57" s="4">
        <f t="array" aca="1" ref="Q57" ca="1">INDEX($F:$F,MATCH(1,($J57=$A:$A)*($K57=$B:$B)*(Q$1=$H:$H),0))</f>
        <v>4.1000000000000002E-2</v>
      </c>
      <c r="R57" s="4">
        <f t="array" aca="1" ref="R57" ca="1">INDEX($F:$F,MATCH(1,($J57=$A:$A)*($K57=$B:$B)*(R$1=$H:$H),0))</f>
        <v>0.222</v>
      </c>
      <c r="S57" s="4">
        <f t="array" aca="1" ref="S57" ca="1">INDEX($F:$F,MATCH(1,($J57=$A:$A)*($K57=$B:$B)*(S$1=$H:$H),0))</f>
        <v>6.0999999999999999E-2</v>
      </c>
      <c r="T57">
        <f t="shared" ca="1" si="7"/>
        <v>1.8279999999999998</v>
      </c>
      <c r="U57" s="4" cm="1">
        <f t="array" aca="1" ref="U57" ca="1">INDEX($F:$F,MATCH(1,($J57=$A:$A)*($K57=$B:$B)*(U$1=$H:$H),0))</f>
        <v>0</v>
      </c>
    </row>
    <row r="58" spans="1:21" x14ac:dyDescent="0.25">
      <c r="A58">
        <v>2015</v>
      </c>
      <c r="B58">
        <v>2</v>
      </c>
      <c r="C58" t="s">
        <v>14</v>
      </c>
      <c r="D58">
        <v>100</v>
      </c>
      <c r="E58">
        <v>0</v>
      </c>
      <c r="H58" s="4" t="str">
        <f t="array" aca="1" ref="H58" ca="1">SUBSTITUTE(SUBSTITUTE(_xlfn.TEXTJOIN("",TRUE,IF(ISERR(MID(C58,ROW(INDIRECT("1:100")),1)+0),MID(C58,ROW(INDIRECT("1:100")),1),"")),")",""),"(","")</f>
        <v>All items</v>
      </c>
      <c r="J58">
        <f t="shared" si="9"/>
        <v>2019</v>
      </c>
      <c r="K58">
        <f t="shared" si="3"/>
        <v>8</v>
      </c>
      <c r="L58" s="3">
        <f t="shared" si="6"/>
        <v>43678</v>
      </c>
      <c r="M58" s="4">
        <f t="array" aca="1" ref="M58" ca="1">INDEX($F:$F,MATCH(1,($J58=$A:$A)*($K58=$B:$B)*(M$1=$H:$H),0))</f>
        <v>0.245</v>
      </c>
      <c r="N58" s="4">
        <f t="array" aca="1" ref="N58" ca="1">INDEX($F:$F,MATCH(1,($J58=$A:$A)*($K58=$B:$B)*(N$1=$H:$H),0))</f>
        <v>-0.191</v>
      </c>
      <c r="O58" s="4">
        <f t="array" aca="1" ref="O58" ca="1">INDEX($F:$F,MATCH(1,($J58=$A:$A)*($K58=$B:$B)*(O$1=$H:$H),0))</f>
        <v>1.1870000000000001</v>
      </c>
      <c r="P58" s="4">
        <f t="array" aca="1" ref="P58" ca="1">INDEX($F:$F,MATCH(1,($J58=$A:$A)*($K58=$B:$B)*(P$1=$H:$H),0))</f>
        <v>3.9E-2</v>
      </c>
      <c r="Q58" s="4">
        <f t="array" aca="1" ref="Q58" ca="1">INDEX($F:$F,MATCH(1,($J58=$A:$A)*($K58=$B:$B)*(Q$1=$H:$H),0))</f>
        <v>7.0000000000000007E-2</v>
      </c>
      <c r="R58" s="4">
        <f t="array" aca="1" ref="R58" ca="1">INDEX($F:$F,MATCH(1,($J58=$A:$A)*($K58=$B:$B)*(R$1=$H:$H),0))</f>
        <v>0.29699999999999999</v>
      </c>
      <c r="S58" s="4">
        <f t="array" aca="1" ref="S58" ca="1">INDEX($F:$F,MATCH(1,($J58=$A:$A)*($K58=$B:$B)*(S$1=$H:$H),0))</f>
        <v>7.2999999999999995E-2</v>
      </c>
      <c r="T58">
        <f t="shared" ca="1" si="7"/>
        <v>1.72</v>
      </c>
      <c r="U58" s="4" cm="1">
        <f t="array" aca="1" ref="U58" ca="1">INDEX($F:$F,MATCH(1,($J58=$A:$A)*($K58=$B:$B)*(U$1=$H:$H),0))</f>
        <v>0</v>
      </c>
    </row>
    <row r="59" spans="1:21" x14ac:dyDescent="0.25">
      <c r="A59">
        <v>2015</v>
      </c>
      <c r="B59">
        <v>2</v>
      </c>
      <c r="C59" t="s">
        <v>15</v>
      </c>
      <c r="D59">
        <v>14.356999999999999</v>
      </c>
      <c r="E59">
        <v>3</v>
      </c>
      <c r="F59">
        <v>0.41</v>
      </c>
      <c r="H59" s="4" t="str">
        <f t="array" aca="1" ref="H59" ca="1">SUBSTITUTE(SUBSTITUTE(_xlfn.TEXTJOIN("",TRUE,IF(ISERR(MID(C59,ROW(INDIRECT("1:100")),1)+0),MID(C59,ROW(INDIRECT("1:100")),1),"")),")",""),"(","")</f>
        <v>Food</v>
      </c>
      <c r="J59">
        <f t="shared" si="9"/>
        <v>2019</v>
      </c>
      <c r="K59">
        <f t="shared" ref="K59:K68" si="10">+K49</f>
        <v>11</v>
      </c>
      <c r="L59" s="3">
        <f t="shared" si="6"/>
        <v>43770</v>
      </c>
      <c r="M59" s="4">
        <f t="array" aca="1" ref="M59" ca="1">INDEX($F:$F,MATCH(1,($J59=$A:$A)*($K59=$B:$B)*(M$1=$H:$H),0))</f>
        <v>0.27</v>
      </c>
      <c r="N59" s="4">
        <f t="array" aca="1" ref="N59" ca="1">INDEX($F:$F,MATCH(1,($J59=$A:$A)*($K59=$B:$B)*(N$1=$H:$H),0))</f>
        <v>-1.2999999999999999E-2</v>
      </c>
      <c r="O59" s="4">
        <f t="array" aca="1" ref="O59" ca="1">INDEX($F:$F,MATCH(1,($J59=$A:$A)*($K59=$B:$B)*(O$1=$H:$H),0))</f>
        <v>1.1990000000000001</v>
      </c>
      <c r="P59" s="4">
        <f t="array" aca="1" ref="P59" ca="1">INDEX($F:$F,MATCH(1,($J59=$A:$A)*($K59=$B:$B)*(P$1=$H:$H),0))</f>
        <v>9.2999999999999999E-2</v>
      </c>
      <c r="Q59" s="4">
        <f t="array" aca="1" ref="Q59" ca="1">INDEX($F:$F,MATCH(1,($J59=$A:$A)*($K59=$B:$B)*(Q$1=$H:$H),0))</f>
        <v>0.106</v>
      </c>
      <c r="R59" s="4">
        <f t="array" aca="1" ref="R59" ca="1">INDEX($F:$F,MATCH(1,($J59=$A:$A)*($K59=$B:$B)*(R$1=$H:$H),0))</f>
        <v>0.36699999999999999</v>
      </c>
      <c r="S59" s="4">
        <f t="array" aca="1" ref="S59" ca="1">INDEX($F:$F,MATCH(1,($J59=$A:$A)*($K59=$B:$B)*(S$1=$H:$H),0))</f>
        <v>7.6999999999999999E-2</v>
      </c>
      <c r="T59">
        <f t="shared" ca="1" si="7"/>
        <v>2.0990000000000002</v>
      </c>
      <c r="U59" s="4" cm="1">
        <f t="array" aca="1" ref="U59" ca="1">INDEX($F:$F,MATCH(1,($J59=$A:$A)*($K59=$B:$B)*(U$1=$H:$H),0))</f>
        <v>0</v>
      </c>
    </row>
    <row r="60" spans="1:21" x14ac:dyDescent="0.25">
      <c r="A60">
        <v>2015</v>
      </c>
      <c r="B60">
        <v>2</v>
      </c>
      <c r="C60" t="s">
        <v>16</v>
      </c>
      <c r="D60">
        <v>7.4080000000000004</v>
      </c>
      <c r="E60">
        <v>-18.8</v>
      </c>
      <c r="F60">
        <v>-1.74</v>
      </c>
      <c r="H60" s="4" t="str">
        <f t="array" aca="1" ref="H60" ca="1">SUBSTITUTE(SUBSTITUTE(_xlfn.TEXTJOIN("",TRUE,IF(ISERR(MID(C60,ROW(INDIRECT("1:100")),1)+0),MID(C60,ROW(INDIRECT("1:100")),1),"")),")",""),"(","")</f>
        <v>Energy</v>
      </c>
      <c r="J60">
        <f t="shared" si="9"/>
        <v>2019</v>
      </c>
      <c r="K60">
        <f t="shared" si="10"/>
        <v>12</v>
      </c>
      <c r="L60" s="3">
        <f t="shared" si="6"/>
        <v>43800</v>
      </c>
      <c r="M60" s="4">
        <f t="array" aca="1" ref="M60" ca="1">INDEX($F:$F,MATCH(1,($J60=$A:$A)*($K60=$B:$B)*(M$1=$H:$H),0))</f>
        <v>0.246</v>
      </c>
      <c r="N60" s="4">
        <f t="array" aca="1" ref="N60" ca="1">INDEX($F:$F,MATCH(1,($J60=$A:$A)*($K60=$B:$B)*(N$1=$H:$H),0))</f>
        <v>0.315</v>
      </c>
      <c r="O60" s="4">
        <f t="array" aca="1" ref="O60" ca="1">INDEX($F:$F,MATCH(1,($J60=$A:$A)*($K60=$B:$B)*(O$1=$H:$H),0))</f>
        <v>1.1100000000000001</v>
      </c>
      <c r="P60" s="4">
        <f t="array" aca="1" ref="P60" ca="1">INDEX($F:$F,MATCH(1,($J60=$A:$A)*($K60=$B:$B)*(P$1=$H:$H),0))</f>
        <v>0.09</v>
      </c>
      <c r="Q60" s="4">
        <f t="array" aca="1" ref="Q60" ca="1">INDEX($F:$F,MATCH(1,($J60=$A:$A)*($K60=$B:$B)*(Q$1=$H:$H),0))</f>
        <v>8.7999999999999995E-2</v>
      </c>
      <c r="R60" s="4">
        <f t="array" aca="1" ref="R60" ca="1">INDEX($F:$F,MATCH(1,($J60=$A:$A)*($K60=$B:$B)*(R$1=$H:$H),0))</f>
        <v>0.39700000000000002</v>
      </c>
      <c r="S60" s="4">
        <f t="array" aca="1" ref="S60" ca="1">INDEX($F:$F,MATCH(1,($J60=$A:$A)*($K60=$B:$B)*(S$1=$H:$H),0))</f>
        <v>7.4999999999999997E-2</v>
      </c>
      <c r="T60">
        <f t="shared" ca="1" si="7"/>
        <v>2.3210000000000006</v>
      </c>
      <c r="U60" s="4" cm="1">
        <f t="array" aca="1" ref="U60" ca="1">INDEX($F:$F,MATCH(1,($J60=$A:$A)*($K60=$B:$B)*(U$1=$H:$H),0))</f>
        <v>0</v>
      </c>
    </row>
    <row r="61" spans="1:21" x14ac:dyDescent="0.25">
      <c r="A61">
        <v>2015</v>
      </c>
      <c r="B61">
        <v>2</v>
      </c>
      <c r="C61" t="s">
        <v>17</v>
      </c>
      <c r="D61">
        <v>78.234999999999999</v>
      </c>
      <c r="E61">
        <v>1.7</v>
      </c>
      <c r="F61">
        <v>1.304</v>
      </c>
      <c r="H61" s="4" t="str">
        <f t="array" aca="1" ref="H61" ca="1">SUBSTITUTE(SUBSTITUTE(_xlfn.TEXTJOIN("",TRUE,IF(ISERR(MID(C61,ROW(INDIRECT("1:100")),1)+0),MID(C61,ROW(INDIRECT("1:100")),1),"")),")",""),"(","")</f>
        <v>All items less food and energy</v>
      </c>
      <c r="J61">
        <f>+J51+1</f>
        <v>2020</v>
      </c>
      <c r="K61">
        <f t="shared" si="10"/>
        <v>1</v>
      </c>
      <c r="L61" s="3">
        <f t="shared" si="6"/>
        <v>43831</v>
      </c>
      <c r="M61" s="4">
        <f t="array" aca="1" ref="M61" ca="1">INDEX($F:$F,MATCH(1,($J61=$A:$A)*($K61=$B:$B)*(M$1=$H:$H),0))</f>
        <v>0.252</v>
      </c>
      <c r="N61" s="4">
        <f t="array" aca="1" ref="N61" ca="1">INDEX($F:$F,MATCH(1,($J61=$A:$A)*($K61=$B:$B)*(N$1=$H:$H),0))</f>
        <v>0.45600000000000002</v>
      </c>
      <c r="O61" s="4">
        <f t="array" aca="1" ref="O61" ca="1">INDEX($F:$F,MATCH(1,($J61=$A:$A)*($K61=$B:$B)*(O$1=$H:$H),0))</f>
        <v>1.157</v>
      </c>
      <c r="P61" s="4">
        <f t="array" aca="1" ref="P61" ca="1">INDEX($F:$F,MATCH(1,($J61=$A:$A)*($K61=$B:$B)*(P$1=$H:$H),0))</f>
        <v>0.1</v>
      </c>
      <c r="Q61" s="4">
        <f t="array" aca="1" ref="Q61" ca="1">INDEX($F:$F,MATCH(1,($J61=$A:$A)*($K61=$B:$B)*(Q$1=$H:$H),0))</f>
        <v>8.2000000000000003E-2</v>
      </c>
      <c r="R61" s="4">
        <f t="array" aca="1" ref="R61" ca="1">INDEX($F:$F,MATCH(1,($J61=$A:$A)*($K61=$B:$B)*(R$1=$H:$H),0))</f>
        <v>0.39</v>
      </c>
      <c r="S61" s="4">
        <f t="array" aca="1" ref="S61" ca="1">INDEX($F:$F,MATCH(1,($J61=$A:$A)*($K61=$B:$B)*(S$1=$H:$H),0))</f>
        <v>8.7999999999999995E-2</v>
      </c>
      <c r="T61">
        <f t="shared" ca="1" si="7"/>
        <v>2.5250000000000004</v>
      </c>
      <c r="U61" s="4" cm="1">
        <f t="array" aca="1" ref="U61" ca="1">INDEX($F:$F,MATCH(1,($J61=$A:$A)*($K61=$B:$B)*(U$1=$H:$H),0))</f>
        <v>0</v>
      </c>
    </row>
    <row r="62" spans="1:21" x14ac:dyDescent="0.25">
      <c r="A62">
        <v>2015</v>
      </c>
      <c r="B62">
        <v>2</v>
      </c>
      <c r="C62" t="s">
        <v>18</v>
      </c>
      <c r="H62" s="4" t="str">
        <f t="array" aca="1" ref="H62" ca="1">SUBSTITUTE(SUBSTITUTE(_xlfn.TEXTJOIN("",TRUE,IF(ISERR(MID(C62,ROW(INDIRECT("1:100")),1)+0),MID(C62,ROW(INDIRECT("1:100")),1),"")),")",""),"(","")</f>
        <v>Special aggregate indexes</v>
      </c>
      <c r="J62">
        <f t="shared" ref="J62:J72" si="11">+J61</f>
        <v>2020</v>
      </c>
      <c r="K62">
        <f t="shared" si="10"/>
        <v>2</v>
      </c>
      <c r="L62" s="3">
        <f t="shared" si="6"/>
        <v>43862</v>
      </c>
      <c r="M62" s="4">
        <f t="array" aca="1" ref="M62" ca="1">INDEX($F:$F,MATCH(1,($J62=$A:$A)*($K62=$B:$B)*(M$1=$H:$H),0))</f>
        <v>0.255</v>
      </c>
      <c r="N62" s="4">
        <f t="array" aca="1" ref="N62" ca="1">INDEX($F:$F,MATCH(1,($J62=$A:$A)*($K62=$B:$B)*(N$1=$H:$H),0))</f>
        <v>0.28299999999999997</v>
      </c>
      <c r="O62" s="4">
        <f t="array" aca="1" ref="O62" ca="1">INDEX($F:$F,MATCH(1,($J62=$A:$A)*($K62=$B:$B)*(O$1=$H:$H),0))</f>
        <v>1.157</v>
      </c>
      <c r="P62" s="4">
        <f t="array" aca="1" ref="P62" ca="1">INDEX($F:$F,MATCH(1,($J62=$A:$A)*($K62=$B:$B)*(P$1=$H:$H),0))</f>
        <v>0.10100000000000001</v>
      </c>
      <c r="Q62" s="4">
        <f t="array" aca="1" ref="Q62" ca="1">INDEX($F:$F,MATCH(1,($J62=$A:$A)*($K62=$B:$B)*(Q$1=$H:$H),0))</f>
        <v>8.4000000000000005E-2</v>
      </c>
      <c r="R62" s="4">
        <f t="array" aca="1" ref="R62" ca="1">INDEX($F:$F,MATCH(1,($J62=$A:$A)*($K62=$B:$B)*(R$1=$H:$H),0))</f>
        <v>0.40100000000000002</v>
      </c>
      <c r="S62" s="4">
        <f t="array" aca="1" ref="S62" ca="1">INDEX($F:$F,MATCH(1,($J62=$A:$A)*($K62=$B:$B)*(S$1=$H:$H),0))</f>
        <v>8.5000000000000006E-2</v>
      </c>
      <c r="T62">
        <f t="shared" ca="1" si="7"/>
        <v>2.3660000000000001</v>
      </c>
      <c r="U62" s="4" cm="1">
        <f t="array" aca="1" ref="U62" ca="1">INDEX($F:$F,MATCH(1,($J62=$A:$A)*($K62=$B:$B)*(U$1=$H:$H),0))</f>
        <v>0</v>
      </c>
    </row>
    <row r="63" spans="1:21" x14ac:dyDescent="0.25">
      <c r="A63">
        <v>2015</v>
      </c>
      <c r="B63">
        <v>2</v>
      </c>
      <c r="C63" t="s">
        <v>19</v>
      </c>
      <c r="D63">
        <v>85.643000000000001</v>
      </c>
      <c r="E63">
        <v>-0.5</v>
      </c>
      <c r="F63">
        <v>-0.435</v>
      </c>
      <c r="H63" s="4" t="str">
        <f t="array" aca="1" ref="H63" ca="1">SUBSTITUTE(SUBSTITUTE(_xlfn.TEXTJOIN("",TRUE,IF(ISERR(MID(C63,ROW(INDIRECT("1:100")),1)+0),MID(C63,ROW(INDIRECT("1:100")),1),"")),")",""),"(","")</f>
        <v>All items less food</v>
      </c>
      <c r="J63">
        <f t="shared" si="11"/>
        <v>2020</v>
      </c>
      <c r="K63">
        <f t="shared" si="10"/>
        <v>3</v>
      </c>
      <c r="L63" s="3">
        <f t="shared" si="6"/>
        <v>43891</v>
      </c>
      <c r="M63" s="4">
        <f t="array" aca="1" ref="M63" ca="1">INDEX($F:$F,MATCH(1,($J63=$A:$A)*($K63=$B:$B)*(M$1=$H:$H),0))</f>
        <v>0.27800000000000002</v>
      </c>
      <c r="N63" s="4">
        <f t="array" aca="1" ref="N63" ca="1">INDEX($F:$F,MATCH(1,($J63=$A:$A)*($K63=$B:$B)*(N$1=$H:$H),0))</f>
        <v>-0.38100000000000001</v>
      </c>
      <c r="O63" s="4">
        <f t="array" aca="1" ref="O63" ca="1">INDEX($F:$F,MATCH(1,($J63=$A:$A)*($K63=$B:$B)*(O$1=$H:$H),0))</f>
        <v>1.0169999999999999</v>
      </c>
      <c r="P63" s="4">
        <f t="array" aca="1" ref="P63" ca="1">INDEX($F:$F,MATCH(1,($J63=$A:$A)*($K63=$B:$B)*(P$1=$H:$H),0))</f>
        <v>0.10100000000000001</v>
      </c>
      <c r="Q63" s="4">
        <f t="array" aca="1" ref="Q63" ca="1">INDEX($F:$F,MATCH(1,($J63=$A:$A)*($K63=$B:$B)*(Q$1=$H:$H),0))</f>
        <v>7.2999999999999995E-2</v>
      </c>
      <c r="R63" s="4">
        <f t="array" aca="1" ref="R63" ca="1">INDEX($F:$F,MATCH(1,($J63=$A:$A)*($K63=$B:$B)*(R$1=$H:$H),0))</f>
        <v>0.41</v>
      </c>
      <c r="S63" s="4">
        <f t="array" aca="1" ref="S63" ca="1">INDEX($F:$F,MATCH(1,($J63=$A:$A)*($K63=$B:$B)*(S$1=$H:$H),0))</f>
        <v>9.1999999999999998E-2</v>
      </c>
      <c r="T63">
        <f t="shared" ca="1" si="7"/>
        <v>1.5899999999999999</v>
      </c>
      <c r="U63" s="4" cm="1">
        <f t="array" aca="1" ref="U63" ca="1">INDEX($F:$F,MATCH(1,($J63=$A:$A)*($K63=$B:$B)*(U$1=$H:$H),0))</f>
        <v>0</v>
      </c>
    </row>
    <row r="64" spans="1:21" x14ac:dyDescent="0.25">
      <c r="A64">
        <v>2015</v>
      </c>
      <c r="B64">
        <v>2</v>
      </c>
      <c r="C64" t="s">
        <v>20</v>
      </c>
      <c r="D64">
        <v>67.015000000000001</v>
      </c>
      <c r="E64">
        <v>-1.4</v>
      </c>
      <c r="F64">
        <v>-0.97899999999999998</v>
      </c>
      <c r="H64" s="4" t="str">
        <f t="array" aca="1" ref="H64" ca="1">SUBSTITUTE(SUBSTITUTE(_xlfn.TEXTJOIN("",TRUE,IF(ISERR(MID(C64,ROW(INDIRECT("1:100")),1)+0),MID(C64,ROW(INDIRECT("1:100")),1),"")),")",""),"(","")</f>
        <v>All items less shelter</v>
      </c>
      <c r="J64">
        <f t="shared" si="11"/>
        <v>2020</v>
      </c>
      <c r="K64">
        <f t="shared" si="10"/>
        <v>4</v>
      </c>
      <c r="L64" s="3">
        <f t="shared" si="6"/>
        <v>43922</v>
      </c>
      <c r="M64" s="4">
        <f t="array" aca="1" ref="M64" ca="1">INDEX($F:$F,MATCH(1,($J64=$A:$A)*($K64=$B:$B)*(M$1=$H:$H),0))</f>
        <v>0.497</v>
      </c>
      <c r="N64" s="4">
        <f t="array" aca="1" ref="N64" ca="1">INDEX($F:$F,MATCH(1,($J64=$A:$A)*($K64=$B:$B)*(N$1=$H:$H),0))</f>
        <v>-1.5640000000000001</v>
      </c>
      <c r="O64" s="4">
        <f t="array" aca="1" ref="O64" ca="1">INDEX($F:$F,MATCH(1,($J64=$A:$A)*($K64=$B:$B)*(O$1=$H:$H),0))</f>
        <v>0.90800000000000003</v>
      </c>
      <c r="P64" s="4">
        <f t="array" aca="1" ref="P64" ca="1">INDEX($F:$F,MATCH(1,($J64=$A:$A)*($K64=$B:$B)*(P$1=$H:$H),0))</f>
        <v>0.105</v>
      </c>
      <c r="Q64" s="4">
        <f t="array" aca="1" ref="Q64" ca="1">INDEX($F:$F,MATCH(1,($J64=$A:$A)*($K64=$B:$B)*(Q$1=$H:$H),0))</f>
        <v>5.2999999999999999E-2</v>
      </c>
      <c r="R64" s="4">
        <f t="array" aca="1" ref="R64" ca="1">INDEX($F:$F,MATCH(1,($J64=$A:$A)*($K64=$B:$B)*(R$1=$H:$H),0))</f>
        <v>0.41499999999999998</v>
      </c>
      <c r="S64" s="4">
        <f t="array" aca="1" ref="S64" ca="1">INDEX($F:$F,MATCH(1,($J64=$A:$A)*($K64=$B:$B)*(S$1=$H:$H),0))</f>
        <v>8.7999999999999995E-2</v>
      </c>
      <c r="T64">
        <f t="shared" ca="1" si="7"/>
        <v>0.50199999999999978</v>
      </c>
      <c r="U64" s="4" cm="1">
        <f t="array" aca="1" ref="U64" ca="1">INDEX($F:$F,MATCH(1,($J64=$A:$A)*($K64=$B:$B)*(U$1=$H:$H),0))</f>
        <v>0</v>
      </c>
    </row>
    <row r="65" spans="1:21" x14ac:dyDescent="0.25">
      <c r="A65">
        <v>2015</v>
      </c>
      <c r="B65">
        <v>2</v>
      </c>
      <c r="C65" t="s">
        <v>21</v>
      </c>
      <c r="D65">
        <v>52.658000000000001</v>
      </c>
      <c r="E65">
        <v>-2.6</v>
      </c>
      <c r="F65">
        <v>-1.389</v>
      </c>
      <c r="H65" s="4" t="str">
        <f t="array" aca="1" ref="H65" ca="1">SUBSTITUTE(SUBSTITUTE(_xlfn.TEXTJOIN("",TRUE,IF(ISERR(MID(C65,ROW(INDIRECT("1:100")),1)+0),MID(C65,ROW(INDIRECT("1:100")),1),"")),")",""),"(","")</f>
        <v>All items less food and shelter</v>
      </c>
      <c r="J65">
        <f t="shared" si="11"/>
        <v>2020</v>
      </c>
      <c r="K65">
        <f t="shared" si="10"/>
        <v>5</v>
      </c>
      <c r="L65" s="3">
        <f t="shared" si="6"/>
        <v>43952</v>
      </c>
      <c r="M65" s="4">
        <f t="array" aca="1" ref="M65" ca="1">INDEX($F:$F,MATCH(1,($J65=$A:$A)*($K65=$B:$B)*(M$1=$H:$H),0))</f>
        <v>0.56899999999999995</v>
      </c>
      <c r="N65" s="4">
        <f t="array" aca="1" ref="N65" ca="1">INDEX($F:$F,MATCH(1,($J65=$A:$A)*($K65=$B:$B)*(N$1=$H:$H),0))</f>
        <v>-1.8340000000000001</v>
      </c>
      <c r="O65" s="4">
        <f t="array" aca="1" ref="O65" ca="1">INDEX($F:$F,MATCH(1,($J65=$A:$A)*($K65=$B:$B)*(O$1=$H:$H),0))</f>
        <v>0.89800000000000002</v>
      </c>
      <c r="P65" s="4">
        <f t="array" aca="1" ref="P65" ca="1">INDEX($F:$F,MATCH(1,($J65=$A:$A)*($K65=$B:$B)*(P$1=$H:$H),0))</f>
        <v>0.10199999999999999</v>
      </c>
      <c r="Q65" s="4">
        <f t="array" aca="1" ref="Q65" ca="1">INDEX($F:$F,MATCH(1,($J65=$A:$A)*($K65=$B:$B)*(Q$1=$H:$H),0))</f>
        <v>0.12</v>
      </c>
      <c r="R65" s="4">
        <f t="array" aca="1" ref="R65" ca="1">INDEX($F:$F,MATCH(1,($J65=$A:$A)*($K65=$B:$B)*(R$1=$H:$H),0))</f>
        <v>0.42299999999999999</v>
      </c>
      <c r="S65" s="4">
        <f t="array" aca="1" ref="S65" ca="1">INDEX($F:$F,MATCH(1,($J65=$A:$A)*($K65=$B:$B)*(S$1=$H:$H),0))</f>
        <v>7.5999999999999998E-2</v>
      </c>
      <c r="T65">
        <f t="shared" ca="1" si="7"/>
        <v>0.35399999999999987</v>
      </c>
      <c r="U65" s="4" cm="1">
        <f t="array" aca="1" ref="U65" ca="1">INDEX($F:$F,MATCH(1,($J65=$A:$A)*($K65=$B:$B)*(U$1=$H:$H),0))</f>
        <v>0</v>
      </c>
    </row>
    <row r="66" spans="1:21" x14ac:dyDescent="0.25">
      <c r="A66">
        <v>2015</v>
      </c>
      <c r="B66">
        <v>2</v>
      </c>
      <c r="C66" t="s">
        <v>22</v>
      </c>
      <c r="D66">
        <v>45.25</v>
      </c>
      <c r="E66">
        <v>0.8</v>
      </c>
      <c r="F66">
        <v>0.35099999999999998</v>
      </c>
      <c r="H66" s="4" t="str">
        <f t="array" aca="1" ref="H66" ca="1">SUBSTITUTE(SUBSTITUTE(_xlfn.TEXTJOIN("",TRUE,IF(ISERR(MID(C66,ROW(INDIRECT("1:100")),1)+0),MID(C66,ROW(INDIRECT("1:100")),1),"")),")",""),"(","")</f>
        <v>All items less food, shelter, and energy</v>
      </c>
      <c r="J66">
        <f t="shared" si="11"/>
        <v>2020</v>
      </c>
      <c r="K66">
        <f t="shared" si="10"/>
        <v>6</v>
      </c>
      <c r="L66" s="3">
        <f t="shared" ref="L66:L97" si="12">DATE(J66,K66,1)</f>
        <v>43983</v>
      </c>
      <c r="M66" s="4">
        <f t="array" aca="1" ref="M66" ca="1">INDEX($F:$F,MATCH(1,($J66=$A:$A)*($K66=$B:$B)*(M$1=$H:$H),0))</f>
        <v>0.64200000000000002</v>
      </c>
      <c r="N66" s="4">
        <f t="array" aca="1" ref="N66" ca="1">INDEX($F:$F,MATCH(1,($J66=$A:$A)*($K66=$B:$B)*(N$1=$H:$H),0))</f>
        <v>-1.335</v>
      </c>
      <c r="O66" s="4">
        <f t="array" aca="1" ref="O66" ca="1">INDEX($F:$F,MATCH(1,($J66=$A:$A)*($K66=$B:$B)*(O$1=$H:$H),0))</f>
        <v>0.84699999999999998</v>
      </c>
      <c r="P66" s="4">
        <f t="array" aca="1" ref="P66" ca="1">INDEX($F:$F,MATCH(1,($J66=$A:$A)*($K66=$B:$B)*(P$1=$H:$H),0))</f>
        <v>9.0999999999999998E-2</v>
      </c>
      <c r="Q66" s="4">
        <f t="array" aca="1" ref="Q66" ca="1">INDEX($F:$F,MATCH(1,($J66=$A:$A)*($K66=$B:$B)*(Q$1=$H:$H),0))</f>
        <v>8.7999999999999995E-2</v>
      </c>
      <c r="R66" s="4">
        <f t="array" aca="1" ref="R66" ca="1">INDEX($F:$F,MATCH(1,($J66=$A:$A)*($K66=$B:$B)*(R$1=$H:$H),0))</f>
        <v>0.439</v>
      </c>
      <c r="S66" s="4">
        <f t="array" aca="1" ref="S66" ca="1">INDEX($F:$F,MATCH(1,($J66=$A:$A)*($K66=$B:$B)*(S$1=$H:$H),0))</f>
        <v>8.8999999999999996E-2</v>
      </c>
      <c r="T66">
        <f t="shared" ref="T66:T97" ca="1" si="13">SUM(M66:S66)</f>
        <v>0.86099999999999999</v>
      </c>
      <c r="U66" s="4" cm="1">
        <f t="array" aca="1" ref="U66" ca="1">INDEX($F:$F,MATCH(1,($J66=$A:$A)*($K66=$B:$B)*(U$1=$H:$H),0))</f>
        <v>0</v>
      </c>
    </row>
    <row r="67" spans="1:21" x14ac:dyDescent="0.25">
      <c r="A67">
        <v>2015</v>
      </c>
      <c r="B67">
        <v>2</v>
      </c>
      <c r="C67" t="s">
        <v>23</v>
      </c>
      <c r="D67">
        <v>43.656999999999996</v>
      </c>
      <c r="E67">
        <v>0.9</v>
      </c>
      <c r="F67">
        <v>0.39800000000000002</v>
      </c>
      <c r="H67" s="4" t="str">
        <f t="array" aca="1" ref="H67" ca="1">SUBSTITUTE(SUBSTITUTE(_xlfn.TEXTJOIN("",TRUE,IF(ISERR(MID(C67,ROW(INDIRECT("1:100")),1)+0),MID(C67,ROW(INDIRECT("1:100")),1),"")),")",""),"(","")</f>
        <v>All items less food, shelter, energy, and used cars and trucks</v>
      </c>
      <c r="J67">
        <f t="shared" si="11"/>
        <v>2020</v>
      </c>
      <c r="K67">
        <f t="shared" si="10"/>
        <v>7</v>
      </c>
      <c r="L67" s="3">
        <f t="shared" si="12"/>
        <v>44013</v>
      </c>
      <c r="M67" s="4">
        <f t="array" aca="1" ref="M67" ca="1">INDEX($F:$F,MATCH(1,($J67=$A:$A)*($K67=$B:$B)*(M$1=$H:$H),0))</f>
        <v>0.57499999999999996</v>
      </c>
      <c r="N67" s="4">
        <f t="array" aca="1" ref="N67" ca="1">INDEX($F:$F,MATCH(1,($J67=$A:$A)*($K67=$B:$B)*(N$1=$H:$H),0))</f>
        <v>-0.96899999999999997</v>
      </c>
      <c r="O67" s="4">
        <f t="array" aca="1" ref="O67" ca="1">INDEX($F:$F,MATCH(1,($J67=$A:$A)*($K67=$B:$B)*(O$1=$H:$H),0))</f>
        <v>0.84099999999999997</v>
      </c>
      <c r="P67" s="4">
        <f t="array" aca="1" ref="P67" ca="1">INDEX($F:$F,MATCH(1,($J67=$A:$A)*($K67=$B:$B)*(P$1=$H:$H),0))</f>
        <v>0.154</v>
      </c>
      <c r="Q67" s="4">
        <f t="array" aca="1" ref="Q67" ca="1">INDEX($F:$F,MATCH(1,($J67=$A:$A)*($K67=$B:$B)*(Q$1=$H:$H),0))</f>
        <v>5.3999999999999999E-2</v>
      </c>
      <c r="R67" s="4">
        <f t="array" aca="1" ref="R67" ca="1">INDEX($F:$F,MATCH(1,($J67=$A:$A)*($K67=$B:$B)*(R$1=$H:$H),0))</f>
        <v>0.435</v>
      </c>
      <c r="S67" s="4">
        <f t="array" aca="1" ref="S67" ca="1">INDEX($F:$F,MATCH(1,($J67=$A:$A)*($K67=$B:$B)*(S$1=$H:$H),0))</f>
        <v>8.3000000000000004E-2</v>
      </c>
      <c r="T67">
        <f t="shared" ca="1" si="13"/>
        <v>1.173</v>
      </c>
      <c r="U67" s="4" cm="1">
        <f t="array" aca="1" ref="U67" ca="1">INDEX($F:$F,MATCH(1,($J67=$A:$A)*($K67=$B:$B)*(U$1=$H:$H),0))</f>
        <v>0</v>
      </c>
    </row>
    <row r="68" spans="1:21" x14ac:dyDescent="0.25">
      <c r="A68">
        <v>2015</v>
      </c>
      <c r="B68">
        <v>2</v>
      </c>
      <c r="C68" t="s">
        <v>24</v>
      </c>
      <c r="D68">
        <v>92.225999999999999</v>
      </c>
      <c r="E68">
        <v>-0.2</v>
      </c>
      <c r="F68">
        <v>-0.20100000000000001</v>
      </c>
      <c r="H68" s="4" t="str">
        <f t="array" aca="1" ref="H68" ca="1">SUBSTITUTE(SUBSTITUTE(_xlfn.TEXTJOIN("",TRUE,IF(ISERR(MID(C68,ROW(INDIRECT("1:100")),1)+0),MID(C68,ROW(INDIRECT("1:100")),1),"")),")",""),"(","")</f>
        <v>All items less medical care</v>
      </c>
      <c r="J68">
        <f t="shared" si="11"/>
        <v>2020</v>
      </c>
      <c r="K68">
        <f t="shared" si="10"/>
        <v>8</v>
      </c>
      <c r="L68" s="3">
        <f t="shared" si="12"/>
        <v>44044</v>
      </c>
      <c r="M68" s="4">
        <f t="array" aca="1" ref="M68" ca="1">INDEX($F:$F,MATCH(1,($J68=$A:$A)*($K68=$B:$B)*(M$1=$H:$H),0))</f>
        <v>0.58199999999999996</v>
      </c>
      <c r="N68" s="4">
        <f t="array" aca="1" ref="N68" ca="1">INDEX($F:$F,MATCH(1,($J68=$A:$A)*($K68=$B:$B)*(N$1=$H:$H),0))</f>
        <v>-0.66500000000000004</v>
      </c>
      <c r="O68" s="4">
        <f t="array" aca="1" ref="O68" ca="1">INDEX($F:$F,MATCH(1,($J68=$A:$A)*($K68=$B:$B)*(O$1=$H:$H),0))</f>
        <v>0.88200000000000001</v>
      </c>
      <c r="P68" s="4">
        <f t="array" aca="1" ref="P68" ca="1">INDEX($F:$F,MATCH(1,($J68=$A:$A)*($K68=$B:$B)*(P$1=$H:$H),0))</f>
        <v>0.153</v>
      </c>
      <c r="Q68" s="4">
        <f t="array" aca="1" ref="Q68" ca="1">INDEX($F:$F,MATCH(1,($J68=$A:$A)*($K68=$B:$B)*(Q$1=$H:$H),0))</f>
        <v>7.5999999999999998E-2</v>
      </c>
      <c r="R68" s="4">
        <f t="array" aca="1" ref="R68" ca="1">INDEX($F:$F,MATCH(1,($J68=$A:$A)*($K68=$B:$B)*(R$1=$H:$H),0))</f>
        <v>0.38900000000000001</v>
      </c>
      <c r="S68" s="4">
        <f t="array" aca="1" ref="S68" ca="1">INDEX($F:$F,MATCH(1,($J68=$A:$A)*($K68=$B:$B)*(S$1=$H:$H),0))</f>
        <v>6.8000000000000005E-2</v>
      </c>
      <c r="T68">
        <f t="shared" ca="1" si="13"/>
        <v>1.4850000000000001</v>
      </c>
      <c r="U68" s="4" cm="1">
        <f t="array" aca="1" ref="U68" ca="1">INDEX($F:$F,MATCH(1,($J68=$A:$A)*($K68=$B:$B)*(U$1=$H:$H),0))</f>
        <v>0</v>
      </c>
    </row>
    <row r="69" spans="1:21" x14ac:dyDescent="0.25">
      <c r="A69">
        <v>2015</v>
      </c>
      <c r="B69">
        <v>2</v>
      </c>
      <c r="C69" t="s">
        <v>25</v>
      </c>
      <c r="D69">
        <v>92.591999999999999</v>
      </c>
      <c r="E69">
        <v>1.9</v>
      </c>
      <c r="F69">
        <v>1.714</v>
      </c>
      <c r="H69" s="4" t="str">
        <f t="array" aca="1" ref="H69" ca="1">SUBSTITUTE(SUBSTITUTE(_xlfn.TEXTJOIN("",TRUE,IF(ISERR(MID(C69,ROW(INDIRECT("1:100")),1)+0),MID(C69,ROW(INDIRECT("1:100")),1),"")),")",""),"(","")</f>
        <v>All items less energy</v>
      </c>
      <c r="J69">
        <f t="shared" si="11"/>
        <v>2020</v>
      </c>
      <c r="K69">
        <v>9</v>
      </c>
      <c r="L69" s="3">
        <f t="shared" si="12"/>
        <v>44075</v>
      </c>
      <c r="M69" s="4">
        <f t="array" aca="1" ref="M69" ca="1">INDEX($F:$F,MATCH(1,($J69=$A:$A)*($K69=$B:$B)*(M$1=$H:$H),0))</f>
        <v>0.55900000000000005</v>
      </c>
      <c r="N69" s="4">
        <f t="array" aca="1" ref="N69" ca="1">INDEX($F:$F,MATCH(1,($J69=$A:$A)*($K69=$B:$B)*(N$1=$H:$H),0))</f>
        <v>-0.504</v>
      </c>
      <c r="O69" s="4">
        <f t="array" aca="1" ref="O69" ca="1">INDEX($F:$F,MATCH(1,($J69=$A:$A)*($K69=$B:$B)*(O$1=$H:$H),0))</f>
        <v>0.83199999999999996</v>
      </c>
      <c r="P69" s="4">
        <f t="array" aca="1" ref="P69" ca="1">INDEX($F:$F,MATCH(1,($J69=$A:$A)*($K69=$B:$B)*(P$1=$H:$H),0))</f>
        <v>0.14399999999999999</v>
      </c>
      <c r="Q69" s="4">
        <f t="array" aca="1" ref="Q69" ca="1">INDEX($F:$F,MATCH(1,($J69=$A:$A)*($K69=$B:$B)*(Q$1=$H:$H),0))</f>
        <v>8.5999999999999993E-2</v>
      </c>
      <c r="R69" s="4">
        <f t="array" aca="1" ref="R69" ca="1">INDEX($F:$F,MATCH(1,($J69=$A:$A)*($K69=$B:$B)*(R$1=$H:$H),0))</f>
        <v>0.36599999999999999</v>
      </c>
      <c r="S69" s="4">
        <f t="array" aca="1" ref="S69" ca="1">INDEX($F:$F,MATCH(1,($J69=$A:$A)*($K69=$B:$B)*(S$1=$H:$H),0))</f>
        <v>7.1999999999999995E-2</v>
      </c>
      <c r="T69">
        <f t="shared" ca="1" si="13"/>
        <v>1.5550000000000002</v>
      </c>
      <c r="U69" s="4" cm="1">
        <f t="array" aca="1" ref="U69" ca="1">INDEX($F:$F,MATCH(1,($J69=$A:$A)*($K69=$B:$B)*(U$1=$H:$H),0))</f>
        <v>0</v>
      </c>
    </row>
    <row r="70" spans="1:21" x14ac:dyDescent="0.25">
      <c r="A70">
        <v>2015</v>
      </c>
      <c r="B70">
        <v>2</v>
      </c>
      <c r="C70" t="s">
        <v>26</v>
      </c>
      <c r="D70">
        <v>37.357999999999997</v>
      </c>
      <c r="E70">
        <v>-3.8</v>
      </c>
      <c r="F70">
        <v>-1.4650000000000001</v>
      </c>
      <c r="H70" s="4" t="str">
        <f t="array" aca="1" ref="H70" ca="1">SUBSTITUTE(SUBSTITUTE(_xlfn.TEXTJOIN("",TRUE,IF(ISERR(MID(C70,ROW(INDIRECT("1:100")),1)+0),MID(C70,ROW(INDIRECT("1:100")),1),"")),")",""),"(","")</f>
        <v>Commodities</v>
      </c>
      <c r="J70">
        <f t="shared" si="11"/>
        <v>2020</v>
      </c>
      <c r="K70">
        <v>10</v>
      </c>
      <c r="L70" s="3">
        <f t="shared" si="12"/>
        <v>44105</v>
      </c>
      <c r="M70" s="4">
        <f t="array" aca="1" ref="M70" ca="1">INDEX($F:$F,MATCH(1,($J70=$A:$A)*($K70=$B:$B)*(M$1=$H:$H),0))</f>
        <v>0.56299999999999994</v>
      </c>
      <c r="N70" s="4">
        <f t="array" aca="1" ref="N70" ca="1">INDEX($F:$F,MATCH(1,($J70=$A:$A)*($K70=$B:$B)*(N$1=$H:$H),0))</f>
        <v>-0.56299999999999994</v>
      </c>
      <c r="O70" s="4">
        <f t="array" aca="1" ref="O70" ca="1">INDEX($F:$F,MATCH(1,($J70=$A:$A)*($K70=$B:$B)*(O$1=$H:$H),0))</f>
        <v>0.81899999999999995</v>
      </c>
      <c r="P70" s="4">
        <f t="array" aca="1" ref="P70" ca="1">INDEX($F:$F,MATCH(1,($J70=$A:$A)*($K70=$B:$B)*(P$1=$H:$H),0))</f>
        <v>0.14299999999999999</v>
      </c>
      <c r="Q70" s="4">
        <f t="array" aca="1" ref="Q70" ca="1">INDEX($F:$F,MATCH(1,($J70=$A:$A)*($K70=$B:$B)*(Q$1=$H:$H),0))</f>
        <v>7.5999999999999998E-2</v>
      </c>
      <c r="R70" s="4">
        <f t="array" aca="1" ref="R70" ca="1">INDEX($F:$F,MATCH(1,($J70=$A:$A)*($K70=$B:$B)*(R$1=$H:$H),0))</f>
        <v>0.253</v>
      </c>
      <c r="S70" s="4">
        <f t="array" aca="1" ref="S70" ca="1">INDEX($F:$F,MATCH(1,($J70=$A:$A)*($K70=$B:$B)*(S$1=$H:$H),0))</f>
        <v>0.06</v>
      </c>
      <c r="T70">
        <f t="shared" ca="1" si="13"/>
        <v>1.351</v>
      </c>
      <c r="U70" s="4" cm="1">
        <f t="array" aca="1" ref="U70" ca="1">INDEX($F:$F,MATCH(1,($J70=$A:$A)*($K70=$B:$B)*(U$1=$H:$H),0))</f>
        <v>0</v>
      </c>
    </row>
    <row r="71" spans="1:21" x14ac:dyDescent="0.25">
      <c r="A71">
        <v>2015</v>
      </c>
      <c r="B71">
        <v>2</v>
      </c>
      <c r="C71" t="s">
        <v>27</v>
      </c>
      <c r="D71">
        <v>62.642000000000003</v>
      </c>
      <c r="E71">
        <v>2.4</v>
      </c>
      <c r="F71">
        <v>1.44</v>
      </c>
      <c r="H71" s="4" t="str">
        <f t="array" aca="1" ref="H71" ca="1">SUBSTITUTE(SUBSTITUTE(_xlfn.TEXTJOIN("",TRUE,IF(ISERR(MID(C71,ROW(INDIRECT("1:100")),1)+0),MID(C71,ROW(INDIRECT("1:100")),1),"")),")",""),"(","")</f>
        <v>Services</v>
      </c>
      <c r="J71">
        <f t="shared" si="11"/>
        <v>2020</v>
      </c>
      <c r="K71">
        <f t="shared" ref="K71:K96" si="14">+K59</f>
        <v>11</v>
      </c>
      <c r="L71" s="3">
        <f t="shared" si="12"/>
        <v>44136</v>
      </c>
      <c r="M71" s="4">
        <f t="array" aca="1" ref="M71" ca="1">INDEX($F:$F,MATCH(1,($J71=$A:$A)*($K71=$B:$B)*(M$1=$H:$H),0))</f>
        <v>0.53800000000000003</v>
      </c>
      <c r="N71" s="4">
        <f t="array" aca="1" ref="N71" ca="1">INDEX($F:$F,MATCH(1,($J71=$A:$A)*($K71=$B:$B)*(N$1=$H:$H),0))</f>
        <v>-0.52600000000000002</v>
      </c>
      <c r="O71" s="4">
        <f t="array" aca="1" ref="O71" ca="1">INDEX($F:$F,MATCH(1,($J71=$A:$A)*($K71=$B:$B)*(O$1=$H:$H),0))</f>
        <v>0.84199999999999997</v>
      </c>
      <c r="P71" s="4">
        <f t="array" aca="1" ref="P71" ca="1">INDEX($F:$F,MATCH(1,($J71=$A:$A)*($K71=$B:$B)*(P$1=$H:$H),0))</f>
        <v>0.127</v>
      </c>
      <c r="Q71" s="4">
        <f t="array" aca="1" ref="Q71" ca="1">INDEX($F:$F,MATCH(1,($J71=$A:$A)*($K71=$B:$B)*(Q$1=$H:$H),0))</f>
        <v>7.8E-2</v>
      </c>
      <c r="R71" s="4">
        <f t="array" aca="1" ref="R71" ca="1">INDEX($F:$F,MATCH(1,($J71=$A:$A)*($K71=$B:$B)*(R$1=$H:$H),0))</f>
        <v>0.21299999999999999</v>
      </c>
      <c r="S71" s="4">
        <f t="array" aca="1" ref="S71" ca="1">INDEX($F:$F,MATCH(1,($J71=$A:$A)*($K71=$B:$B)*(S$1=$H:$H),0))</f>
        <v>5.3999999999999999E-2</v>
      </c>
      <c r="T71">
        <f t="shared" ca="1" si="13"/>
        <v>1.3260000000000001</v>
      </c>
      <c r="U71" s="4" cm="1">
        <f t="array" aca="1" ref="U71" ca="1">INDEX($F:$F,MATCH(1,($J71=$A:$A)*($K71=$B:$B)*(U$1=$H:$H),0))</f>
        <v>0</v>
      </c>
    </row>
    <row r="72" spans="1:21" x14ac:dyDescent="0.25">
      <c r="A72">
        <v>2015</v>
      </c>
      <c r="B72">
        <v>2</v>
      </c>
      <c r="C72" t="s">
        <v>28</v>
      </c>
      <c r="D72">
        <v>8.99</v>
      </c>
      <c r="E72">
        <v>-1.6</v>
      </c>
      <c r="F72">
        <v>-0.14699999999999999</v>
      </c>
      <c r="H72" s="4" t="str">
        <f t="array" aca="1" ref="H72" ca="1">SUBSTITUTE(SUBSTITUTE(_xlfn.TEXTJOIN("",TRUE,IF(ISERR(MID(C72,ROW(INDIRECT("1:100")),1)+0),MID(C72,ROW(INDIRECT("1:100")),1),"")),")",""),"(","")</f>
        <v>Durables</v>
      </c>
      <c r="J72">
        <f t="shared" si="11"/>
        <v>2020</v>
      </c>
      <c r="K72">
        <f t="shared" si="14"/>
        <v>12</v>
      </c>
      <c r="L72" s="3">
        <f t="shared" si="12"/>
        <v>44166</v>
      </c>
      <c r="M72" s="4">
        <f t="array" aca="1" ref="M72" ca="1">INDEX($F:$F,MATCH(1,($J72=$A:$A)*($K72=$B:$B)*(M$1=$H:$H),0))</f>
        <v>0.56899999999999995</v>
      </c>
      <c r="N72" s="4">
        <f t="array" aca="1" ref="N72" ca="1">INDEX($F:$F,MATCH(1,($J72=$A:$A)*($K72=$B:$B)*(N$1=$H:$H),0))</f>
        <v>-0.372</v>
      </c>
      <c r="O72" s="4">
        <f t="array" aca="1" ref="O72" ca="1">INDEX($F:$F,MATCH(1,($J72=$A:$A)*($K72=$B:$B)*(O$1=$H:$H),0))</f>
        <v>0.85499999999999998</v>
      </c>
      <c r="P72" s="4">
        <f t="array" aca="1" ref="P72" ca="1">INDEX($F:$F,MATCH(1,($J72=$A:$A)*($K72=$B:$B)*(P$1=$H:$H),0))</f>
        <v>0.13200000000000001</v>
      </c>
      <c r="Q72" s="4">
        <f t="array" aca="1" ref="Q72" ca="1">INDEX($F:$F,MATCH(1,($J72=$A:$A)*($K72=$B:$B)*(Q$1=$H:$H),0))</f>
        <v>5.5E-2</v>
      </c>
      <c r="R72" s="4">
        <f t="array" aca="1" ref="R72" ca="1">INDEX($F:$F,MATCH(1,($J72=$A:$A)*($K72=$B:$B)*(R$1=$H:$H),0))</f>
        <v>0.157</v>
      </c>
      <c r="S72" s="4">
        <f t="array" aca="1" ref="S72" ca="1">INDEX($F:$F,MATCH(1,($J72=$A:$A)*($K72=$B:$B)*(S$1=$H:$H),0))</f>
        <v>7.4999999999999997E-2</v>
      </c>
      <c r="T72">
        <f t="shared" ca="1" si="13"/>
        <v>1.4710000000000001</v>
      </c>
      <c r="U72" s="4" cm="1">
        <f t="array" aca="1" ref="U72" ca="1">INDEX($F:$F,MATCH(1,($J72=$A:$A)*($K72=$B:$B)*(U$1=$H:$H),0))</f>
        <v>0</v>
      </c>
    </row>
    <row r="73" spans="1:21" x14ac:dyDescent="0.25">
      <c r="A73">
        <v>2015</v>
      </c>
      <c r="B73">
        <v>2</v>
      </c>
      <c r="C73" t="s">
        <v>29</v>
      </c>
      <c r="D73">
        <v>28.367999999999999</v>
      </c>
      <c r="E73">
        <v>-4.4000000000000004</v>
      </c>
      <c r="F73">
        <v>-1.3180000000000001</v>
      </c>
      <c r="H73" s="4" t="str">
        <f t="array" aca="1" ref="H73" ca="1">SUBSTITUTE(SUBSTITUTE(_xlfn.TEXTJOIN("",TRUE,IF(ISERR(MID(C73,ROW(INDIRECT("1:100")),1)+0),MID(C73,ROW(INDIRECT("1:100")),1),"")),")",""),"(","")</f>
        <v>Nondurables</v>
      </c>
      <c r="J73">
        <f>+J61+1</f>
        <v>2021</v>
      </c>
      <c r="K73">
        <f t="shared" si="14"/>
        <v>1</v>
      </c>
      <c r="L73" s="3">
        <f t="shared" si="12"/>
        <v>44197</v>
      </c>
      <c r="M73" s="4">
        <f t="array" aca="1" ref="M73" ca="1">INDEX($F:$F,MATCH(1,($J73=$A:$A)*($K73=$B:$B)*(M$1=$H:$H),0))</f>
        <v>0.54700000000000004</v>
      </c>
      <c r="N73" s="4">
        <f t="array" aca="1" ref="N73" ca="1">INDEX($F:$F,MATCH(1,($J73=$A:$A)*($K73=$B:$B)*(N$1=$H:$H),0))</f>
        <v>-0.2</v>
      </c>
      <c r="O73" s="4">
        <f t="array" aca="1" ref="O73" ca="1">INDEX($F:$F,MATCH(1,($J73=$A:$A)*($K73=$B:$B)*(O$1=$H:$H),0))</f>
        <v>0.76100000000000001</v>
      </c>
      <c r="P73" s="4">
        <f t="array" aca="1" ref="P73" ca="1">INDEX($F:$F,MATCH(1,($J73=$A:$A)*($K73=$B:$B)*(P$1=$H:$H),0))</f>
        <v>0.11799999999999999</v>
      </c>
      <c r="Q73" s="4">
        <f t="array" aca="1" ref="Q73" ca="1">INDEX($F:$F,MATCH(1,($J73=$A:$A)*($K73=$B:$B)*(Q$1=$H:$H),0))</f>
        <v>7.0000000000000001E-3</v>
      </c>
      <c r="R73" s="4">
        <f t="array" aca="1" ref="R73" ca="1">INDEX($F:$F,MATCH(1,($J73=$A:$A)*($K73=$B:$B)*(R$1=$H:$H),0))</f>
        <v>0.17199999999999999</v>
      </c>
      <c r="S73" s="4">
        <f t="array" aca="1" ref="S73" ca="1">INDEX($F:$F,MATCH(1,($J73=$A:$A)*($K73=$B:$B)*(S$1=$H:$H),0))</f>
        <v>6.6000000000000003E-2</v>
      </c>
      <c r="T73">
        <f t="shared" ca="1" si="13"/>
        <v>1.4709999999999999</v>
      </c>
      <c r="U73" s="4" cm="1">
        <f t="array" aca="1" ref="U73" ca="1">INDEX($F:$F,MATCH(1,($J73=$A:$A)*($K73=$B:$B)*(U$1=$H:$H),0))</f>
        <v>0</v>
      </c>
    </row>
    <row r="74" spans="1:21" x14ac:dyDescent="0.25">
      <c r="A74">
        <v>2015</v>
      </c>
      <c r="B74">
        <v>2</v>
      </c>
      <c r="C74" t="s">
        <v>8</v>
      </c>
      <c r="D74">
        <v>42.521999999999998</v>
      </c>
      <c r="E74">
        <v>2.2000000000000002</v>
      </c>
      <c r="F74">
        <v>0.91900000000000004</v>
      </c>
      <c r="H74" s="4" t="str">
        <f t="array" aca="1" ref="H74" ca="1">SUBSTITUTE(SUBSTITUTE(_xlfn.TEXTJOIN("",TRUE,IF(ISERR(MID(C74,ROW(INDIRECT("1:100")),1)+0),MID(C74,ROW(INDIRECT("1:100")),1),"")),")",""),"(","")</f>
        <v>Housing</v>
      </c>
      <c r="J74">
        <f t="shared" ref="J74:J84" si="15">+J73</f>
        <v>2021</v>
      </c>
      <c r="K74">
        <f t="shared" si="14"/>
        <v>2</v>
      </c>
      <c r="L74" s="3">
        <f t="shared" si="12"/>
        <v>44228</v>
      </c>
      <c r="M74" s="4">
        <f t="array" aca="1" ref="M74" ca="1">INDEX($F:$F,MATCH(1,($J74=$A:$A)*($K74=$B:$B)*(M$1=$H:$H),0))</f>
        <v>0.52</v>
      </c>
      <c r="N74" s="4">
        <f t="array" aca="1" ref="N74" ca="1">INDEX($F:$F,MATCH(1,($J74=$A:$A)*($K74=$B:$B)*(N$1=$H:$H),0))</f>
        <v>9.6000000000000002E-2</v>
      </c>
      <c r="O74" s="4">
        <f t="array" aca="1" ref="O74" ca="1">INDEX($F:$F,MATCH(1,($J74=$A:$A)*($K74=$B:$B)*(O$1=$H:$H),0))</f>
        <v>0.75700000000000001</v>
      </c>
      <c r="P74" s="4">
        <f t="array" aca="1" ref="P74" ca="1">INDEX($F:$F,MATCH(1,($J74=$A:$A)*($K74=$B:$B)*(P$1=$H:$H),0))</f>
        <v>0.11700000000000001</v>
      </c>
      <c r="Q74" s="4">
        <f t="array" aca="1" ref="Q74" ca="1">INDEX($F:$F,MATCH(1,($J74=$A:$A)*($K74=$B:$B)*(Q$1=$H:$H),0))</f>
        <v>4.4999999999999998E-2</v>
      </c>
      <c r="R74" s="4">
        <f t="array" aca="1" ref="R74" ca="1">INDEX($F:$F,MATCH(1,($J74=$A:$A)*($K74=$B:$B)*(R$1=$H:$H),0))</f>
        <v>0.17699999999999999</v>
      </c>
      <c r="S74" s="4">
        <f t="array" aca="1" ref="S74" ca="1">INDEX($F:$F,MATCH(1,($J74=$A:$A)*($K74=$B:$B)*(S$1=$H:$H),0))</f>
        <v>6.6000000000000003E-2</v>
      </c>
      <c r="T74">
        <f t="shared" ca="1" si="13"/>
        <v>1.778</v>
      </c>
      <c r="U74" s="4" cm="1">
        <f t="array" aca="1" ref="U74" ca="1">INDEX($F:$F,MATCH(1,($J74=$A:$A)*($K74=$B:$B)*(U$1=$H:$H),0))</f>
        <v>0</v>
      </c>
    </row>
    <row r="75" spans="1:21" x14ac:dyDescent="0.25">
      <c r="A75">
        <v>2015</v>
      </c>
      <c r="B75">
        <v>2</v>
      </c>
      <c r="C75" t="s">
        <v>30</v>
      </c>
      <c r="D75">
        <v>7.1059999999999999</v>
      </c>
      <c r="E75">
        <v>0.4</v>
      </c>
      <c r="F75">
        <v>2.7E-2</v>
      </c>
      <c r="H75" s="4" t="str">
        <f t="array" aca="1" ref="H75" ca="1">SUBSTITUTE(SUBSTITUTE(_xlfn.TEXTJOIN("",TRUE,IF(ISERR(MID(C75,ROW(INDIRECT("1:100")),1)+0),MID(C75,ROW(INDIRECT("1:100")),1),"")),")",""),"(","")</f>
        <v>Education and communication</v>
      </c>
      <c r="J75">
        <f t="shared" si="15"/>
        <v>2021</v>
      </c>
      <c r="K75">
        <f t="shared" si="14"/>
        <v>3</v>
      </c>
      <c r="L75" s="3">
        <f t="shared" si="12"/>
        <v>44256</v>
      </c>
      <c r="M75" s="4">
        <f t="array" aca="1" ref="M75" ca="1">INDEX($F:$F,MATCH(1,($J75=$A:$A)*($K75=$B:$B)*(M$1=$H:$H),0))</f>
        <v>0.501</v>
      </c>
      <c r="N75" s="4">
        <f t="array" aca="1" ref="N75" ca="1">INDEX($F:$F,MATCH(1,($J75=$A:$A)*($K75=$B:$B)*(N$1=$H:$H),0))</f>
        <v>0.89500000000000002</v>
      </c>
      <c r="O75" s="4">
        <f t="array" aca="1" ref="O75" ca="1">INDEX($F:$F,MATCH(1,($J75=$A:$A)*($K75=$B:$B)*(O$1=$H:$H),0))</f>
        <v>0.89900000000000002</v>
      </c>
      <c r="P75" s="4">
        <f t="array" aca="1" ref="P75" ca="1">INDEX($F:$F,MATCH(1,($J75=$A:$A)*($K75=$B:$B)*(P$1=$H:$H),0))</f>
        <v>0.10100000000000001</v>
      </c>
      <c r="Q75" s="4">
        <f t="array" aca="1" ref="Q75" ca="1">INDEX($F:$F,MATCH(1,($J75=$A:$A)*($K75=$B:$B)*(Q$1=$H:$H),0))</f>
        <v>6.2E-2</v>
      </c>
      <c r="R75" s="4">
        <f t="array" aca="1" ref="R75" ca="1">INDEX($F:$F,MATCH(1,($J75=$A:$A)*($K75=$B:$B)*(R$1=$H:$H),0))</f>
        <v>0.158</v>
      </c>
      <c r="S75" s="4">
        <f t="array" aca="1" ref="S75" ca="1">INDEX($F:$F,MATCH(1,($J75=$A:$A)*($K75=$B:$B)*(S$1=$H:$H),0))</f>
        <v>7.5999999999999998E-2</v>
      </c>
      <c r="T75">
        <f t="shared" ca="1" si="13"/>
        <v>2.6919999999999997</v>
      </c>
      <c r="U75" s="4" cm="1">
        <f t="array" aca="1" ref="U75" ca="1">INDEX($F:$F,MATCH(1,($J75=$A:$A)*($K75=$B:$B)*(U$1=$H:$H),0))</f>
        <v>0</v>
      </c>
    </row>
    <row r="76" spans="1:21" x14ac:dyDescent="0.25">
      <c r="A76">
        <v>2015</v>
      </c>
      <c r="B76">
        <v>2</v>
      </c>
      <c r="C76" t="s">
        <v>31</v>
      </c>
      <c r="D76">
        <v>5.798</v>
      </c>
      <c r="E76">
        <v>-0.1</v>
      </c>
      <c r="F76">
        <v>-3.0000000000000001E-3</v>
      </c>
      <c r="H76" s="4" t="str">
        <f t="array" aca="1" ref="H76" ca="1">SUBSTITUTE(SUBSTITUTE(_xlfn.TEXTJOIN("",TRUE,IF(ISERR(MID(C76,ROW(INDIRECT("1:100")),1)+0),MID(C76,ROW(INDIRECT("1:100")),1),"")),")",""),"(","")</f>
        <v>Recreation</v>
      </c>
      <c r="J76">
        <f t="shared" si="15"/>
        <v>2021</v>
      </c>
      <c r="K76">
        <f t="shared" si="14"/>
        <v>4</v>
      </c>
      <c r="L76" s="3">
        <f t="shared" si="12"/>
        <v>44287</v>
      </c>
      <c r="M76" s="4">
        <f t="array" aca="1" ref="M76" ca="1">INDEX($F:$F,MATCH(1,($J76=$A:$A)*($K76=$B:$B)*(M$1=$H:$H),0))</f>
        <v>0.35599999999999998</v>
      </c>
      <c r="N76" s="4">
        <f t="array" aca="1" ref="N76" ca="1">INDEX($F:$F,MATCH(1,($J76=$A:$A)*($K76=$B:$B)*(N$1=$H:$H),0))</f>
        <v>2.1800000000000002</v>
      </c>
      <c r="O76" s="4">
        <f t="array" aca="1" ref="O76" ca="1">INDEX($F:$F,MATCH(1,($J76=$A:$A)*($K76=$B:$B)*(O$1=$H:$H),0))</f>
        <v>1.113</v>
      </c>
      <c r="P76" s="4">
        <f t="array" aca="1" ref="P76" ca="1">INDEX($F:$F,MATCH(1,($J76=$A:$A)*($K76=$B:$B)*(P$1=$H:$H),0))</f>
        <v>0.11600000000000001</v>
      </c>
      <c r="Q76" s="4">
        <f t="array" aca="1" ref="Q76" ca="1">INDEX($F:$F,MATCH(1,($J76=$A:$A)*($K76=$B:$B)*(Q$1=$H:$H),0))</f>
        <v>0.125</v>
      </c>
      <c r="R76" s="4">
        <f t="array" aca="1" ref="R76" ca="1">INDEX($F:$F,MATCH(1,($J76=$A:$A)*($K76=$B:$B)*(R$1=$H:$H),0))</f>
        <v>0.13100000000000001</v>
      </c>
      <c r="S76" s="4">
        <f t="array" aca="1" ref="S76" ca="1">INDEX($F:$F,MATCH(1,($J76=$A:$A)*($K76=$B:$B)*(S$1=$H:$H),0))</f>
        <v>8.5000000000000006E-2</v>
      </c>
      <c r="T76">
        <f t="shared" ca="1" si="13"/>
        <v>4.1059999999999999</v>
      </c>
      <c r="U76" s="4" cm="1">
        <f t="array" aca="1" ref="U76" ca="1">INDEX($F:$F,MATCH(1,($J76=$A:$A)*($K76=$B:$B)*(U$1=$H:$H),0))</f>
        <v>0</v>
      </c>
    </row>
    <row r="77" spans="1:21" x14ac:dyDescent="0.25">
      <c r="A77">
        <v>2015</v>
      </c>
      <c r="B77">
        <v>2</v>
      </c>
      <c r="C77" t="s">
        <v>6</v>
      </c>
      <c r="D77">
        <v>15.375999999999999</v>
      </c>
      <c r="E77">
        <v>2.8</v>
      </c>
      <c r="F77">
        <v>0.42199999999999999</v>
      </c>
      <c r="H77" s="4" t="str">
        <f t="array" aca="1" ref="H77" ca="1">SUBSTITUTE(SUBSTITUTE(_xlfn.TEXTJOIN("",TRUE,IF(ISERR(MID(C77,ROW(INDIRECT("1:100")),1)+0),MID(C77,ROW(INDIRECT("1:100")),1),"")),")",""),"(","")</f>
        <v>Food and beverages</v>
      </c>
      <c r="J77">
        <f t="shared" si="15"/>
        <v>2021</v>
      </c>
      <c r="K77">
        <f t="shared" si="14"/>
        <v>5</v>
      </c>
      <c r="L77" s="3">
        <f t="shared" si="12"/>
        <v>44317</v>
      </c>
      <c r="M77" s="4">
        <f t="array" aca="1" ref="M77" ca="1">INDEX($F:$F,MATCH(1,($J77=$A:$A)*($K77=$B:$B)*(M$1=$H:$H),0))</f>
        <v>0.32300000000000001</v>
      </c>
      <c r="N77" s="4">
        <f t="array" aca="1" ref="N77" ca="1">INDEX($F:$F,MATCH(1,($J77=$A:$A)*($K77=$B:$B)*(N$1=$H:$H),0))</f>
        <v>2.8959999999999999</v>
      </c>
      <c r="O77" s="4">
        <f t="array" aca="1" ref="O77" ca="1">INDEX($F:$F,MATCH(1,($J77=$A:$A)*($K77=$B:$B)*(O$1=$H:$H),0))</f>
        <v>1.2310000000000001</v>
      </c>
      <c r="P77" s="4">
        <f t="array" aca="1" ref="P77" ca="1">INDEX($F:$F,MATCH(1,($J77=$A:$A)*($K77=$B:$B)*(P$1=$H:$H),0))</f>
        <v>0.13</v>
      </c>
      <c r="Q77" s="4">
        <f t="array" aca="1" ref="Q77" ca="1">INDEX($F:$F,MATCH(1,($J77=$A:$A)*($K77=$B:$B)*(Q$1=$H:$H),0))</f>
        <v>9.6000000000000002E-2</v>
      </c>
      <c r="R77" s="4">
        <f t="array" aca="1" ref="R77" ca="1">INDEX($F:$F,MATCH(1,($J77=$A:$A)*($K77=$B:$B)*(R$1=$H:$H),0))</f>
        <v>8.2000000000000003E-2</v>
      </c>
      <c r="S77" s="4">
        <f t="array" aca="1" ref="S77" ca="1">INDEX($F:$F,MATCH(1,($J77=$A:$A)*($K77=$B:$B)*(S$1=$H:$H),0))</f>
        <v>8.5000000000000006E-2</v>
      </c>
      <c r="T77">
        <f t="shared" ca="1" si="13"/>
        <v>4.843</v>
      </c>
      <c r="U77" s="4" cm="1">
        <f t="array" aca="1" ref="U77" ca="1">INDEX($F:$F,MATCH(1,($J77=$A:$A)*($K77=$B:$B)*(U$1=$H:$H),0))</f>
        <v>0</v>
      </c>
    </row>
    <row r="78" spans="1:21" x14ac:dyDescent="0.25">
      <c r="A78">
        <v>2015</v>
      </c>
      <c r="B78">
        <v>2</v>
      </c>
      <c r="C78" t="s">
        <v>32</v>
      </c>
      <c r="D78">
        <v>12.054</v>
      </c>
      <c r="E78">
        <v>1.2</v>
      </c>
      <c r="F78">
        <v>0.13700000000000001</v>
      </c>
      <c r="H78" s="4" t="str">
        <f t="array" aca="1" ref="H78" ca="1">SUBSTITUTE(SUBSTITUTE(_xlfn.TEXTJOIN("",TRUE,IF(ISERR(MID(C78,ROW(INDIRECT("1:100")),1)+0),MID(C78,ROW(INDIRECT("1:100")),1),"")),")",""),"(","")</f>
        <v>Other services</v>
      </c>
      <c r="J78">
        <f t="shared" si="15"/>
        <v>2021</v>
      </c>
      <c r="K78">
        <f t="shared" si="14"/>
        <v>6</v>
      </c>
      <c r="L78" s="3">
        <f t="shared" si="12"/>
        <v>44348</v>
      </c>
      <c r="M78" s="4">
        <f t="array" aca="1" ref="M78" ca="1">INDEX($F:$F,MATCH(1,($J78=$A:$A)*($K78=$B:$B)*(M$1=$H:$H),0))</f>
        <v>0.36</v>
      </c>
      <c r="N78" s="4">
        <f t="array" aca="1" ref="N78" ca="1">INDEX($F:$F,MATCH(1,($J78=$A:$A)*($K78=$B:$B)*(N$1=$H:$H),0))</f>
        <v>3.1669999999999998</v>
      </c>
      <c r="O78" s="4">
        <f t="array" aca="1" ref="O78" ca="1">INDEX($F:$F,MATCH(1,($J78=$A:$A)*($K78=$B:$B)*(O$1=$H:$H),0))</f>
        <v>1.335</v>
      </c>
      <c r="P78" s="4">
        <f t="array" aca="1" ref="P78" ca="1">INDEX($F:$F,MATCH(1,($J78=$A:$A)*($K78=$B:$B)*(P$1=$H:$H),0))</f>
        <v>0.14199999999999999</v>
      </c>
      <c r="Q78" s="4">
        <f t="array" aca="1" ref="Q78" ca="1">INDEX($F:$F,MATCH(1,($J78=$A:$A)*($K78=$B:$B)*(Q$1=$H:$H),0))</f>
        <v>0.13700000000000001</v>
      </c>
      <c r="R78" s="4">
        <f t="array" aca="1" ref="R78" ca="1">INDEX($F:$F,MATCH(1,($J78=$A:$A)*($K78=$B:$B)*(R$1=$H:$H),0))</f>
        <v>3.9E-2</v>
      </c>
      <c r="S78" s="4">
        <f t="array" aca="1" ref="S78" ca="1">INDEX($F:$F,MATCH(1,($J78=$A:$A)*($K78=$B:$B)*(S$1=$H:$H),0))</f>
        <v>7.9000000000000001E-2</v>
      </c>
      <c r="T78">
        <f t="shared" ca="1" si="13"/>
        <v>5.2589999999999995</v>
      </c>
      <c r="U78" s="4" cm="1">
        <f t="array" aca="1" ref="U78" ca="1">INDEX($F:$F,MATCH(1,($J78=$A:$A)*($K78=$B:$B)*(U$1=$H:$H),0))</f>
        <v>0</v>
      </c>
    </row>
    <row r="79" spans="1:21" x14ac:dyDescent="0.25">
      <c r="A79">
        <v>2015</v>
      </c>
      <c r="B79">
        <v>2</v>
      </c>
      <c r="C79" t="s">
        <v>33</v>
      </c>
      <c r="D79">
        <v>2.6059999999999999</v>
      </c>
      <c r="E79">
        <v>-1.6</v>
      </c>
      <c r="F79">
        <v>-4.3999999999999997E-2</v>
      </c>
      <c r="H79" s="4" t="str">
        <f t="array" aca="1" ref="H79" ca="1">SUBSTITUTE(SUBSTITUTE(_xlfn.TEXTJOIN("",TRUE,IF(ISERR(MID(C79,ROW(INDIRECT("1:100")),1)+0),MID(C79,ROW(INDIRECT("1:100")),1),"")),")",""),"(","")</f>
        <v>Apparel less footwear</v>
      </c>
      <c r="J79">
        <f t="shared" si="15"/>
        <v>2021</v>
      </c>
      <c r="K79">
        <f t="shared" si="14"/>
        <v>7</v>
      </c>
      <c r="L79" s="3">
        <f t="shared" si="12"/>
        <v>44378</v>
      </c>
      <c r="M79" s="4">
        <f t="array" aca="1" ref="M79" ca="1">INDEX($F:$F,MATCH(1,($J79=$A:$A)*($K79=$B:$B)*(M$1=$H:$H),0))</f>
        <v>0.51200000000000001</v>
      </c>
      <c r="N79" s="4">
        <f t="array" aca="1" ref="N79" ca="1">INDEX($F:$F,MATCH(1,($J79=$A:$A)*($K79=$B:$B)*(N$1=$H:$H),0))</f>
        <v>2.9169999999999998</v>
      </c>
      <c r="O79" s="4">
        <f t="array" aca="1" ref="O79" ca="1">INDEX($F:$F,MATCH(1,($J79=$A:$A)*($K79=$B:$B)*(O$1=$H:$H),0))</f>
        <v>1.4259999999999999</v>
      </c>
      <c r="P79" s="4">
        <f t="array" aca="1" ref="P79" ca="1">INDEX($F:$F,MATCH(1,($J79=$A:$A)*($K79=$B:$B)*(P$1=$H:$H),0))</f>
        <v>7.6999999999999999E-2</v>
      </c>
      <c r="Q79" s="4">
        <f t="array" aca="1" ref="Q79" ca="1">INDEX($F:$F,MATCH(1,($J79=$A:$A)*($K79=$B:$B)*(Q$1=$H:$H),0))</f>
        <v>0.20399999999999999</v>
      </c>
      <c r="R79" s="4">
        <f t="array" aca="1" ref="R79" ca="1">INDEX($F:$F,MATCH(1,($J79=$A:$A)*($K79=$B:$B)*(R$1=$H:$H),0))</f>
        <v>2.5999999999999999E-2</v>
      </c>
      <c r="S79" s="4">
        <f t="array" aca="1" ref="S79" ca="1">INDEX($F:$F,MATCH(1,($J79=$A:$A)*($K79=$B:$B)*(S$1=$H:$H),0))</f>
        <v>9.0999999999999998E-2</v>
      </c>
      <c r="T79">
        <f t="shared" ca="1" si="13"/>
        <v>5.2529999999999992</v>
      </c>
      <c r="U79" s="4" cm="1">
        <f t="array" aca="1" ref="U79" ca="1">INDEX($F:$F,MATCH(1,($J79=$A:$A)*($K79=$B:$B)*(U$1=$H:$H),0))</f>
        <v>0</v>
      </c>
    </row>
    <row r="80" spans="1:21" x14ac:dyDescent="0.25">
      <c r="A80">
        <v>2015</v>
      </c>
      <c r="B80">
        <v>2</v>
      </c>
      <c r="C80" t="s">
        <v>34</v>
      </c>
      <c r="D80">
        <v>5.3239999999999998</v>
      </c>
      <c r="E80">
        <v>0</v>
      </c>
      <c r="F80">
        <v>-2E-3</v>
      </c>
      <c r="H80" s="4" t="str">
        <f t="array" aca="1" ref="H80" ca="1">SUBSTITUTE(SUBSTITUTE(_xlfn.TEXTJOIN("",TRUE,IF(ISERR(MID(C80,ROW(INDIRECT("1:100")),1)+0),MID(C80,ROW(INDIRECT("1:100")),1),"")),")",""),"(","")</f>
        <v>Fuels and utilities</v>
      </c>
      <c r="J80">
        <f t="shared" si="15"/>
        <v>2021</v>
      </c>
      <c r="K80">
        <f t="shared" si="14"/>
        <v>8</v>
      </c>
      <c r="L80" s="3">
        <f t="shared" si="12"/>
        <v>44409</v>
      </c>
      <c r="M80" s="4">
        <f t="array" aca="1" ref="M80" ca="1">INDEX($F:$F,MATCH(1,($J80=$A:$A)*($K80=$B:$B)*(M$1=$H:$H),0))</f>
        <v>0.55400000000000005</v>
      </c>
      <c r="N80" s="4">
        <f t="array" aca="1" ref="N80" ca="1">INDEX($F:$F,MATCH(1,($J80=$A:$A)*($K80=$B:$B)*(N$1=$H:$H),0))</f>
        <v>2.6829999999999998</v>
      </c>
      <c r="O80" s="4">
        <f t="array" aca="1" ref="O80" ca="1">INDEX($F:$F,MATCH(1,($J80=$A:$A)*($K80=$B:$B)*(O$1=$H:$H),0))</f>
        <v>1.478</v>
      </c>
      <c r="P80" s="4">
        <f t="array" aca="1" ref="P80" ca="1">INDEX($F:$F,MATCH(1,($J80=$A:$A)*($K80=$B:$B)*(P$1=$H:$H),0))</f>
        <v>8.2000000000000003E-2</v>
      </c>
      <c r="Q80" s="4">
        <f t="array" aca="1" ref="Q80" ca="1">INDEX($F:$F,MATCH(1,($J80=$A:$A)*($K80=$B:$B)*(Q$1=$H:$H),0))</f>
        <v>0.19700000000000001</v>
      </c>
      <c r="R80" s="4">
        <f t="array" aca="1" ref="R80" ca="1">INDEX($F:$F,MATCH(1,($J80=$A:$A)*($K80=$B:$B)*(R$1=$H:$H),0))</f>
        <v>3.3000000000000002E-2</v>
      </c>
      <c r="S80" s="4" cm="1">
        <f t="array" aca="1" ref="S80" ca="1">INDEX($F:$F,MATCH(1,($J80=$A:$A)*($K80=$B:$B)*(S$1=$H:$H),0))</f>
        <v>0.11</v>
      </c>
      <c r="T80">
        <f t="shared" ca="1" si="13"/>
        <v>5.1370000000000005</v>
      </c>
      <c r="U80" s="4" cm="1">
        <f t="array" aca="1" ref="U80" ca="1">INDEX($F:$F,MATCH(1,($J80=$A:$A)*($K80=$B:$B)*(U$1=$H:$H),0))</f>
        <v>0</v>
      </c>
    </row>
    <row r="81" spans="1:21" x14ac:dyDescent="0.25">
      <c r="A81">
        <v>2015</v>
      </c>
      <c r="B81">
        <v>2</v>
      </c>
      <c r="C81" t="s">
        <v>11</v>
      </c>
      <c r="D81">
        <v>7.774</v>
      </c>
      <c r="E81">
        <v>2.2999999999999998</v>
      </c>
      <c r="F81">
        <v>0.17599999999999999</v>
      </c>
      <c r="H81" s="4" t="str">
        <f t="array" aca="1" ref="H81" ca="1">SUBSTITUTE(SUBSTITUTE(_xlfn.TEXTJOIN("",TRUE,IF(ISERR(MID(C81,ROW(INDIRECT("1:100")),1)+0),MID(C81,ROW(INDIRECT("1:100")),1),"")),")",""),"(","")</f>
        <v>Medical care</v>
      </c>
      <c r="J81">
        <f t="shared" si="15"/>
        <v>2021</v>
      </c>
      <c r="K81">
        <f t="shared" si="14"/>
        <v>9</v>
      </c>
      <c r="L81" s="3">
        <f t="shared" si="12"/>
        <v>44440</v>
      </c>
      <c r="M81" s="4">
        <f t="array" aca="1" ref="M81" ca="1">INDEX($F:$F,MATCH(1,($J81=$A:$A)*($K81=$B:$B)*(M$1=$H:$H),0))</f>
        <v>0.67500000000000004</v>
      </c>
      <c r="N81" s="4">
        <f t="array" aca="1" ref="N81" ca="1">INDEX($F:$F,MATCH(1,($J81=$A:$A)*($K81=$B:$B)*(N$1=$H:$H),0))</f>
        <v>2.5089999999999999</v>
      </c>
      <c r="O81" s="4">
        <f t="array" aca="1" ref="O81" ca="1">INDEX($F:$F,MATCH(1,($J81=$A:$A)*($K81=$B:$B)*(O$1=$H:$H),0))</f>
        <v>1.647</v>
      </c>
      <c r="P81" s="4">
        <f t="array" aca="1" ref="P81" ca="1">INDEX($F:$F,MATCH(1,($J81=$A:$A)*($K81=$B:$B)*(P$1=$H:$H),0))</f>
        <v>0.11700000000000001</v>
      </c>
      <c r="Q81" s="4">
        <f t="array" aca="1" ref="Q81" ca="1">INDEX($F:$F,MATCH(1,($J81=$A:$A)*($K81=$B:$B)*(Q$1=$H:$H),0))</f>
        <v>0.20100000000000001</v>
      </c>
      <c r="R81" s="4">
        <f t="array" aca="1" ref="R81" ca="1">INDEX($F:$F,MATCH(1,($J81=$A:$A)*($K81=$B:$B)*(R$1=$H:$H),0))</f>
        <v>3.9E-2</v>
      </c>
      <c r="S81" s="4">
        <f t="array" aca="1" ref="S81" ca="1">INDEX($F:$F,MATCH(1,($J81=$A:$A)*($K81=$B:$B)*(S$1=$H:$H),0))</f>
        <v>0.108</v>
      </c>
      <c r="T81">
        <f t="shared" ca="1" si="13"/>
        <v>5.2959999999999994</v>
      </c>
      <c r="U81" s="4" cm="1">
        <f t="array" aca="1" ref="U81" ca="1">INDEX($F:$F,MATCH(1,($J81=$A:$A)*($K81=$B:$B)*(U$1=$H:$H),0))</f>
        <v>0</v>
      </c>
    </row>
    <row r="82" spans="1:21" x14ac:dyDescent="0.25">
      <c r="A82">
        <v>2015</v>
      </c>
      <c r="B82">
        <v>2</v>
      </c>
      <c r="C82" t="s">
        <v>7</v>
      </c>
      <c r="D82">
        <v>14.677</v>
      </c>
      <c r="E82">
        <v>-9.6999999999999993</v>
      </c>
      <c r="F82">
        <v>-1.587</v>
      </c>
      <c r="H82" s="4" t="str">
        <f t="array" aca="1" ref="H82" ca="1">SUBSTITUTE(SUBSTITUTE(_xlfn.TEXTJOIN("",TRUE,IF(ISERR(MID(C82,ROW(INDIRECT("1:100")),1)+0),MID(C82,ROW(INDIRECT("1:100")),1),"")),")",""),"(","")</f>
        <v>Transportation</v>
      </c>
      <c r="J82">
        <f t="shared" si="15"/>
        <v>2021</v>
      </c>
      <c r="K82">
        <f t="shared" si="14"/>
        <v>10</v>
      </c>
      <c r="L82" s="3">
        <f t="shared" si="12"/>
        <v>44470</v>
      </c>
      <c r="M82" s="4">
        <f t="array" aca="1" ref="M82" ca="1">INDEX($F:$F,MATCH(1,($J82=$A:$A)*($K82=$B:$B)*(M$1=$H:$H),0))</f>
        <v>0.77500000000000002</v>
      </c>
      <c r="N82" s="4">
        <f t="array" aca="1" ref="N82" ca="1">INDEX($F:$F,MATCH(1,($J82=$A:$A)*($K82=$B:$B)*(N$1=$H:$H),0))</f>
        <v>2.8279999999999998</v>
      </c>
      <c r="O82" s="4">
        <f t="array" aca="1" ref="O82" ca="1">INDEX($F:$F,MATCH(1,($J82=$A:$A)*($K82=$B:$B)*(O$1=$H:$H),0))</f>
        <v>1.905</v>
      </c>
      <c r="P82" s="4">
        <f t="array" aca="1" ref="P82" ca="1">INDEX($F:$F,MATCH(1,($J82=$A:$A)*($K82=$B:$B)*(P$1=$H:$H),0))</f>
        <v>0.121</v>
      </c>
      <c r="Q82" s="4">
        <f t="array" aca="1" ref="Q82" ca="1">INDEX($F:$F,MATCH(1,($J82=$A:$A)*($K82=$B:$B)*(Q$1=$H:$H),0))</f>
        <v>0.223</v>
      </c>
      <c r="R82" s="4">
        <f t="array" aca="1" ref="R82" ca="1">INDEX($F:$F,MATCH(1,($J82=$A:$A)*($K82=$B:$B)*(R$1=$H:$H),0))</f>
        <v>0.11700000000000001</v>
      </c>
      <c r="S82" s="4">
        <f t="array" aca="1" ref="S82" ca="1">INDEX($F:$F,MATCH(1,($J82=$A:$A)*($K82=$B:$B)*(S$1=$H:$H),0))</f>
        <v>0.13300000000000001</v>
      </c>
      <c r="T82" s="5">
        <f t="shared" ca="1" si="13"/>
        <v>6.1019999999999994</v>
      </c>
      <c r="U82" s="4" cm="1">
        <f t="array" aca="1" ref="U82" ca="1">INDEX($F:$F,MATCH(1,($J82=$A:$A)*($K82=$B:$B)*(U$1=$H:$H),0))</f>
        <v>0</v>
      </c>
    </row>
    <row r="83" spans="1:21" x14ac:dyDescent="0.25">
      <c r="A83">
        <v>2015</v>
      </c>
      <c r="B83">
        <v>2</v>
      </c>
      <c r="C83" t="s">
        <v>35</v>
      </c>
      <c r="D83">
        <v>10.172000000000001</v>
      </c>
      <c r="E83">
        <v>0.4</v>
      </c>
      <c r="F83">
        <v>3.9E-2</v>
      </c>
      <c r="H83" s="4" t="str">
        <f t="array" aca="1" ref="H83" ca="1">SUBSTITUTE(SUBSTITUTE(_xlfn.TEXTJOIN("",TRUE,IF(ISERR(MID(C83,ROW(INDIRECT("1:100")),1)+0),MID(C83,ROW(INDIRECT("1:100")),1),"")),")",""),"(","")</f>
        <v>Utilities and public transportation</v>
      </c>
      <c r="J83">
        <f t="shared" si="15"/>
        <v>2021</v>
      </c>
      <c r="K83">
        <f t="shared" si="14"/>
        <v>11</v>
      </c>
      <c r="L83" s="3">
        <f t="shared" si="12"/>
        <v>44501</v>
      </c>
      <c r="M83" s="4">
        <f t="array" aca="1" ref="M83" ca="1">INDEX($F:$F,MATCH(1,($J83=$A:$A)*($K83=$B:$B)*(M$1=$H:$H),0))</f>
        <v>0.88</v>
      </c>
      <c r="N83" s="4">
        <f t="array" aca="1" ref="N83" ca="1">INDEX($F:$F,MATCH(1,($J83=$A:$A)*($K83=$B:$B)*(N$1=$H:$H),0))</f>
        <v>3.1829999999999998</v>
      </c>
      <c r="O83" s="4">
        <f t="array" aca="1" ref="O83" ca="1">INDEX($F:$F,MATCH(1,($J83=$A:$A)*($K83=$B:$B)*(O$1=$H:$H),0))</f>
        <v>2.0179999999999998</v>
      </c>
      <c r="P83" s="4">
        <f t="array" aca="1" ref="P83" ca="1">INDEX($F:$F,MATCH(1,($J83=$A:$A)*($K83=$B:$B)*(P$1=$H:$H),0))</f>
        <v>0.113</v>
      </c>
      <c r="Q83" s="4">
        <f t="array" aca="1" ref="Q83" ca="1">INDEX($F:$F,MATCH(1,($J83=$A:$A)*($K83=$B:$B)*(Q$1=$H:$H),0))</f>
        <v>0.186</v>
      </c>
      <c r="R83" s="4">
        <f t="array" aca="1" ref="R83" ca="1">INDEX($F:$F,MATCH(1,($J83=$A:$A)*($K83=$B:$B)*(R$1=$H:$H),0))</f>
        <v>0.155</v>
      </c>
      <c r="S83" s="4">
        <f t="array" aca="1" ref="S83" ca="1">INDEX($F:$F,MATCH(1,($J83=$A:$A)*($K83=$B:$B)*(S$1=$H:$H),0))</f>
        <v>0.13900000000000001</v>
      </c>
      <c r="T83" s="5">
        <f t="shared" ca="1" si="13"/>
        <v>6.6740000000000004</v>
      </c>
      <c r="U83" s="4" cm="1">
        <f t="array" aca="1" ref="U83" ca="1">INDEX($F:$F,MATCH(1,($J83=$A:$A)*($K83=$B:$B)*(U$1=$H:$H),0))</f>
        <v>0</v>
      </c>
    </row>
    <row r="84" spans="1:21" x14ac:dyDescent="0.25">
      <c r="A84">
        <v>2015</v>
      </c>
      <c r="B84">
        <v>2</v>
      </c>
      <c r="C84" t="s">
        <v>36</v>
      </c>
      <c r="D84">
        <v>4.2130000000000001</v>
      </c>
      <c r="E84">
        <v>-0.8</v>
      </c>
      <c r="F84">
        <v>-3.2000000000000001E-2</v>
      </c>
      <c r="H84" s="4" t="str">
        <f t="array" aca="1" ref="H84" ca="1">SUBSTITUTE(SUBSTITUTE(_xlfn.TEXTJOIN("",TRUE,IF(ISERR(MID(C84,ROW(INDIRECT("1:100")),1)+0),MID(C84,ROW(INDIRECT("1:100")),1),"")),")",""),"(","")</f>
        <v>Household furnishings and operations</v>
      </c>
      <c r="J84">
        <f t="shared" si="15"/>
        <v>2021</v>
      </c>
      <c r="K84">
        <f t="shared" si="14"/>
        <v>12</v>
      </c>
      <c r="L84" s="3">
        <f t="shared" si="12"/>
        <v>44531</v>
      </c>
      <c r="M84" s="4">
        <f t="array" aca="1" ref="M84" ca="1">INDEX($F:$F,MATCH(1,($J84=$A:$A)*($K84=$B:$B)*(M$1=$H:$H),0))</f>
        <v>0.91</v>
      </c>
      <c r="N84" s="4">
        <f t="array" aca="1" ref="N84" ca="1">INDEX($F:$F,MATCH(1,($J84=$A:$A)*($K84=$B:$B)*(N$1=$H:$H),0))</f>
        <v>3.198</v>
      </c>
      <c r="O84" s="4">
        <f t="array" aca="1" ref="O84" ca="1">INDEX($F:$F,MATCH(1,($J84=$A:$A)*($K84=$B:$B)*(O$1=$H:$H),0))</f>
        <v>2.141</v>
      </c>
      <c r="P84" s="4">
        <f t="array" aca="1" ref="P84" ca="1">INDEX($F:$F,MATCH(1,($J84=$A:$A)*($K84=$B:$B)*(P$1=$H:$H),0))</f>
        <v>0.11</v>
      </c>
      <c r="Q84" s="4">
        <f t="array" aca="1" ref="Q84" ca="1">INDEX($F:$F,MATCH(1,($J84=$A:$A)*($K84=$B:$B)*(Q$1=$H:$H),0))</f>
        <v>0.189</v>
      </c>
      <c r="R84" s="4">
        <f t="array" aca="1" ref="R84" ca="1">INDEX($F:$F,MATCH(1,($J84=$A:$A)*($K84=$B:$B)*(R$1=$H:$H),0))</f>
        <v>0.193</v>
      </c>
      <c r="S84" s="4">
        <f t="array" aca="1" ref="S84" ca="1">INDEX($F:$F,MATCH(1,($J84=$A:$A)*($K84=$B:$B)*(S$1=$H:$H),0))</f>
        <v>0.14099999999999999</v>
      </c>
      <c r="T84" s="5">
        <f t="shared" ca="1" si="13"/>
        <v>6.8819999999999997</v>
      </c>
      <c r="U84" s="4" cm="1">
        <f t="array" aca="1" ref="U84" ca="1">INDEX($F:$F,MATCH(1,($J84=$A:$A)*($K84=$B:$B)*(U$1=$H:$H),0))</f>
        <v>0</v>
      </c>
    </row>
    <row r="85" spans="1:21" x14ac:dyDescent="0.25">
      <c r="A85">
        <v>2015</v>
      </c>
      <c r="B85">
        <v>2</v>
      </c>
      <c r="C85" t="s">
        <v>12</v>
      </c>
      <c r="D85">
        <v>3.4260000000000002</v>
      </c>
      <c r="E85">
        <v>1.5</v>
      </c>
      <c r="F85">
        <v>4.9000000000000002E-2</v>
      </c>
      <c r="H85" s="4" t="str">
        <f t="array" aca="1" ref="H85" ca="1">SUBSTITUTE(SUBSTITUTE(_xlfn.TEXTJOIN("",TRUE,IF(ISERR(MID(C85,ROW(INDIRECT("1:100")),1)+0),MID(C85,ROW(INDIRECT("1:100")),1),"")),")",""),"(","")</f>
        <v>Other goods and services</v>
      </c>
      <c r="J85">
        <f>+J73+1</f>
        <v>2022</v>
      </c>
      <c r="K85">
        <f t="shared" si="14"/>
        <v>1</v>
      </c>
      <c r="L85" s="3">
        <f t="shared" si="12"/>
        <v>44562</v>
      </c>
      <c r="M85" s="4">
        <f t="array" aca="1" ref="M85" ca="1">INDEX($F:$F,MATCH(1,($J85=$A:$A)*($K85=$B:$B)*(M$1=$H:$H),0))</f>
        <v>1.0009999999999999</v>
      </c>
      <c r="N85" s="4">
        <f t="array" aca="1" ref="N85" ca="1">INDEX($F:$F,MATCH(1,($J85=$A:$A)*($K85=$B:$B)*(N$1=$H:$H),0))</f>
        <v>3.1819999999999999</v>
      </c>
      <c r="O85" s="4">
        <f t="array" aca="1" ref="O85" ca="1">INDEX($F:$F,MATCH(1,($J85=$A:$A)*($K85=$B:$B)*(O$1=$H:$H),0))</f>
        <v>2.4049999999999998</v>
      </c>
      <c r="P85" s="4">
        <f t="array" aca="1" ref="P85" ca="1">INDEX($F:$F,MATCH(1,($J85=$A:$A)*($K85=$B:$B)*(P$1=$H:$H),0))</f>
        <v>0.111</v>
      </c>
      <c r="Q85" s="4">
        <f t="array" aca="1" ref="Q85" ca="1">INDEX($F:$F,MATCH(1,($J85=$A:$A)*($K85=$B:$B)*(Q$1=$H:$H),0))</f>
        <v>0.26800000000000002</v>
      </c>
      <c r="R85" s="4">
        <f t="array" aca="1" ref="R85" ca="1">INDEX($F:$F,MATCH(1,($J85=$A:$A)*($K85=$B:$B)*(R$1=$H:$H),0))</f>
        <v>0.22</v>
      </c>
      <c r="S85" s="4">
        <f t="array" aca="1" ref="S85" ca="1">INDEX($F:$F,MATCH(1,($J85=$A:$A)*($K85=$B:$B)*(S$1=$H:$H),0))</f>
        <v>0.151</v>
      </c>
      <c r="T85" s="5">
        <f t="shared" ca="1" si="13"/>
        <v>7.3379999999999983</v>
      </c>
      <c r="U85" s="4" cm="1">
        <f t="array" aca="1" ref="U85" ca="1">INDEX($F:$F,MATCH(1,($J85=$A:$A)*($K85=$B:$B)*(U$1=$H:$H),0))</f>
        <v>0</v>
      </c>
    </row>
    <row r="86" spans="1:21" x14ac:dyDescent="0.25">
      <c r="A86">
        <v>2015</v>
      </c>
      <c r="B86">
        <v>3</v>
      </c>
      <c r="C86" t="s">
        <v>14</v>
      </c>
      <c r="D86">
        <v>100</v>
      </c>
      <c r="E86">
        <v>-0.1</v>
      </c>
      <c r="H86" s="4" t="str">
        <f t="array" aca="1" ref="H86" ca="1">SUBSTITUTE(SUBSTITUTE(_xlfn.TEXTJOIN("",TRUE,IF(ISERR(MID(C86,ROW(INDIRECT("1:100")),1)+0),MID(C86,ROW(INDIRECT("1:100")),1),"")),")",""),"(","")</f>
        <v>All items</v>
      </c>
      <c r="J86">
        <f t="shared" ref="J86:J96" si="16">+J85</f>
        <v>2022</v>
      </c>
      <c r="K86">
        <f t="shared" si="14"/>
        <v>2</v>
      </c>
      <c r="L86" s="3">
        <f t="shared" si="12"/>
        <v>44593</v>
      </c>
      <c r="M86" s="4">
        <f t="array" aca="1" ref="M86" ca="1">INDEX($F:$F,MATCH(1,($J86=$A:$A)*($K86=$B:$B)*(M$1=$H:$H),0))</f>
        <v>1.1299999999999999</v>
      </c>
      <c r="N86" s="4">
        <f t="array" aca="1" ref="N86" ca="1">INDEX($F:$F,MATCH(1,($J86=$A:$A)*($K86=$B:$B)*(N$1=$H:$H),0))</f>
        <v>3.282</v>
      </c>
      <c r="O86" s="4">
        <f t="array" aca="1" ref="O86" ca="1">INDEX($F:$F,MATCH(1,($J86=$A:$A)*($K86=$B:$B)*(O$1=$H:$H),0))</f>
        <v>2.5219999999999998</v>
      </c>
      <c r="P86" s="4">
        <f t="array" aca="1" ref="P86" ca="1">INDEX($F:$F,MATCH(1,($J86=$A:$A)*($K86=$B:$B)*(P$1=$H:$H),0))</f>
        <v>0.106</v>
      </c>
      <c r="Q86" s="4">
        <f t="array" aca="1" ref="Q86" ca="1">INDEX($F:$F,MATCH(1,($J86=$A:$A)*($K86=$B:$B)*(Q$1=$H:$H),0))</f>
        <v>0.27500000000000002</v>
      </c>
      <c r="R86" s="4">
        <f t="array" aca="1" ref="R86" ca="1">INDEX($F:$F,MATCH(1,($J86=$A:$A)*($K86=$B:$B)*(R$1=$H:$H),0))</f>
        <v>0.216</v>
      </c>
      <c r="S86" s="4">
        <f t="array" aca="1" ref="S86" ca="1">INDEX($F:$F,MATCH(1,($J86=$A:$A)*($K86=$B:$B)*(S$1=$H:$H),0))</f>
        <v>0.16900000000000001</v>
      </c>
      <c r="T86" s="5">
        <f ca="1">SUM(M86:S86)</f>
        <v>7.6999999999999993</v>
      </c>
      <c r="U86" s="4" cm="1">
        <f t="array" aca="1" ref="U86" ca="1">INDEX($F:$F,MATCH(1,($J86=$A:$A)*($K86=$B:$B)*(U$1=$H:$H),0))</f>
        <v>0</v>
      </c>
    </row>
    <row r="87" spans="1:21" x14ac:dyDescent="0.25">
      <c r="A87">
        <v>2015</v>
      </c>
      <c r="B87">
        <v>3</v>
      </c>
      <c r="C87" t="s">
        <v>15</v>
      </c>
      <c r="D87">
        <v>14.303000000000001</v>
      </c>
      <c r="E87">
        <v>2.2999999999999998</v>
      </c>
      <c r="F87">
        <v>0.32500000000000001</v>
      </c>
      <c r="H87" s="4" t="str">
        <f t="array" aca="1" ref="H87" ca="1">SUBSTITUTE(SUBSTITUTE(_xlfn.TEXTJOIN("",TRUE,IF(ISERR(MID(C87,ROW(INDIRECT("1:100")),1)+0),MID(C87,ROW(INDIRECT("1:100")),1),"")),")",""),"(","")</f>
        <v>Food</v>
      </c>
      <c r="J87">
        <f t="shared" si="16"/>
        <v>2022</v>
      </c>
      <c r="K87">
        <f t="shared" si="14"/>
        <v>3</v>
      </c>
      <c r="L87" s="3">
        <f t="shared" si="12"/>
        <v>44621</v>
      </c>
      <c r="M87" s="4">
        <f t="array" aca="1" ref="M87" ca="1">INDEX($F:$F,MATCH(1,($J87=$A:$A)*($K87=$B:$B)*(M$1=$H:$H),0))</f>
        <v>1.2450000000000001</v>
      </c>
      <c r="N87" s="4">
        <f t="array" aca="1" ref="N87" ca="1">INDEX($F:$F,MATCH(1,($J87=$A:$A)*($K87=$B:$B)*(N$1=$H:$H),0))</f>
        <v>3.6509999999999998</v>
      </c>
      <c r="O87" s="4">
        <f t="array" aca="1" ref="O87" ca="1">INDEX($F:$F,MATCH(1,($J87=$A:$A)*($K87=$B:$B)*(O$1=$H:$H),0))</f>
        <v>2.6890000000000001</v>
      </c>
      <c r="P87" s="4">
        <f t="array" aca="1" ref="P87" ca="1">INDEX($F:$F,MATCH(1,($J87=$A:$A)*($K87=$B:$B)*(P$1=$H:$H),0))</f>
        <v>0.104</v>
      </c>
      <c r="Q87" s="4">
        <f t="array" aca="1" ref="Q87" ca="1">INDEX($F:$F,MATCH(1,($J87=$A:$A)*($K87=$B:$B)*(Q$1=$H:$H),0))</f>
        <v>0.26200000000000001</v>
      </c>
      <c r="R87" s="4">
        <f t="array" aca="1" ref="R87" ca="1">INDEX($F:$F,MATCH(1,($J87=$A:$A)*($K87=$B:$B)*(R$1=$H:$H),0))</f>
        <v>0.253</v>
      </c>
      <c r="S87" s="4">
        <f t="array" aca="1" ref="S87" ca="1">INDEX($F:$F,MATCH(1,($J87=$A:$A)*($K87=$B:$B)*(S$1=$H:$H),0))</f>
        <v>0.16400000000000001</v>
      </c>
      <c r="T87" s="5">
        <f ca="1">SUM(M87:S87)</f>
        <v>8.3680000000000003</v>
      </c>
      <c r="U87" s="4" cm="1">
        <f t="array" aca="1" ref="U87" ca="1">INDEX($F:$F,MATCH(1,($J87=$A:$A)*($K87=$B:$B)*(U$1=$H:$H),0))</f>
        <v>0</v>
      </c>
    </row>
    <row r="88" spans="1:21" x14ac:dyDescent="0.25">
      <c r="A88">
        <v>2015</v>
      </c>
      <c r="B88">
        <v>3</v>
      </c>
      <c r="C88" t="s">
        <v>16</v>
      </c>
      <c r="D88">
        <v>7.5279999999999996</v>
      </c>
      <c r="E88">
        <v>-18.3</v>
      </c>
      <c r="F88">
        <v>-1.7430000000000001</v>
      </c>
      <c r="H88" s="4" t="str">
        <f t="array" aca="1" ref="H88" ca="1">SUBSTITUTE(SUBSTITUTE(_xlfn.TEXTJOIN("",TRUE,IF(ISERR(MID(C88,ROW(INDIRECT("1:100")),1)+0),MID(C88,ROW(INDIRECT("1:100")),1),"")),")",""),"(","")</f>
        <v>Energy</v>
      </c>
      <c r="J88">
        <f t="shared" si="16"/>
        <v>2022</v>
      </c>
      <c r="K88">
        <f t="shared" si="14"/>
        <v>4</v>
      </c>
      <c r="L88" s="3">
        <f t="shared" si="12"/>
        <v>44652</v>
      </c>
      <c r="M88" s="4" t="e">
        <f t="array" aca="1" ref="M88" ca="1">INDEX($F:$F,MATCH(1,($J88=$A:$A)*($K88=$B:$B)*(M$1=$H:$H),0))</f>
        <v>#N/A</v>
      </c>
      <c r="N88" s="4" t="e">
        <f t="array" aca="1" ref="N88" ca="1">INDEX($F:$F,MATCH(1,($J88=$A:$A)*($K88=$B:$B)*(N$1=$H:$H),0))</f>
        <v>#N/A</v>
      </c>
      <c r="O88" s="4" t="e">
        <f t="array" aca="1" ref="O88" ca="1">INDEX($F:$F,MATCH(1,($J88=$A:$A)*($K88=$B:$B)*(O$1=$H:$H),0))</f>
        <v>#N/A</v>
      </c>
      <c r="P88" s="4" t="e">
        <f t="array" aca="1" ref="P88" ca="1">INDEX($F:$F,MATCH(1,($J88=$A:$A)*($K88=$B:$B)*(P$1=$H:$H),0))</f>
        <v>#N/A</v>
      </c>
      <c r="Q88" s="4" t="e">
        <f t="array" aca="1" ref="Q88" ca="1">INDEX($F:$F,MATCH(1,($J88=$A:$A)*($K88=$B:$B)*(Q$1=$H:$H),0))</f>
        <v>#N/A</v>
      </c>
      <c r="R88" s="4" t="e">
        <f t="array" aca="1" ref="R88" ca="1">INDEX($F:$F,MATCH(1,($J88=$A:$A)*($K88=$B:$B)*(R$1=$H:$H),0))</f>
        <v>#N/A</v>
      </c>
      <c r="S88" s="4" t="e">
        <f t="array" aca="1" ref="S88" ca="1">INDEX($F:$F,MATCH(1,($J88=$A:$A)*($K88=$B:$B)*(S$1=$H:$H),0))</f>
        <v>#N/A</v>
      </c>
      <c r="T88" s="5" t="e">
        <f t="shared" ca="1" si="13"/>
        <v>#N/A</v>
      </c>
      <c r="U88" s="4" t="e" cm="1">
        <f t="array" aca="1" ref="U88" ca="1">INDEX($F:$F,MATCH(1,($J88=$A:$A)*($K88=$B:$B)*(U$1=$H:$H),0))</f>
        <v>#N/A</v>
      </c>
    </row>
    <row r="89" spans="1:21" x14ac:dyDescent="0.25">
      <c r="A89">
        <v>2015</v>
      </c>
      <c r="B89">
        <v>3</v>
      </c>
      <c r="C89" t="s">
        <v>17</v>
      </c>
      <c r="D89">
        <v>78.168999999999997</v>
      </c>
      <c r="E89">
        <v>1.8</v>
      </c>
      <c r="F89">
        <v>1.343</v>
      </c>
      <c r="H89" s="4" t="str">
        <f t="array" aca="1" ref="H89" ca="1">SUBSTITUTE(SUBSTITUTE(_xlfn.TEXTJOIN("",TRUE,IF(ISERR(MID(C89,ROW(INDIRECT("1:100")),1)+0),MID(C89,ROW(INDIRECT("1:100")),1),"")),")",""),"(","")</f>
        <v>All items less food and energy</v>
      </c>
      <c r="J89">
        <f t="shared" si="16"/>
        <v>2022</v>
      </c>
      <c r="K89">
        <f t="shared" si="14"/>
        <v>5</v>
      </c>
      <c r="L89" s="3">
        <f t="shared" si="12"/>
        <v>44682</v>
      </c>
      <c r="M89" s="4" t="e">
        <f t="array" aca="1" ref="M89" ca="1">INDEX($F:$F,MATCH(1,($J89=$A:$A)*($K89=$B:$B)*(M$1=$H:$H),0))</f>
        <v>#N/A</v>
      </c>
      <c r="N89" s="4" t="e">
        <f t="array" aca="1" ref="N89" ca="1">INDEX($F:$F,MATCH(1,($J89=$A:$A)*($K89=$B:$B)*(N$1=$H:$H),0))</f>
        <v>#N/A</v>
      </c>
      <c r="O89" s="4" t="e">
        <f t="array" aca="1" ref="O89" ca="1">INDEX($F:$F,MATCH(1,($J89=$A:$A)*($K89=$B:$B)*(O$1=$H:$H),0))</f>
        <v>#N/A</v>
      </c>
      <c r="P89" s="4" t="e">
        <f t="array" aca="1" ref="P89" ca="1">INDEX($F:$F,MATCH(1,($J89=$A:$A)*($K89=$B:$B)*(P$1=$H:$H),0))</f>
        <v>#N/A</v>
      </c>
      <c r="Q89" s="4" t="e">
        <f t="array" aca="1" ref="Q89" ca="1">INDEX($F:$F,MATCH(1,($J89=$A:$A)*($K89=$B:$B)*(Q$1=$H:$H),0))</f>
        <v>#N/A</v>
      </c>
      <c r="R89" s="4" t="e">
        <f t="array" aca="1" ref="R89" ca="1">INDEX($F:$F,MATCH(1,($J89=$A:$A)*($K89=$B:$B)*(R$1=$H:$H),0))</f>
        <v>#N/A</v>
      </c>
      <c r="S89" s="4" t="e">
        <f t="array" aca="1" ref="S89" ca="1">INDEX($F:$F,MATCH(1,($J89=$A:$A)*($K89=$B:$B)*(S$1=$H:$H),0))</f>
        <v>#N/A</v>
      </c>
      <c r="T89" s="5" t="e">
        <f t="shared" ca="1" si="13"/>
        <v>#N/A</v>
      </c>
      <c r="U89" s="4" t="e" cm="1">
        <f t="array" aca="1" ref="U89" ca="1">INDEX($F:$F,MATCH(1,($J89=$A:$A)*($K89=$B:$B)*(U$1=$H:$H),0))</f>
        <v>#N/A</v>
      </c>
    </row>
    <row r="90" spans="1:21" x14ac:dyDescent="0.25">
      <c r="A90">
        <v>2015</v>
      </c>
      <c r="B90">
        <v>3</v>
      </c>
      <c r="C90" t="s">
        <v>18</v>
      </c>
      <c r="H90" s="4" t="str">
        <f t="array" aca="1" ref="H90" ca="1">SUBSTITUTE(SUBSTITUTE(_xlfn.TEXTJOIN("",TRUE,IF(ISERR(MID(C90,ROW(INDIRECT("1:100")),1)+0),MID(C90,ROW(INDIRECT("1:100")),1),"")),")",""),"(","")</f>
        <v>Special aggregate indexes</v>
      </c>
      <c r="J90">
        <f t="shared" si="16"/>
        <v>2022</v>
      </c>
      <c r="K90">
        <f t="shared" si="14"/>
        <v>6</v>
      </c>
      <c r="L90" s="3">
        <f t="shared" si="12"/>
        <v>44713</v>
      </c>
      <c r="M90" s="4" t="e">
        <f t="array" aca="1" ref="M90" ca="1">INDEX($F:$F,MATCH(1,($J90=$A:$A)*($K90=$B:$B)*(M$1=$H:$H),0))</f>
        <v>#N/A</v>
      </c>
      <c r="N90" s="4" t="e">
        <f t="array" aca="1" ref="N90" ca="1">INDEX($F:$F,MATCH(1,($J90=$A:$A)*($K90=$B:$B)*(N$1=$H:$H),0))</f>
        <v>#N/A</v>
      </c>
      <c r="O90" s="4" t="e">
        <f t="array" aca="1" ref="O90" ca="1">INDEX($F:$F,MATCH(1,($J90=$A:$A)*($K90=$B:$B)*(O$1=$H:$H),0))</f>
        <v>#N/A</v>
      </c>
      <c r="P90" s="4" t="e">
        <f t="array" aca="1" ref="P90" ca="1">INDEX($F:$F,MATCH(1,($J90=$A:$A)*($K90=$B:$B)*(P$1=$H:$H),0))</f>
        <v>#N/A</v>
      </c>
      <c r="Q90" s="4" t="e">
        <f t="array" aca="1" ref="Q90" ca="1">INDEX($F:$F,MATCH(1,($J90=$A:$A)*($K90=$B:$B)*(Q$1=$H:$H),0))</f>
        <v>#N/A</v>
      </c>
      <c r="R90" s="4" t="e">
        <f t="array" aca="1" ref="R90" ca="1">INDEX($F:$F,MATCH(1,($J90=$A:$A)*($K90=$B:$B)*(R$1=$H:$H),0))</f>
        <v>#N/A</v>
      </c>
      <c r="S90" s="4" t="e">
        <f t="array" aca="1" ref="S90" ca="1">INDEX($F:$F,MATCH(1,($J90=$A:$A)*($K90=$B:$B)*(S$1=$H:$H),0))</f>
        <v>#N/A</v>
      </c>
      <c r="T90" s="5" t="e">
        <f t="shared" ca="1" si="13"/>
        <v>#N/A</v>
      </c>
      <c r="U90" s="4" t="e" cm="1">
        <f t="array" aca="1" ref="U90" ca="1">INDEX($F:$F,MATCH(1,($J90=$A:$A)*($K90=$B:$B)*(U$1=$H:$H),0))</f>
        <v>#N/A</v>
      </c>
    </row>
    <row r="91" spans="1:21" x14ac:dyDescent="0.25">
      <c r="A91">
        <v>2015</v>
      </c>
      <c r="B91">
        <v>3</v>
      </c>
      <c r="C91" t="s">
        <v>19</v>
      </c>
      <c r="D91">
        <v>85.697000000000003</v>
      </c>
      <c r="E91">
        <v>-0.5</v>
      </c>
      <c r="F91">
        <v>-0.39900000000000002</v>
      </c>
      <c r="H91" s="4" t="str">
        <f t="array" aca="1" ref="H91" ca="1">SUBSTITUTE(SUBSTITUTE(_xlfn.TEXTJOIN("",TRUE,IF(ISERR(MID(C91,ROW(INDIRECT("1:100")),1)+0),MID(C91,ROW(INDIRECT("1:100")),1),"")),")",""),"(","")</f>
        <v>All items less food</v>
      </c>
      <c r="J91">
        <f t="shared" si="16"/>
        <v>2022</v>
      </c>
      <c r="K91">
        <f t="shared" si="14"/>
        <v>7</v>
      </c>
      <c r="L91" s="3">
        <f t="shared" si="12"/>
        <v>44743</v>
      </c>
      <c r="M91" s="4" t="e">
        <f t="array" aca="1" ref="M91" ca="1">INDEX($F:$F,MATCH(1,($J91=$A:$A)*($K91=$B:$B)*(M$1=$H:$H),0))</f>
        <v>#N/A</v>
      </c>
      <c r="N91" s="4" t="e">
        <f t="array" aca="1" ref="N91" ca="1">INDEX($F:$F,MATCH(1,($J91=$A:$A)*($K91=$B:$B)*(N$1=$H:$H),0))</f>
        <v>#N/A</v>
      </c>
      <c r="O91" s="4" t="e">
        <f t="array" aca="1" ref="O91" ca="1">INDEX($F:$F,MATCH(1,($J91=$A:$A)*($K91=$B:$B)*(O$1=$H:$H),0))</f>
        <v>#N/A</v>
      </c>
      <c r="P91" s="4" t="e">
        <f t="array" aca="1" ref="P91" ca="1">INDEX($F:$F,MATCH(1,($J91=$A:$A)*($K91=$B:$B)*(P$1=$H:$H),0))</f>
        <v>#N/A</v>
      </c>
      <c r="Q91" s="4" t="e">
        <f t="array" aca="1" ref="Q91" ca="1">INDEX($F:$F,MATCH(1,($J91=$A:$A)*($K91=$B:$B)*(Q$1=$H:$H),0))</f>
        <v>#N/A</v>
      </c>
      <c r="R91" s="4" t="e">
        <f t="array" aca="1" ref="R91" ca="1">INDEX($F:$F,MATCH(1,($J91=$A:$A)*($K91=$B:$B)*(R$1=$H:$H),0))</f>
        <v>#N/A</v>
      </c>
      <c r="S91" s="4" t="e">
        <f t="array" aca="1" ref="S91" ca="1">INDEX($F:$F,MATCH(1,($J91=$A:$A)*($K91=$B:$B)*(S$1=$H:$H),0))</f>
        <v>#N/A</v>
      </c>
      <c r="T91" s="5" t="e">
        <f t="shared" ca="1" si="13"/>
        <v>#N/A</v>
      </c>
      <c r="U91" s="4" t="e" cm="1">
        <f t="array" aca="1" ref="U91" ca="1">INDEX($F:$F,MATCH(1,($J91=$A:$A)*($K91=$B:$B)*(U$1=$H:$H),0))</f>
        <v>#N/A</v>
      </c>
    </row>
    <row r="92" spans="1:21" x14ac:dyDescent="0.25">
      <c r="A92">
        <v>2015</v>
      </c>
      <c r="B92">
        <v>3</v>
      </c>
      <c r="C92" t="s">
        <v>20</v>
      </c>
      <c r="D92">
        <v>67.061999999999998</v>
      </c>
      <c r="E92">
        <v>-1.5</v>
      </c>
      <c r="F92">
        <v>-1.016</v>
      </c>
      <c r="H92" s="4" t="str">
        <f t="array" aca="1" ref="H92" ca="1">SUBSTITUTE(SUBSTITUTE(_xlfn.TEXTJOIN("",TRUE,IF(ISERR(MID(C92,ROW(INDIRECT("1:100")),1)+0),MID(C92,ROW(INDIRECT("1:100")),1),"")),")",""),"(","")</f>
        <v>All items less shelter</v>
      </c>
      <c r="J92">
        <f t="shared" si="16"/>
        <v>2022</v>
      </c>
      <c r="K92">
        <f t="shared" si="14"/>
        <v>8</v>
      </c>
      <c r="L92" s="3">
        <f t="shared" si="12"/>
        <v>44774</v>
      </c>
      <c r="M92" s="4" t="e">
        <f t="array" aca="1" ref="M92" ca="1">INDEX($F:$F,MATCH(1,($J92=$A:$A)*($K92=$B:$B)*(M$1=$H:$H),0))</f>
        <v>#N/A</v>
      </c>
      <c r="N92" s="4" t="e">
        <f t="array" aca="1" ref="N92" ca="1">INDEX($F:$F,MATCH(1,($J92=$A:$A)*($K92=$B:$B)*(N$1=$H:$H),0))</f>
        <v>#N/A</v>
      </c>
      <c r="O92" s="4" t="e">
        <f t="array" aca="1" ref="O92" ca="1">INDEX($F:$F,MATCH(1,($J92=$A:$A)*($K92=$B:$B)*(O$1=$H:$H),0))</f>
        <v>#N/A</v>
      </c>
      <c r="P92" s="4" t="e">
        <f t="array" aca="1" ref="P92" ca="1">INDEX($F:$F,MATCH(1,($J92=$A:$A)*($K92=$B:$B)*(P$1=$H:$H),0))</f>
        <v>#N/A</v>
      </c>
      <c r="Q92" s="4" t="e">
        <f t="array" aca="1" ref="Q92" ca="1">INDEX($F:$F,MATCH(1,($J92=$A:$A)*($K92=$B:$B)*(Q$1=$H:$H),0))</f>
        <v>#N/A</v>
      </c>
      <c r="R92" s="4" t="e">
        <f t="array" aca="1" ref="R92" ca="1">INDEX($F:$F,MATCH(1,($J92=$A:$A)*($K92=$B:$B)*(R$1=$H:$H),0))</f>
        <v>#N/A</v>
      </c>
      <c r="S92" s="4" t="e">
        <f t="array" aca="1" ref="S92" ca="1">INDEX($F:$F,MATCH(1,($J92=$A:$A)*($K92=$B:$B)*(S$1=$H:$H),0))</f>
        <v>#N/A</v>
      </c>
      <c r="T92" s="5" t="e">
        <f t="shared" ca="1" si="13"/>
        <v>#N/A</v>
      </c>
      <c r="U92" s="4" t="e" cm="1">
        <f t="array" aca="1" ref="U92" ca="1">INDEX($F:$F,MATCH(1,($J92=$A:$A)*($K92=$B:$B)*(U$1=$H:$H),0))</f>
        <v>#N/A</v>
      </c>
    </row>
    <row r="93" spans="1:21" x14ac:dyDescent="0.25">
      <c r="A93">
        <v>2015</v>
      </c>
      <c r="B93">
        <v>3</v>
      </c>
      <c r="C93" t="s">
        <v>21</v>
      </c>
      <c r="D93">
        <v>52.759</v>
      </c>
      <c r="E93">
        <v>-2.5</v>
      </c>
      <c r="F93">
        <v>-1.341</v>
      </c>
      <c r="H93" s="4" t="str">
        <f t="array" aca="1" ref="H93" ca="1">SUBSTITUTE(SUBSTITUTE(_xlfn.TEXTJOIN("",TRUE,IF(ISERR(MID(C93,ROW(INDIRECT("1:100")),1)+0),MID(C93,ROW(INDIRECT("1:100")),1),"")),")",""),"(","")</f>
        <v>All items less food and shelter</v>
      </c>
      <c r="J93">
        <f t="shared" si="16"/>
        <v>2022</v>
      </c>
      <c r="K93">
        <f t="shared" si="14"/>
        <v>9</v>
      </c>
      <c r="L93" s="3">
        <f t="shared" si="12"/>
        <v>44805</v>
      </c>
      <c r="M93" s="4" t="e">
        <f t="array" aca="1" ref="M93" ca="1">INDEX($F:$F,MATCH(1,($J93=$A:$A)*($K93=$B:$B)*(M$1=$H:$H),0))</f>
        <v>#N/A</v>
      </c>
      <c r="N93" s="4" t="e">
        <f t="array" aca="1" ref="N93" ca="1">INDEX($F:$F,MATCH(1,($J93=$A:$A)*($K93=$B:$B)*(N$1=$H:$H),0))</f>
        <v>#N/A</v>
      </c>
      <c r="O93" s="4" t="e">
        <f t="array" aca="1" ref="O93" ca="1">INDEX($F:$F,MATCH(1,($J93=$A:$A)*($K93=$B:$B)*(O$1=$H:$H),0))</f>
        <v>#N/A</v>
      </c>
      <c r="P93" s="4" t="e">
        <f t="array" aca="1" ref="P93" ca="1">INDEX($F:$F,MATCH(1,($J93=$A:$A)*($K93=$B:$B)*(P$1=$H:$H),0))</f>
        <v>#N/A</v>
      </c>
      <c r="Q93" s="4" t="e">
        <f t="array" aca="1" ref="Q93" ca="1">INDEX($F:$F,MATCH(1,($J93=$A:$A)*($K93=$B:$B)*(Q$1=$H:$H),0))</f>
        <v>#N/A</v>
      </c>
      <c r="R93" s="4" t="e">
        <f t="array" aca="1" ref="R93" ca="1">INDEX($F:$F,MATCH(1,($J93=$A:$A)*($K93=$B:$B)*(R$1=$H:$H),0))</f>
        <v>#N/A</v>
      </c>
      <c r="S93" s="4" t="e">
        <f t="array" aca="1" ref="S93" ca="1">INDEX($F:$F,MATCH(1,($J93=$A:$A)*($K93=$B:$B)*(S$1=$H:$H),0))</f>
        <v>#N/A</v>
      </c>
      <c r="T93" s="5" t="e">
        <f t="shared" ca="1" si="13"/>
        <v>#N/A</v>
      </c>
      <c r="U93" s="4" t="e" cm="1">
        <f t="array" aca="1" ref="U93" ca="1">INDEX($F:$F,MATCH(1,($J93=$A:$A)*($K93=$B:$B)*(U$1=$H:$H),0))</f>
        <v>#N/A</v>
      </c>
    </row>
    <row r="94" spans="1:21" x14ac:dyDescent="0.25">
      <c r="A94">
        <v>2015</v>
      </c>
      <c r="B94">
        <v>3</v>
      </c>
      <c r="C94" t="s">
        <v>22</v>
      </c>
      <c r="D94">
        <v>45.231000000000002</v>
      </c>
      <c r="E94">
        <v>0.9</v>
      </c>
      <c r="F94">
        <v>0.40100000000000002</v>
      </c>
      <c r="H94" s="4" t="str">
        <f t="array" aca="1" ref="H94" ca="1">SUBSTITUTE(SUBSTITUTE(_xlfn.TEXTJOIN("",TRUE,IF(ISERR(MID(C94,ROW(INDIRECT("1:100")),1)+0),MID(C94,ROW(INDIRECT("1:100")),1),"")),")",""),"(","")</f>
        <v>All items less food, shelter, and energy</v>
      </c>
      <c r="J94">
        <f t="shared" si="16"/>
        <v>2022</v>
      </c>
      <c r="K94">
        <f t="shared" si="14"/>
        <v>10</v>
      </c>
      <c r="L94" s="3">
        <f t="shared" si="12"/>
        <v>44835</v>
      </c>
      <c r="M94" s="4" t="e">
        <f t="array" aca="1" ref="M94" ca="1">INDEX($F:$F,MATCH(1,($J94=$A:$A)*($K94=$B:$B)*(M$1=$H:$H),0))</f>
        <v>#N/A</v>
      </c>
      <c r="N94" s="4" t="e">
        <f t="array" aca="1" ref="N94" ca="1">INDEX($F:$F,MATCH(1,($J94=$A:$A)*($K94=$B:$B)*(N$1=$H:$H),0))</f>
        <v>#N/A</v>
      </c>
      <c r="O94" s="4" t="e">
        <f t="array" aca="1" ref="O94" ca="1">INDEX($F:$F,MATCH(1,($J94=$A:$A)*($K94=$B:$B)*(O$1=$H:$H),0))</f>
        <v>#N/A</v>
      </c>
      <c r="P94" s="4" t="e">
        <f t="array" aca="1" ref="P94" ca="1">INDEX($F:$F,MATCH(1,($J94=$A:$A)*($K94=$B:$B)*(P$1=$H:$H),0))</f>
        <v>#N/A</v>
      </c>
      <c r="Q94" s="4" t="e">
        <f t="array" aca="1" ref="Q94" ca="1">INDEX($F:$F,MATCH(1,($J94=$A:$A)*($K94=$B:$B)*(Q$1=$H:$H),0))</f>
        <v>#N/A</v>
      </c>
      <c r="R94" s="4" t="e">
        <f t="array" aca="1" ref="R94" ca="1">INDEX($F:$F,MATCH(1,($J94=$A:$A)*($K94=$B:$B)*(R$1=$H:$H),0))</f>
        <v>#N/A</v>
      </c>
      <c r="S94" s="4" t="e">
        <f t="array" aca="1" ref="S94" ca="1">INDEX($F:$F,MATCH(1,($J94=$A:$A)*($K94=$B:$B)*(S$1=$H:$H),0))</f>
        <v>#N/A</v>
      </c>
      <c r="T94" s="5" t="e">
        <f t="shared" ca="1" si="13"/>
        <v>#N/A</v>
      </c>
      <c r="U94" s="4" t="e" cm="1">
        <f t="array" aca="1" ref="U94" ca="1">INDEX($F:$F,MATCH(1,($J94=$A:$A)*($K94=$B:$B)*(U$1=$H:$H),0))</f>
        <v>#N/A</v>
      </c>
    </row>
    <row r="95" spans="1:21" x14ac:dyDescent="0.25">
      <c r="A95">
        <v>2015</v>
      </c>
      <c r="B95">
        <v>3</v>
      </c>
      <c r="C95" t="s">
        <v>23</v>
      </c>
      <c r="D95">
        <v>43.622999999999998</v>
      </c>
      <c r="E95">
        <v>1</v>
      </c>
      <c r="F95">
        <v>0.42199999999999999</v>
      </c>
      <c r="H95" s="4" t="str">
        <f t="array" aca="1" ref="H95" ca="1">SUBSTITUTE(SUBSTITUTE(_xlfn.TEXTJOIN("",TRUE,IF(ISERR(MID(C95,ROW(INDIRECT("1:100")),1)+0),MID(C95,ROW(INDIRECT("1:100")),1),"")),")",""),"(","")</f>
        <v>All items less food, shelter, energy, and used cars and trucks</v>
      </c>
      <c r="J95">
        <f t="shared" si="16"/>
        <v>2022</v>
      </c>
      <c r="K95">
        <f t="shared" si="14"/>
        <v>11</v>
      </c>
      <c r="L95" s="3">
        <f t="shared" si="12"/>
        <v>44866</v>
      </c>
      <c r="M95" s="4" t="e">
        <f t="array" aca="1" ref="M95" ca="1">INDEX($F:$F,MATCH(1,($J95=$A:$A)*($K95=$B:$B)*(M$1=$H:$H),0))</f>
        <v>#N/A</v>
      </c>
      <c r="N95" s="4" t="e">
        <f t="array" aca="1" ref="N95" ca="1">INDEX($F:$F,MATCH(1,($J95=$A:$A)*($K95=$B:$B)*(N$1=$H:$H),0))</f>
        <v>#N/A</v>
      </c>
      <c r="O95" s="4" t="e">
        <f t="array" aca="1" ref="O95" ca="1">INDEX($F:$F,MATCH(1,($J95=$A:$A)*($K95=$B:$B)*(O$1=$H:$H),0))</f>
        <v>#N/A</v>
      </c>
      <c r="P95" s="4" t="e">
        <f t="array" aca="1" ref="P95" ca="1">INDEX($F:$F,MATCH(1,($J95=$A:$A)*($K95=$B:$B)*(P$1=$H:$H),0))</f>
        <v>#N/A</v>
      </c>
      <c r="Q95" s="4" t="e">
        <f t="array" aca="1" ref="Q95" ca="1">INDEX($F:$F,MATCH(1,($J95=$A:$A)*($K95=$B:$B)*(Q$1=$H:$H),0))</f>
        <v>#N/A</v>
      </c>
      <c r="R95" s="4" t="e">
        <f t="array" aca="1" ref="R95" ca="1">INDEX($F:$F,MATCH(1,($J95=$A:$A)*($K95=$B:$B)*(R$1=$H:$H),0))</f>
        <v>#N/A</v>
      </c>
      <c r="S95" s="4" t="e">
        <f t="array" aca="1" ref="S95" ca="1">INDEX($F:$F,MATCH(1,($J95=$A:$A)*($K95=$B:$B)*(S$1=$H:$H),0))</f>
        <v>#N/A</v>
      </c>
      <c r="T95" s="5" t="e">
        <f t="shared" ca="1" si="13"/>
        <v>#N/A</v>
      </c>
      <c r="U95" s="4" t="e" cm="1">
        <f t="array" aca="1" ref="U95" ca="1">INDEX($F:$F,MATCH(1,($J95=$A:$A)*($K95=$B:$B)*(U$1=$H:$H),0))</f>
        <v>#N/A</v>
      </c>
    </row>
    <row r="96" spans="1:21" x14ac:dyDescent="0.25">
      <c r="A96">
        <v>2015</v>
      </c>
      <c r="B96">
        <v>3</v>
      </c>
      <c r="C96" t="s">
        <v>24</v>
      </c>
      <c r="D96">
        <v>92.227000000000004</v>
      </c>
      <c r="E96">
        <v>-0.3</v>
      </c>
      <c r="F96">
        <v>-0.26</v>
      </c>
      <c r="H96" s="4" t="str">
        <f t="array" aca="1" ref="H96" ca="1">SUBSTITUTE(SUBSTITUTE(_xlfn.TEXTJOIN("",TRUE,IF(ISERR(MID(C96,ROW(INDIRECT("1:100")),1)+0),MID(C96,ROW(INDIRECT("1:100")),1),"")),")",""),"(","")</f>
        <v>All items less medical care</v>
      </c>
      <c r="J96">
        <f t="shared" si="16"/>
        <v>2022</v>
      </c>
      <c r="K96">
        <f t="shared" si="14"/>
        <v>12</v>
      </c>
      <c r="L96" s="3">
        <f t="shared" si="12"/>
        <v>44896</v>
      </c>
      <c r="M96" s="4" t="e">
        <f t="array" aca="1" ref="M96" ca="1">INDEX($F:$F,MATCH(1,($J96=$A:$A)*($K96=$B:$B)*(M$1=$H:$H),0))</f>
        <v>#N/A</v>
      </c>
      <c r="N96" s="4" t="e">
        <f t="array" aca="1" ref="N96" ca="1">INDEX($F:$F,MATCH(1,($J96=$A:$A)*($K96=$B:$B)*(N$1=$H:$H),0))</f>
        <v>#N/A</v>
      </c>
      <c r="O96" s="4" t="e">
        <f t="array" aca="1" ref="O96" ca="1">INDEX($F:$F,MATCH(1,($J96=$A:$A)*($K96=$B:$B)*(O$1=$H:$H),0))</f>
        <v>#N/A</v>
      </c>
      <c r="P96" s="4" t="e">
        <f t="array" aca="1" ref="P96" ca="1">INDEX($F:$F,MATCH(1,($J96=$A:$A)*($K96=$B:$B)*(P$1=$H:$H),0))</f>
        <v>#N/A</v>
      </c>
      <c r="Q96" s="4" t="e">
        <f t="array" aca="1" ref="Q96" ca="1">INDEX($F:$F,MATCH(1,($J96=$A:$A)*($K96=$B:$B)*(Q$1=$H:$H),0))</f>
        <v>#N/A</v>
      </c>
      <c r="R96" s="4" t="e">
        <f t="array" aca="1" ref="R96" ca="1">INDEX($F:$F,MATCH(1,($J96=$A:$A)*($K96=$B:$B)*(R$1=$H:$H),0))</f>
        <v>#N/A</v>
      </c>
      <c r="S96" s="4" t="e">
        <f t="array" aca="1" ref="S96" ca="1">INDEX($F:$F,MATCH(1,($J96=$A:$A)*($K96=$B:$B)*(S$1=$H:$H),0))</f>
        <v>#N/A</v>
      </c>
      <c r="T96" s="5" t="e">
        <f t="shared" ca="1" si="13"/>
        <v>#N/A</v>
      </c>
      <c r="U96" s="4" t="e" cm="1">
        <f t="array" aca="1" ref="U96" ca="1">INDEX($F:$F,MATCH(1,($J96=$A:$A)*($K96=$B:$B)*(U$1=$H:$H),0))</f>
        <v>#N/A</v>
      </c>
    </row>
    <row r="97" spans="1:8" x14ac:dyDescent="0.25">
      <c r="A97">
        <v>2015</v>
      </c>
      <c r="B97">
        <v>3</v>
      </c>
      <c r="C97" t="s">
        <v>25</v>
      </c>
      <c r="D97">
        <v>92.471999999999994</v>
      </c>
      <c r="E97">
        <v>1.8</v>
      </c>
      <c r="F97">
        <v>1.669</v>
      </c>
      <c r="H97" s="4" t="str">
        <f t="array" aca="1" ref="H97" ca="1">SUBSTITUTE(SUBSTITUTE(_xlfn.TEXTJOIN("",TRUE,IF(ISERR(MID(C97,ROW(INDIRECT("1:100")),1)+0),MID(C97,ROW(INDIRECT("1:100")),1),"")),")",""),"(","")</f>
        <v>All items less energy</v>
      </c>
    </row>
    <row r="98" spans="1:8" x14ac:dyDescent="0.25">
      <c r="A98">
        <v>2015</v>
      </c>
      <c r="B98">
        <v>3</v>
      </c>
      <c r="C98" t="s">
        <v>26</v>
      </c>
      <c r="D98">
        <v>37.494</v>
      </c>
      <c r="E98">
        <v>-3.5</v>
      </c>
      <c r="F98">
        <v>-1.351</v>
      </c>
      <c r="H98" s="4" t="str">
        <f t="array" aca="1" ref="H98" ca="1">SUBSTITUTE(SUBSTITUTE(_xlfn.TEXTJOIN("",TRUE,IF(ISERR(MID(C98,ROW(INDIRECT("1:100")),1)+0),MID(C98,ROW(INDIRECT("1:100")),1),"")),")",""),"(","")</f>
        <v>Commodities</v>
      </c>
    </row>
    <row r="99" spans="1:8" x14ac:dyDescent="0.25">
      <c r="A99">
        <v>2015</v>
      </c>
      <c r="B99">
        <v>3</v>
      </c>
      <c r="C99" t="s">
        <v>27</v>
      </c>
      <c r="D99">
        <v>62.506</v>
      </c>
      <c r="E99">
        <v>2.1</v>
      </c>
      <c r="F99">
        <v>1.2769999999999999</v>
      </c>
      <c r="H99" s="4" t="str">
        <f t="array" aca="1" ref="H99" ca="1">SUBSTITUTE(SUBSTITUTE(_xlfn.TEXTJOIN("",TRUE,IF(ISERR(MID(C99,ROW(INDIRECT("1:100")),1)+0),MID(C99,ROW(INDIRECT("1:100")),1),"")),")",""),"(","")</f>
        <v>Services</v>
      </c>
    </row>
    <row r="100" spans="1:8" x14ac:dyDescent="0.25">
      <c r="A100">
        <v>2015</v>
      </c>
      <c r="B100">
        <v>3</v>
      </c>
      <c r="C100" t="s">
        <v>28</v>
      </c>
      <c r="D100">
        <v>9</v>
      </c>
      <c r="E100">
        <v>-1.2</v>
      </c>
      <c r="F100">
        <v>-0.11</v>
      </c>
      <c r="H100" s="4" t="str">
        <f t="array" aca="1" ref="H100" ca="1">SUBSTITUTE(SUBSTITUTE(_xlfn.TEXTJOIN("",TRUE,IF(ISERR(MID(C100,ROW(INDIRECT("1:100")),1)+0),MID(C100,ROW(INDIRECT("1:100")),1),"")),")",""),"(","")</f>
        <v>Durables</v>
      </c>
    </row>
    <row r="101" spans="1:8" x14ac:dyDescent="0.25">
      <c r="A101">
        <v>2015</v>
      </c>
      <c r="B101">
        <v>3</v>
      </c>
      <c r="C101" t="s">
        <v>29</v>
      </c>
      <c r="D101">
        <v>28.494</v>
      </c>
      <c r="E101">
        <v>-4.0999999999999996</v>
      </c>
      <c r="F101">
        <v>-1.2410000000000001</v>
      </c>
      <c r="H101" s="4" t="str">
        <f t="array" aca="1" ref="H101" ca="1">SUBSTITUTE(SUBSTITUTE(_xlfn.TEXTJOIN("",TRUE,IF(ISERR(MID(C101,ROW(INDIRECT("1:100")),1)+0),MID(C101,ROW(INDIRECT("1:100")),1),"")),")",""),"(","")</f>
        <v>Nondurables</v>
      </c>
    </row>
    <row r="102" spans="1:8" x14ac:dyDescent="0.25">
      <c r="A102">
        <v>2015</v>
      </c>
      <c r="B102">
        <v>3</v>
      </c>
      <c r="C102" t="s">
        <v>8</v>
      </c>
      <c r="D102">
        <v>42.433999999999997</v>
      </c>
      <c r="E102">
        <v>1.9</v>
      </c>
      <c r="F102">
        <v>0.79800000000000004</v>
      </c>
      <c r="H102" s="4" t="str">
        <f t="array" aca="1" ref="H102" ca="1">SUBSTITUTE(SUBSTITUTE(_xlfn.TEXTJOIN("",TRUE,IF(ISERR(MID(C102,ROW(INDIRECT("1:100")),1)+0),MID(C102,ROW(INDIRECT("1:100")),1),"")),")",""),"(","")</f>
        <v>Housing</v>
      </c>
    </row>
    <row r="103" spans="1:8" x14ac:dyDescent="0.25">
      <c r="A103">
        <v>2015</v>
      </c>
      <c r="B103">
        <v>3</v>
      </c>
      <c r="C103" t="s">
        <v>30</v>
      </c>
      <c r="D103">
        <v>7.0730000000000004</v>
      </c>
      <c r="E103">
        <v>0.3</v>
      </c>
      <c r="F103">
        <v>2.1999999999999999E-2</v>
      </c>
      <c r="H103" s="4" t="str">
        <f t="array" aca="1" ref="H103" ca="1">SUBSTITUTE(SUBSTITUTE(_xlfn.TEXTJOIN("",TRUE,IF(ISERR(MID(C103,ROW(INDIRECT("1:100")),1)+0),MID(C103,ROW(INDIRECT("1:100")),1),"")),")",""),"(","")</f>
        <v>Education and communication</v>
      </c>
    </row>
    <row r="104" spans="1:8" x14ac:dyDescent="0.25">
      <c r="A104">
        <v>2015</v>
      </c>
      <c r="B104">
        <v>3</v>
      </c>
      <c r="C104" t="s">
        <v>31</v>
      </c>
      <c r="D104">
        <v>5.7880000000000003</v>
      </c>
      <c r="E104">
        <v>0.1</v>
      </c>
      <c r="F104">
        <v>4.0000000000000001E-3</v>
      </c>
      <c r="H104" s="4" t="str">
        <f t="array" aca="1" ref="H104" ca="1">SUBSTITUTE(SUBSTITUTE(_xlfn.TEXTJOIN("",TRUE,IF(ISERR(MID(C104,ROW(INDIRECT("1:100")),1)+0),MID(C104,ROW(INDIRECT("1:100")),1),"")),")",""),"(","")</f>
        <v>Recreation</v>
      </c>
    </row>
    <row r="105" spans="1:8" x14ac:dyDescent="0.25">
      <c r="A105">
        <v>2015</v>
      </c>
      <c r="B105">
        <v>3</v>
      </c>
      <c r="C105" t="s">
        <v>6</v>
      </c>
      <c r="D105">
        <v>15.32</v>
      </c>
      <c r="E105">
        <v>2.2999999999999998</v>
      </c>
      <c r="F105">
        <v>0.33800000000000002</v>
      </c>
      <c r="H105" s="4" t="str">
        <f t="array" aca="1" ref="H105" ca="1">SUBSTITUTE(SUBSTITUTE(_xlfn.TEXTJOIN("",TRUE,IF(ISERR(MID(C105,ROW(INDIRECT("1:100")),1)+0),MID(C105,ROW(INDIRECT("1:100")),1),"")),")",""),"(","")</f>
        <v>Food and beverages</v>
      </c>
    </row>
    <row r="106" spans="1:8" x14ac:dyDescent="0.25">
      <c r="A106">
        <v>2015</v>
      </c>
      <c r="B106">
        <v>3</v>
      </c>
      <c r="C106" t="s">
        <v>32</v>
      </c>
      <c r="D106">
        <v>12.009</v>
      </c>
      <c r="E106">
        <v>1.2</v>
      </c>
      <c r="F106">
        <v>0.13800000000000001</v>
      </c>
      <c r="H106" s="4" t="str">
        <f t="array" aca="1" ref="H106" ca="1">SUBSTITUTE(SUBSTITUTE(_xlfn.TEXTJOIN("",TRUE,IF(ISERR(MID(C106,ROW(INDIRECT("1:100")),1)+0),MID(C106,ROW(INDIRECT("1:100")),1),"")),")",""),"(","")</f>
        <v>Other services</v>
      </c>
    </row>
    <row r="107" spans="1:8" x14ac:dyDescent="0.25">
      <c r="A107">
        <v>2015</v>
      </c>
      <c r="B107">
        <v>3</v>
      </c>
      <c r="C107" t="s">
        <v>33</v>
      </c>
      <c r="D107">
        <v>2.6429999999999998</v>
      </c>
      <c r="E107">
        <v>-1.4</v>
      </c>
      <c r="F107">
        <v>-3.6999999999999998E-2</v>
      </c>
      <c r="H107" s="4" t="str">
        <f t="array" aca="1" ref="H107" ca="1">SUBSTITUTE(SUBSTITUTE(_xlfn.TEXTJOIN("",TRUE,IF(ISERR(MID(C107,ROW(INDIRECT("1:100")),1)+0),MID(C107,ROW(INDIRECT("1:100")),1),"")),")",""),"(","")</f>
        <v>Apparel less footwear</v>
      </c>
    </row>
    <row r="108" spans="1:8" x14ac:dyDescent="0.25">
      <c r="A108">
        <v>2015</v>
      </c>
      <c r="B108">
        <v>3</v>
      </c>
      <c r="C108" t="s">
        <v>34</v>
      </c>
      <c r="D108">
        <v>5.2919999999999998</v>
      </c>
      <c r="E108">
        <v>-2.2999999999999998</v>
      </c>
      <c r="F108">
        <v>-0.12</v>
      </c>
      <c r="H108" s="4" t="str">
        <f t="array" aca="1" ref="H108" ca="1">SUBSTITUTE(SUBSTITUTE(_xlfn.TEXTJOIN("",TRUE,IF(ISERR(MID(C108,ROW(INDIRECT("1:100")),1)+0),MID(C108,ROW(INDIRECT("1:100")),1),"")),")",""),"(","")</f>
        <v>Fuels and utilities</v>
      </c>
    </row>
    <row r="109" spans="1:8" x14ac:dyDescent="0.25">
      <c r="A109">
        <v>2015</v>
      </c>
      <c r="B109">
        <v>3</v>
      </c>
      <c r="C109" t="s">
        <v>11</v>
      </c>
      <c r="D109">
        <v>7.7729999999999997</v>
      </c>
      <c r="E109">
        <v>2.5</v>
      </c>
      <c r="F109">
        <v>0.186</v>
      </c>
      <c r="H109" s="4" t="str">
        <f t="array" aca="1" ref="H109" ca="1">SUBSTITUTE(SUBSTITUTE(_xlfn.TEXTJOIN("",TRUE,IF(ISERR(MID(C109,ROW(INDIRECT("1:100")),1)+0),MID(C109,ROW(INDIRECT("1:100")),1),"")),")",""),"(","")</f>
        <v>Medical care</v>
      </c>
    </row>
    <row r="110" spans="1:8" x14ac:dyDescent="0.25">
      <c r="A110">
        <v>2015</v>
      </c>
      <c r="B110">
        <v>3</v>
      </c>
      <c r="C110" t="s">
        <v>7</v>
      </c>
      <c r="D110">
        <v>14.848000000000001</v>
      </c>
      <c r="E110">
        <v>-8.6999999999999993</v>
      </c>
      <c r="F110">
        <v>-1.45</v>
      </c>
      <c r="H110" s="4" t="str">
        <f t="array" aca="1" ref="H110" ca="1">SUBSTITUTE(SUBSTITUTE(_xlfn.TEXTJOIN("",TRUE,IF(ISERR(MID(C110,ROW(INDIRECT("1:100")),1)+0),MID(C110,ROW(INDIRECT("1:100")),1),"")),")",""),"(","")</f>
        <v>Transportation</v>
      </c>
    </row>
    <row r="111" spans="1:8" x14ac:dyDescent="0.25">
      <c r="A111">
        <v>2015</v>
      </c>
      <c r="B111">
        <v>3</v>
      </c>
      <c r="C111" t="s">
        <v>35</v>
      </c>
      <c r="D111">
        <v>10.135</v>
      </c>
      <c r="E111">
        <v>-1.4</v>
      </c>
      <c r="F111">
        <v>-0.13800000000000001</v>
      </c>
      <c r="H111" s="4" t="str">
        <f t="array" aca="1" ref="H111" ca="1">SUBSTITUTE(SUBSTITUTE(_xlfn.TEXTJOIN("",TRUE,IF(ISERR(MID(C111,ROW(INDIRECT("1:100")),1)+0),MID(C111,ROW(INDIRECT("1:100")),1),"")),")",""),"(","")</f>
        <v>Utilities and public transportation</v>
      </c>
    </row>
    <row r="112" spans="1:8" x14ac:dyDescent="0.25">
      <c r="A112">
        <v>2015</v>
      </c>
      <c r="B112">
        <v>3</v>
      </c>
      <c r="C112" t="s">
        <v>36</v>
      </c>
      <c r="D112">
        <v>4.2030000000000003</v>
      </c>
      <c r="E112">
        <v>-0.6</v>
      </c>
      <c r="F112">
        <v>-2.4E-2</v>
      </c>
      <c r="H112" s="4" t="str">
        <f t="array" aca="1" ref="H112" ca="1">SUBSTITUTE(SUBSTITUTE(_xlfn.TEXTJOIN("",TRUE,IF(ISERR(MID(C112,ROW(INDIRECT("1:100")),1)+0),MID(C112,ROW(INDIRECT("1:100")),1),"")),")",""),"(","")</f>
        <v>Household furnishings and operations</v>
      </c>
    </row>
    <row r="113" spans="1:8" x14ac:dyDescent="0.25">
      <c r="A113">
        <v>2015</v>
      </c>
      <c r="B113">
        <v>3</v>
      </c>
      <c r="C113" t="s">
        <v>12</v>
      </c>
      <c r="D113">
        <v>3.4049999999999998</v>
      </c>
      <c r="E113">
        <v>1.4</v>
      </c>
      <c r="F113">
        <v>4.7E-2</v>
      </c>
      <c r="H113" s="4" t="str">
        <f t="array" aca="1" ref="H113" ca="1">SUBSTITUTE(SUBSTITUTE(_xlfn.TEXTJOIN("",TRUE,IF(ISERR(MID(C113,ROW(INDIRECT("1:100")),1)+0),MID(C113,ROW(INDIRECT("1:100")),1),"")),")",""),"(","")</f>
        <v>Other goods and services</v>
      </c>
    </row>
    <row r="114" spans="1:8" x14ac:dyDescent="0.25">
      <c r="A114">
        <v>2015</v>
      </c>
      <c r="B114">
        <v>4</v>
      </c>
      <c r="C114" t="s">
        <v>14</v>
      </c>
      <c r="D114">
        <v>100</v>
      </c>
      <c r="E114">
        <v>-0.2</v>
      </c>
      <c r="H114" s="4" t="str">
        <f t="array" aca="1" ref="H114" ca="1">SUBSTITUTE(SUBSTITUTE(_xlfn.TEXTJOIN("",TRUE,IF(ISERR(MID(C114,ROW(INDIRECT("1:100")),1)+0),MID(C114,ROW(INDIRECT("1:100")),1),"")),")",""),"(","")</f>
        <v>All items</v>
      </c>
    </row>
    <row r="115" spans="1:8" x14ac:dyDescent="0.25">
      <c r="A115">
        <v>2015</v>
      </c>
      <c r="B115">
        <v>4</v>
      </c>
      <c r="C115" t="s">
        <v>15</v>
      </c>
      <c r="D115">
        <v>14.182</v>
      </c>
      <c r="E115">
        <v>2</v>
      </c>
      <c r="F115">
        <v>0.27500000000000002</v>
      </c>
      <c r="H115" s="4" t="str">
        <f t="array" aca="1" ref="H115" ca="1">SUBSTITUTE(SUBSTITUTE(_xlfn.TEXTJOIN("",TRUE,IF(ISERR(MID(C115,ROW(INDIRECT("1:100")),1)+0),MID(C115,ROW(INDIRECT("1:100")),1),"")),")",""),"(","")</f>
        <v>Food</v>
      </c>
    </row>
    <row r="116" spans="1:8" x14ac:dyDescent="0.25">
      <c r="A116">
        <v>2015</v>
      </c>
      <c r="B116">
        <v>4</v>
      </c>
      <c r="C116" t="s">
        <v>16</v>
      </c>
      <c r="D116">
        <v>7.7930000000000001</v>
      </c>
      <c r="E116">
        <v>-19.399999999999999</v>
      </c>
      <c r="F116">
        <v>-1.8580000000000001</v>
      </c>
      <c r="H116" s="4" t="str">
        <f t="array" aca="1" ref="H116" ca="1">SUBSTITUTE(SUBSTITUTE(_xlfn.TEXTJOIN("",TRUE,IF(ISERR(MID(C116,ROW(INDIRECT("1:100")),1)+0),MID(C116,ROW(INDIRECT("1:100")),1),"")),")",""),"(","")</f>
        <v>Energy</v>
      </c>
    </row>
    <row r="117" spans="1:8" x14ac:dyDescent="0.25">
      <c r="A117">
        <v>2015</v>
      </c>
      <c r="B117">
        <v>4</v>
      </c>
      <c r="C117" t="s">
        <v>17</v>
      </c>
      <c r="D117">
        <v>78.025000000000006</v>
      </c>
      <c r="E117">
        <v>1.8</v>
      </c>
      <c r="F117">
        <v>1.3839999999999999</v>
      </c>
      <c r="H117" s="4" t="str">
        <f t="array" aca="1" ref="H117" ca="1">SUBSTITUTE(SUBSTITUTE(_xlfn.TEXTJOIN("",TRUE,IF(ISERR(MID(C117,ROW(INDIRECT("1:100")),1)+0),MID(C117,ROW(INDIRECT("1:100")),1),"")),")",""),"(","")</f>
        <v>All items less food and energy</v>
      </c>
    </row>
    <row r="118" spans="1:8" x14ac:dyDescent="0.25">
      <c r="A118">
        <v>2015</v>
      </c>
      <c r="B118">
        <v>4</v>
      </c>
      <c r="C118" t="s">
        <v>18</v>
      </c>
      <c r="H118" s="4" t="str">
        <f t="array" aca="1" ref="H118" ca="1">SUBSTITUTE(SUBSTITUTE(_xlfn.TEXTJOIN("",TRUE,IF(ISERR(MID(C118,ROW(INDIRECT("1:100")),1)+0),MID(C118,ROW(INDIRECT("1:100")),1),"")),")",""),"(","")</f>
        <v>Special aggregate indexes</v>
      </c>
    </row>
    <row r="119" spans="1:8" x14ac:dyDescent="0.25">
      <c r="A119">
        <v>2015</v>
      </c>
      <c r="B119">
        <v>4</v>
      </c>
      <c r="C119" t="s">
        <v>19</v>
      </c>
      <c r="D119">
        <v>85.817999999999998</v>
      </c>
      <c r="E119">
        <v>-0.5</v>
      </c>
      <c r="F119">
        <v>-0.47399999999999998</v>
      </c>
      <c r="H119" s="4" t="str">
        <f t="array" aca="1" ref="H119" ca="1">SUBSTITUTE(SUBSTITUTE(_xlfn.TEXTJOIN("",TRUE,IF(ISERR(MID(C119,ROW(INDIRECT("1:100")),1)+0),MID(C119,ROW(INDIRECT("1:100")),1),"")),")",""),"(","")</f>
        <v>All items less food</v>
      </c>
    </row>
    <row r="120" spans="1:8" x14ac:dyDescent="0.25">
      <c r="A120">
        <v>2015</v>
      </c>
      <c r="B120">
        <v>4</v>
      </c>
      <c r="C120" t="s">
        <v>20</v>
      </c>
      <c r="D120">
        <v>67.141000000000005</v>
      </c>
      <c r="E120">
        <v>-1.7</v>
      </c>
      <c r="F120">
        <v>-1.1559999999999999</v>
      </c>
      <c r="H120" s="4" t="str">
        <f t="array" aca="1" ref="H120" ca="1">SUBSTITUTE(SUBSTITUTE(_xlfn.TEXTJOIN("",TRUE,IF(ISERR(MID(C120,ROW(INDIRECT("1:100")),1)+0),MID(C120,ROW(INDIRECT("1:100")),1),"")),")",""),"(","")</f>
        <v>All items less shelter</v>
      </c>
    </row>
    <row r="121" spans="1:8" x14ac:dyDescent="0.25">
      <c r="A121">
        <v>2015</v>
      </c>
      <c r="B121">
        <v>4</v>
      </c>
      <c r="C121" t="s">
        <v>21</v>
      </c>
      <c r="D121">
        <v>52.959000000000003</v>
      </c>
      <c r="E121">
        <v>-2.6</v>
      </c>
      <c r="F121">
        <v>-1.431</v>
      </c>
      <c r="H121" s="4" t="str">
        <f t="array" aca="1" ref="H121" ca="1">SUBSTITUTE(SUBSTITUTE(_xlfn.TEXTJOIN("",TRUE,IF(ISERR(MID(C121,ROW(INDIRECT("1:100")),1)+0),MID(C121,ROW(INDIRECT("1:100")),1),"")),")",""),"(","")</f>
        <v>All items less food and shelter</v>
      </c>
    </row>
    <row r="122" spans="1:8" x14ac:dyDescent="0.25">
      <c r="A122">
        <v>2015</v>
      </c>
      <c r="B122">
        <v>4</v>
      </c>
      <c r="C122" t="s">
        <v>22</v>
      </c>
      <c r="D122">
        <v>45.165999999999997</v>
      </c>
      <c r="E122">
        <v>1</v>
      </c>
      <c r="F122">
        <v>0.42699999999999999</v>
      </c>
      <c r="H122" s="4" t="str">
        <f t="array" aca="1" ref="H122" ca="1">SUBSTITUTE(SUBSTITUTE(_xlfn.TEXTJOIN("",TRUE,IF(ISERR(MID(C122,ROW(INDIRECT("1:100")),1)+0),MID(C122,ROW(INDIRECT("1:100")),1),"")),")",""),"(","")</f>
        <v>All items less food, shelter, and energy</v>
      </c>
    </row>
    <row r="123" spans="1:8" x14ac:dyDescent="0.25">
      <c r="A123">
        <v>2015</v>
      </c>
      <c r="B123">
        <v>4</v>
      </c>
      <c r="C123" t="s">
        <v>23</v>
      </c>
      <c r="D123">
        <v>43.527999999999999</v>
      </c>
      <c r="E123">
        <v>1</v>
      </c>
      <c r="F123">
        <v>0.435</v>
      </c>
      <c r="H123" s="4" t="str">
        <f t="array" aca="1" ref="H123" ca="1">SUBSTITUTE(SUBSTITUTE(_xlfn.TEXTJOIN("",TRUE,IF(ISERR(MID(C123,ROW(INDIRECT("1:100")),1)+0),MID(C123,ROW(INDIRECT("1:100")),1),"")),")",""),"(","")</f>
        <v>All items less food, shelter, energy, and used cars and trucks</v>
      </c>
    </row>
    <row r="124" spans="1:8" x14ac:dyDescent="0.25">
      <c r="A124">
        <v>2015</v>
      </c>
      <c r="B124">
        <v>4</v>
      </c>
      <c r="C124" t="s">
        <v>24</v>
      </c>
      <c r="D124">
        <v>92.251999999999995</v>
      </c>
      <c r="E124">
        <v>-0.5</v>
      </c>
      <c r="F124">
        <v>-0.41799999999999998</v>
      </c>
      <c r="H124" s="4" t="str">
        <f t="array" aca="1" ref="H124" ca="1">SUBSTITUTE(SUBSTITUTE(_xlfn.TEXTJOIN("",TRUE,IF(ISERR(MID(C124,ROW(INDIRECT("1:100")),1)+0),MID(C124,ROW(INDIRECT("1:100")),1),"")),")",""),"(","")</f>
        <v>All items less medical care</v>
      </c>
    </row>
    <row r="125" spans="1:8" x14ac:dyDescent="0.25">
      <c r="A125">
        <v>2015</v>
      </c>
      <c r="B125">
        <v>4</v>
      </c>
      <c r="C125" t="s">
        <v>25</v>
      </c>
      <c r="D125">
        <v>92.206999999999994</v>
      </c>
      <c r="E125">
        <v>1.8</v>
      </c>
      <c r="F125">
        <v>1.6579999999999999</v>
      </c>
      <c r="H125" s="4" t="str">
        <f t="array" aca="1" ref="H125" ca="1">SUBSTITUTE(SUBSTITUTE(_xlfn.TEXTJOIN("",TRUE,IF(ISERR(MID(C125,ROW(INDIRECT("1:100")),1)+0),MID(C125,ROW(INDIRECT("1:100")),1),"")),")",""),"(","")</f>
        <v>All items less energy</v>
      </c>
    </row>
    <row r="126" spans="1:8" x14ac:dyDescent="0.25">
      <c r="A126">
        <v>2015</v>
      </c>
      <c r="B126">
        <v>4</v>
      </c>
      <c r="C126" t="s">
        <v>26</v>
      </c>
      <c r="D126">
        <v>37.752000000000002</v>
      </c>
      <c r="E126">
        <v>-4</v>
      </c>
      <c r="F126">
        <v>-1.5760000000000001</v>
      </c>
      <c r="H126" s="4" t="str">
        <f t="array" aca="1" ref="H126" ca="1">SUBSTITUTE(SUBSTITUTE(_xlfn.TEXTJOIN("",TRUE,IF(ISERR(MID(C126,ROW(INDIRECT("1:100")),1)+0),MID(C126,ROW(INDIRECT("1:100")),1),"")),")",""),"(","")</f>
        <v>Commodities</v>
      </c>
    </row>
    <row r="127" spans="1:8" x14ac:dyDescent="0.25">
      <c r="A127">
        <v>2015</v>
      </c>
      <c r="B127">
        <v>4</v>
      </c>
      <c r="C127" t="s">
        <v>27</v>
      </c>
      <c r="D127">
        <v>62.247999999999998</v>
      </c>
      <c r="E127">
        <v>2.2999999999999998</v>
      </c>
      <c r="F127">
        <v>1.377</v>
      </c>
      <c r="H127" s="4" t="str">
        <f t="array" aca="1" ref="H127" ca="1">SUBSTITUTE(SUBSTITUTE(_xlfn.TEXTJOIN("",TRUE,IF(ISERR(MID(C127,ROW(INDIRECT("1:100")),1)+0),MID(C127,ROW(INDIRECT("1:100")),1),"")),")",""),"(","")</f>
        <v>Services</v>
      </c>
    </row>
    <row r="128" spans="1:8" x14ac:dyDescent="0.25">
      <c r="A128">
        <v>2015</v>
      </c>
      <c r="B128">
        <v>4</v>
      </c>
      <c r="C128" t="s">
        <v>28</v>
      </c>
      <c r="D128">
        <v>8.99</v>
      </c>
      <c r="E128">
        <v>-0.9</v>
      </c>
      <c r="F128">
        <v>-8.2000000000000003E-2</v>
      </c>
      <c r="H128" s="4" t="str">
        <f t="array" aca="1" ref="H128" ca="1">SUBSTITUTE(SUBSTITUTE(_xlfn.TEXTJOIN("",TRUE,IF(ISERR(MID(C128,ROW(INDIRECT("1:100")),1)+0),MID(C128,ROW(INDIRECT("1:100")),1),"")),")",""),"(","")</f>
        <v>Durables</v>
      </c>
    </row>
    <row r="129" spans="1:8" x14ac:dyDescent="0.25">
      <c r="A129">
        <v>2015</v>
      </c>
      <c r="B129">
        <v>4</v>
      </c>
      <c r="C129" t="s">
        <v>29</v>
      </c>
      <c r="D129">
        <v>28.762</v>
      </c>
      <c r="E129">
        <v>-5</v>
      </c>
      <c r="F129">
        <v>-1.4950000000000001</v>
      </c>
      <c r="H129" s="4" t="str">
        <f t="array" aca="1" ref="H129" ca="1">SUBSTITUTE(SUBSTITUTE(_xlfn.TEXTJOIN("",TRUE,IF(ISERR(MID(C129,ROW(INDIRECT("1:100")),1)+0),MID(C129,ROW(INDIRECT("1:100")),1),"")),")",""),"(","")</f>
        <v>Nondurables</v>
      </c>
    </row>
    <row r="130" spans="1:8" x14ac:dyDescent="0.25">
      <c r="A130">
        <v>2015</v>
      </c>
      <c r="B130">
        <v>4</v>
      </c>
      <c r="C130" t="s">
        <v>8</v>
      </c>
      <c r="D130">
        <v>42.258000000000003</v>
      </c>
      <c r="E130">
        <v>2.2000000000000002</v>
      </c>
      <c r="F130">
        <v>0.90600000000000003</v>
      </c>
      <c r="H130" s="4" t="str">
        <f t="array" aca="1" ref="H130" ca="1">SUBSTITUTE(SUBSTITUTE(_xlfn.TEXTJOIN("",TRUE,IF(ISERR(MID(C130,ROW(INDIRECT("1:100")),1)+0),MID(C130,ROW(INDIRECT("1:100")),1),"")),")",""),"(","")</f>
        <v>Housing</v>
      </c>
    </row>
    <row r="131" spans="1:8" x14ac:dyDescent="0.25">
      <c r="A131">
        <v>2015</v>
      </c>
      <c r="B131">
        <v>4</v>
      </c>
      <c r="C131" t="s">
        <v>30</v>
      </c>
      <c r="D131">
        <v>7.0309999999999997</v>
      </c>
      <c r="E131">
        <v>0.3</v>
      </c>
      <c r="F131">
        <v>2.1999999999999999E-2</v>
      </c>
      <c r="H131" s="4" t="str">
        <f t="array" aca="1" ref="H131" ca="1">SUBSTITUTE(SUBSTITUTE(_xlfn.TEXTJOIN("",TRUE,IF(ISERR(MID(C131,ROW(INDIRECT("1:100")),1)+0),MID(C131,ROW(INDIRECT("1:100")),1),"")),")",""),"(","")</f>
        <v>Education and communication</v>
      </c>
    </row>
    <row r="132" spans="1:8" x14ac:dyDescent="0.25">
      <c r="A132">
        <v>2015</v>
      </c>
      <c r="B132">
        <v>4</v>
      </c>
      <c r="C132" t="s">
        <v>31</v>
      </c>
      <c r="D132">
        <v>5.766</v>
      </c>
      <c r="E132">
        <v>0</v>
      </c>
      <c r="F132">
        <v>0</v>
      </c>
      <c r="H132" s="4" t="str">
        <f t="array" aca="1" ref="H132" ca="1">SUBSTITUTE(SUBSTITUTE(_xlfn.TEXTJOIN("",TRUE,IF(ISERR(MID(C132,ROW(INDIRECT("1:100")),1)+0),MID(C132,ROW(INDIRECT("1:100")),1),"")),")",""),"(","")</f>
        <v>Recreation</v>
      </c>
    </row>
    <row r="133" spans="1:8" x14ac:dyDescent="0.25">
      <c r="A133">
        <v>2015</v>
      </c>
      <c r="B133">
        <v>4</v>
      </c>
      <c r="C133" t="s">
        <v>6</v>
      </c>
      <c r="D133">
        <v>15.194000000000001</v>
      </c>
      <c r="E133">
        <v>1.9</v>
      </c>
      <c r="F133">
        <v>0.28599999999999998</v>
      </c>
      <c r="H133" s="4" t="str">
        <f t="array" aca="1" ref="H133" ca="1">SUBSTITUTE(SUBSTITUTE(_xlfn.TEXTJOIN("",TRUE,IF(ISERR(MID(C133,ROW(INDIRECT("1:100")),1)+0),MID(C133,ROW(INDIRECT("1:100")),1),"")),")",""),"(","")</f>
        <v>Food and beverages</v>
      </c>
    </row>
    <row r="134" spans="1:8" x14ac:dyDescent="0.25">
      <c r="A134">
        <v>2015</v>
      </c>
      <c r="B134">
        <v>4</v>
      </c>
      <c r="C134" t="s">
        <v>32</v>
      </c>
      <c r="D134">
        <v>11.961</v>
      </c>
      <c r="E134">
        <v>1.2</v>
      </c>
      <c r="F134">
        <v>0.14299999999999999</v>
      </c>
      <c r="H134" s="4" t="str">
        <f t="array" aca="1" ref="H134" ca="1">SUBSTITUTE(SUBSTITUTE(_xlfn.TEXTJOIN("",TRUE,IF(ISERR(MID(C134,ROW(INDIRECT("1:100")),1)+0),MID(C134,ROW(INDIRECT("1:100")),1),"")),")",""),"(","")</f>
        <v>Other services</v>
      </c>
    </row>
    <row r="135" spans="1:8" x14ac:dyDescent="0.25">
      <c r="A135">
        <v>2015</v>
      </c>
      <c r="B135">
        <v>4</v>
      </c>
      <c r="C135" t="s">
        <v>33</v>
      </c>
      <c r="D135">
        <v>2.714</v>
      </c>
      <c r="E135">
        <v>-1.7</v>
      </c>
      <c r="F135">
        <v>-4.7E-2</v>
      </c>
      <c r="H135" s="4" t="str">
        <f t="array" aca="1" ref="H135" ca="1">SUBSTITUTE(SUBSTITUTE(_xlfn.TEXTJOIN("",TRUE,IF(ISERR(MID(C135,ROW(INDIRECT("1:100")),1)+0),MID(C135,ROW(INDIRECT("1:100")),1),"")),")",""),"(","")</f>
        <v>Apparel less footwear</v>
      </c>
    </row>
    <row r="136" spans="1:8" x14ac:dyDescent="0.25">
      <c r="A136">
        <v>2015</v>
      </c>
      <c r="B136">
        <v>4</v>
      </c>
      <c r="C136" t="s">
        <v>34</v>
      </c>
      <c r="D136">
        <v>5.2140000000000004</v>
      </c>
      <c r="E136">
        <v>-1</v>
      </c>
      <c r="F136">
        <v>-5.1999999999999998E-2</v>
      </c>
      <c r="H136" s="4" t="str">
        <f t="array" aca="1" ref="H136" ca="1">SUBSTITUTE(SUBSTITUTE(_xlfn.TEXTJOIN("",TRUE,IF(ISERR(MID(C136,ROW(INDIRECT("1:100")),1)+0),MID(C136,ROW(INDIRECT("1:100")),1),"")),")",""),"(","")</f>
        <v>Fuels and utilities</v>
      </c>
    </row>
    <row r="137" spans="1:8" x14ac:dyDescent="0.25">
      <c r="A137">
        <v>2015</v>
      </c>
      <c r="B137">
        <v>4</v>
      </c>
      <c r="C137" t="s">
        <v>11</v>
      </c>
      <c r="D137">
        <v>7.7480000000000002</v>
      </c>
      <c r="E137">
        <v>2.9</v>
      </c>
      <c r="F137">
        <v>0.219</v>
      </c>
      <c r="H137" s="4" t="str">
        <f t="array" aca="1" ref="H137" ca="1">SUBSTITUTE(SUBSTITUTE(_xlfn.TEXTJOIN("",TRUE,IF(ISERR(MID(C137,ROW(INDIRECT("1:100")),1)+0),MID(C137,ROW(INDIRECT("1:100")),1),"")),")",""),"(","")</f>
        <v>Medical care</v>
      </c>
    </row>
    <row r="138" spans="1:8" x14ac:dyDescent="0.25">
      <c r="A138">
        <v>2015</v>
      </c>
      <c r="B138">
        <v>4</v>
      </c>
      <c r="C138" t="s">
        <v>7</v>
      </c>
      <c r="D138">
        <v>15.173</v>
      </c>
      <c r="E138">
        <v>-9.8000000000000007</v>
      </c>
      <c r="F138">
        <v>-1.647</v>
      </c>
      <c r="H138" s="4" t="str">
        <f t="array" aca="1" ref="H138" ca="1">SUBSTITUTE(SUBSTITUTE(_xlfn.TEXTJOIN("",TRUE,IF(ISERR(MID(C138,ROW(INDIRECT("1:100")),1)+0),MID(C138,ROW(INDIRECT("1:100")),1),"")),")",""),"(","")</f>
        <v>Transportation</v>
      </c>
    </row>
    <row r="139" spans="1:8" x14ac:dyDescent="0.25">
      <c r="A139">
        <v>2015</v>
      </c>
      <c r="B139">
        <v>4</v>
      </c>
      <c r="C139" t="s">
        <v>35</v>
      </c>
      <c r="D139">
        <v>10.016999999999999</v>
      </c>
      <c r="E139">
        <v>-0.9</v>
      </c>
      <c r="F139">
        <v>-9.0999999999999998E-2</v>
      </c>
      <c r="H139" s="4" t="str">
        <f t="array" aca="1" ref="H139" ca="1">SUBSTITUTE(SUBSTITUTE(_xlfn.TEXTJOIN("",TRUE,IF(ISERR(MID(C139,ROW(INDIRECT("1:100")),1)+0),MID(C139,ROW(INDIRECT("1:100")),1),"")),")",""),"(","")</f>
        <v>Utilities and public transportation</v>
      </c>
    </row>
    <row r="140" spans="1:8" x14ac:dyDescent="0.25">
      <c r="A140">
        <v>2015</v>
      </c>
      <c r="B140">
        <v>4</v>
      </c>
      <c r="C140" t="s">
        <v>36</v>
      </c>
      <c r="D140">
        <v>4.1859999999999999</v>
      </c>
      <c r="E140">
        <v>0</v>
      </c>
      <c r="F140">
        <v>1E-3</v>
      </c>
      <c r="H140" s="4" t="str">
        <f t="array" aca="1" ref="H140" ca="1">SUBSTITUTE(SUBSTITUTE(_xlfn.TEXTJOIN("",TRUE,IF(ISERR(MID(C140,ROW(INDIRECT("1:100")),1)+0),MID(C140,ROW(INDIRECT("1:100")),1),"")),")",""),"(","")</f>
        <v>Household furnishings and operations</v>
      </c>
    </row>
    <row r="141" spans="1:8" x14ac:dyDescent="0.25">
      <c r="A141">
        <v>2015</v>
      </c>
      <c r="B141">
        <v>4</v>
      </c>
      <c r="C141" t="s">
        <v>12</v>
      </c>
      <c r="D141">
        <v>3.3889999999999998</v>
      </c>
      <c r="E141">
        <v>1.3</v>
      </c>
      <c r="F141">
        <v>4.2999999999999997E-2</v>
      </c>
      <c r="H141" s="4" t="str">
        <f t="array" aca="1" ref="H141" ca="1">SUBSTITUTE(SUBSTITUTE(_xlfn.TEXTJOIN("",TRUE,IF(ISERR(MID(C141,ROW(INDIRECT("1:100")),1)+0),MID(C141,ROW(INDIRECT("1:100")),1),"")),")",""),"(","")</f>
        <v>Other goods and services</v>
      </c>
    </row>
    <row r="142" spans="1:8" x14ac:dyDescent="0.25">
      <c r="A142">
        <v>2015</v>
      </c>
      <c r="B142">
        <v>5</v>
      </c>
      <c r="C142" t="s">
        <v>14</v>
      </c>
      <c r="D142">
        <v>100</v>
      </c>
      <c r="E142">
        <v>0</v>
      </c>
      <c r="H142" s="4" t="str">
        <f t="array" aca="1" ref="H142" ca="1">SUBSTITUTE(SUBSTITUTE(_xlfn.TEXTJOIN("",TRUE,IF(ISERR(MID(C142,ROW(INDIRECT("1:100")),1)+0),MID(C142,ROW(INDIRECT("1:100")),1),"")),")",""),"(","")</f>
        <v>All items</v>
      </c>
    </row>
    <row r="143" spans="1:8" x14ac:dyDescent="0.25">
      <c r="A143">
        <v>2015</v>
      </c>
      <c r="B143">
        <v>5</v>
      </c>
      <c r="C143" t="s">
        <v>15</v>
      </c>
      <c r="D143">
        <v>14.157</v>
      </c>
      <c r="E143">
        <v>1.6</v>
      </c>
      <c r="F143">
        <v>0.22</v>
      </c>
      <c r="H143" s="4" t="str">
        <f t="array" aca="1" ref="H143" ca="1">SUBSTITUTE(SUBSTITUTE(_xlfn.TEXTJOIN("",TRUE,IF(ISERR(MID(C143,ROW(INDIRECT("1:100")),1)+0),MID(C143,ROW(INDIRECT("1:100")),1),"")),")",""),"(","")</f>
        <v>Food</v>
      </c>
    </row>
    <row r="144" spans="1:8" x14ac:dyDescent="0.25">
      <c r="A144">
        <v>2015</v>
      </c>
      <c r="B144">
        <v>5</v>
      </c>
      <c r="C144" t="s">
        <v>16</v>
      </c>
      <c r="D144">
        <v>7.7389999999999999</v>
      </c>
      <c r="E144">
        <v>-16.3</v>
      </c>
      <c r="F144">
        <v>-1.5740000000000001</v>
      </c>
      <c r="H144" s="4" t="str">
        <f t="array" aca="1" ref="H144" ca="1">SUBSTITUTE(SUBSTITUTE(_xlfn.TEXTJOIN("",TRUE,IF(ISERR(MID(C144,ROW(INDIRECT("1:100")),1)+0),MID(C144,ROW(INDIRECT("1:100")),1),"")),")",""),"(","")</f>
        <v>Energy</v>
      </c>
    </row>
    <row r="145" spans="1:8" x14ac:dyDescent="0.25">
      <c r="A145">
        <v>2015</v>
      </c>
      <c r="B145">
        <v>5</v>
      </c>
      <c r="C145" t="s">
        <v>17</v>
      </c>
      <c r="D145">
        <v>78.103999999999999</v>
      </c>
      <c r="E145">
        <v>1.7</v>
      </c>
      <c r="F145">
        <v>1.3140000000000001</v>
      </c>
      <c r="H145" s="4" t="str">
        <f t="array" aca="1" ref="H145" ca="1">SUBSTITUTE(SUBSTITUTE(_xlfn.TEXTJOIN("",TRUE,IF(ISERR(MID(C145,ROW(INDIRECT("1:100")),1)+0),MID(C145,ROW(INDIRECT("1:100")),1),"")),")",""),"(","")</f>
        <v>All items less food and energy</v>
      </c>
    </row>
    <row r="146" spans="1:8" x14ac:dyDescent="0.25">
      <c r="A146">
        <v>2015</v>
      </c>
      <c r="B146">
        <v>5</v>
      </c>
      <c r="C146" t="s">
        <v>18</v>
      </c>
      <c r="H146" s="4" t="str">
        <f t="array" aca="1" ref="H146" ca="1">SUBSTITUTE(SUBSTITUTE(_xlfn.TEXTJOIN("",TRUE,IF(ISERR(MID(C146,ROW(INDIRECT("1:100")),1)+0),MID(C146,ROW(INDIRECT("1:100")),1),"")),")",""),"(","")</f>
        <v>Special aggregate indexes</v>
      </c>
    </row>
    <row r="147" spans="1:8" x14ac:dyDescent="0.25">
      <c r="A147">
        <v>2015</v>
      </c>
      <c r="B147">
        <v>5</v>
      </c>
      <c r="C147" t="s">
        <v>19</v>
      </c>
      <c r="D147">
        <v>85.843000000000004</v>
      </c>
      <c r="E147">
        <v>-0.3</v>
      </c>
      <c r="F147">
        <v>-0.26</v>
      </c>
      <c r="H147" s="4" t="str">
        <f t="array" aca="1" ref="H147" ca="1">SUBSTITUTE(SUBSTITUTE(_xlfn.TEXTJOIN("",TRUE,IF(ISERR(MID(C147,ROW(INDIRECT("1:100")),1)+0),MID(C147,ROW(INDIRECT("1:100")),1),"")),")",""),"(","")</f>
        <v>All items less food</v>
      </c>
    </row>
    <row r="148" spans="1:8" x14ac:dyDescent="0.25">
      <c r="A148">
        <v>2015</v>
      </c>
      <c r="B148">
        <v>5</v>
      </c>
      <c r="C148" t="s">
        <v>20</v>
      </c>
      <c r="D148">
        <v>67.135000000000005</v>
      </c>
      <c r="E148">
        <v>-1.4</v>
      </c>
      <c r="F148">
        <v>-0.96</v>
      </c>
      <c r="H148" s="4" t="str">
        <f t="array" aca="1" ref="H148" ca="1">SUBSTITUTE(SUBSTITUTE(_xlfn.TEXTJOIN("",TRUE,IF(ISERR(MID(C148,ROW(INDIRECT("1:100")),1)+0),MID(C148,ROW(INDIRECT("1:100")),1),"")),")",""),"(","")</f>
        <v>All items less shelter</v>
      </c>
    </row>
    <row r="149" spans="1:8" x14ac:dyDescent="0.25">
      <c r="A149">
        <v>2015</v>
      </c>
      <c r="B149">
        <v>5</v>
      </c>
      <c r="C149" t="s">
        <v>21</v>
      </c>
      <c r="D149">
        <v>52.976999999999997</v>
      </c>
      <c r="E149">
        <v>-2.2000000000000002</v>
      </c>
      <c r="F149">
        <v>-1.18</v>
      </c>
      <c r="H149" s="4" t="str">
        <f t="array" aca="1" ref="H149" ca="1">SUBSTITUTE(SUBSTITUTE(_xlfn.TEXTJOIN("",TRUE,IF(ISERR(MID(C149,ROW(INDIRECT("1:100")),1)+0),MID(C149,ROW(INDIRECT("1:100")),1),"")),")",""),"(","")</f>
        <v>All items less food and shelter</v>
      </c>
    </row>
    <row r="150" spans="1:8" x14ac:dyDescent="0.25">
      <c r="A150">
        <v>2015</v>
      </c>
      <c r="B150">
        <v>5</v>
      </c>
      <c r="C150" t="s">
        <v>22</v>
      </c>
      <c r="D150">
        <v>45.238</v>
      </c>
      <c r="E150">
        <v>0.9</v>
      </c>
      <c r="F150">
        <v>0.39400000000000002</v>
      </c>
      <c r="H150" s="4" t="str">
        <f t="array" aca="1" ref="H150" ca="1">SUBSTITUTE(SUBSTITUTE(_xlfn.TEXTJOIN("",TRUE,IF(ISERR(MID(C150,ROW(INDIRECT("1:100")),1)+0),MID(C150,ROW(INDIRECT("1:100")),1),"")),")",""),"(","")</f>
        <v>All items less food, shelter, and energy</v>
      </c>
    </row>
    <row r="151" spans="1:8" x14ac:dyDescent="0.25">
      <c r="A151">
        <v>2015</v>
      </c>
      <c r="B151">
        <v>5</v>
      </c>
      <c r="C151" t="s">
        <v>23</v>
      </c>
      <c r="D151">
        <v>43.572000000000003</v>
      </c>
      <c r="E151">
        <v>0.9</v>
      </c>
      <c r="F151">
        <v>0.40200000000000002</v>
      </c>
      <c r="H151" s="4" t="str">
        <f t="array" aca="1" ref="H151" ca="1">SUBSTITUTE(SUBSTITUTE(_xlfn.TEXTJOIN("",TRUE,IF(ISERR(MID(C151,ROW(INDIRECT("1:100")),1)+0),MID(C151,ROW(INDIRECT("1:100")),1),"")),")",""),"(","")</f>
        <v>All items less food, shelter, energy, and used cars and trucks</v>
      </c>
    </row>
    <row r="152" spans="1:8" x14ac:dyDescent="0.25">
      <c r="A152">
        <v>2015</v>
      </c>
      <c r="B152">
        <v>5</v>
      </c>
      <c r="C152" t="s">
        <v>24</v>
      </c>
      <c r="D152">
        <v>92.221000000000004</v>
      </c>
      <c r="E152">
        <v>-0.3</v>
      </c>
      <c r="F152">
        <v>-0.254</v>
      </c>
      <c r="H152" s="4" t="str">
        <f t="array" aca="1" ref="H152" ca="1">SUBSTITUTE(SUBSTITUTE(_xlfn.TEXTJOIN("",TRUE,IF(ISERR(MID(C152,ROW(INDIRECT("1:100")),1)+0),MID(C152,ROW(INDIRECT("1:100")),1),"")),")",""),"(","")</f>
        <v>All items less medical care</v>
      </c>
    </row>
    <row r="153" spans="1:8" x14ac:dyDescent="0.25">
      <c r="A153">
        <v>2015</v>
      </c>
      <c r="B153">
        <v>5</v>
      </c>
      <c r="C153" t="s">
        <v>25</v>
      </c>
      <c r="D153">
        <v>92.260999999999996</v>
      </c>
      <c r="E153">
        <v>1.7</v>
      </c>
      <c r="F153">
        <v>1.534</v>
      </c>
      <c r="H153" s="4" t="str">
        <f t="array" aca="1" ref="H153" ca="1">SUBSTITUTE(SUBSTITUTE(_xlfn.TEXTJOIN("",TRUE,IF(ISERR(MID(C153,ROW(INDIRECT("1:100")),1)+0),MID(C153,ROW(INDIRECT("1:100")),1),"")),")",""),"(","")</f>
        <v>All items less energy</v>
      </c>
    </row>
    <row r="154" spans="1:8" x14ac:dyDescent="0.25">
      <c r="A154">
        <v>2015</v>
      </c>
      <c r="B154">
        <v>5</v>
      </c>
      <c r="C154" t="s">
        <v>26</v>
      </c>
      <c r="D154">
        <v>37.719000000000001</v>
      </c>
      <c r="E154">
        <v>-3.3</v>
      </c>
      <c r="F154">
        <v>-1.286</v>
      </c>
      <c r="H154" s="4" t="str">
        <f t="array" aca="1" ref="H154" ca="1">SUBSTITUTE(SUBSTITUTE(_xlfn.TEXTJOIN("",TRUE,IF(ISERR(MID(C154,ROW(INDIRECT("1:100")),1)+0),MID(C154,ROW(INDIRECT("1:100")),1),"")),")",""),"(","")</f>
        <v>Commodities</v>
      </c>
    </row>
    <row r="155" spans="1:8" x14ac:dyDescent="0.25">
      <c r="A155">
        <v>2015</v>
      </c>
      <c r="B155">
        <v>5</v>
      </c>
      <c r="C155" t="s">
        <v>27</v>
      </c>
      <c r="D155">
        <v>62.280999999999999</v>
      </c>
      <c r="E155">
        <v>2</v>
      </c>
      <c r="F155">
        <v>1.2450000000000001</v>
      </c>
      <c r="H155" s="4" t="str">
        <f t="array" aca="1" ref="H155" ca="1">SUBSTITUTE(SUBSTITUTE(_xlfn.TEXTJOIN("",TRUE,IF(ISERR(MID(C155,ROW(INDIRECT("1:100")),1)+0),MID(C155,ROW(INDIRECT("1:100")),1),"")),")",""),"(","")</f>
        <v>Services</v>
      </c>
    </row>
    <row r="156" spans="1:8" x14ac:dyDescent="0.25">
      <c r="A156">
        <v>2015</v>
      </c>
      <c r="B156">
        <v>5</v>
      </c>
      <c r="C156" t="s">
        <v>28</v>
      </c>
      <c r="D156">
        <v>9.0229999999999997</v>
      </c>
      <c r="E156">
        <v>-0.8</v>
      </c>
      <c r="F156">
        <v>-7.1999999999999995E-2</v>
      </c>
      <c r="H156" s="4" t="str">
        <f t="array" aca="1" ref="H156" ca="1">SUBSTITUTE(SUBSTITUTE(_xlfn.TEXTJOIN("",TRUE,IF(ISERR(MID(C156,ROW(INDIRECT("1:100")),1)+0),MID(C156,ROW(INDIRECT("1:100")),1),"")),")",""),"(","")</f>
        <v>Durables</v>
      </c>
    </row>
    <row r="157" spans="1:8" x14ac:dyDescent="0.25">
      <c r="A157">
        <v>2015</v>
      </c>
      <c r="B157">
        <v>5</v>
      </c>
      <c r="C157" t="s">
        <v>29</v>
      </c>
      <c r="D157">
        <v>28.696000000000002</v>
      </c>
      <c r="E157">
        <v>-4</v>
      </c>
      <c r="F157">
        <v>-1.2130000000000001</v>
      </c>
      <c r="H157" s="4" t="str">
        <f t="array" aca="1" ref="H157" ca="1">SUBSTITUTE(SUBSTITUTE(_xlfn.TEXTJOIN("",TRUE,IF(ISERR(MID(C157,ROW(INDIRECT("1:100")),1)+0),MID(C157,ROW(INDIRECT("1:100")),1),"")),")",""),"(","")</f>
        <v>Nondurables</v>
      </c>
    </row>
    <row r="158" spans="1:8" x14ac:dyDescent="0.25">
      <c r="A158">
        <v>2015</v>
      </c>
      <c r="B158">
        <v>5</v>
      </c>
      <c r="C158" t="s">
        <v>8</v>
      </c>
      <c r="D158">
        <v>42.232999999999997</v>
      </c>
      <c r="E158">
        <v>1.9</v>
      </c>
      <c r="F158">
        <v>0.78600000000000003</v>
      </c>
      <c r="H158" s="4" t="str">
        <f t="array" aca="1" ref="H158" ca="1">SUBSTITUTE(SUBSTITUTE(_xlfn.TEXTJOIN("",TRUE,IF(ISERR(MID(C158,ROW(INDIRECT("1:100")),1)+0),MID(C158,ROW(INDIRECT("1:100")),1),"")),")",""),"(","")</f>
        <v>Housing</v>
      </c>
    </row>
    <row r="159" spans="1:8" x14ac:dyDescent="0.25">
      <c r="A159">
        <v>2015</v>
      </c>
      <c r="B159">
        <v>5</v>
      </c>
      <c r="C159" t="s">
        <v>30</v>
      </c>
      <c r="D159">
        <v>7.024</v>
      </c>
      <c r="E159">
        <v>0.1</v>
      </c>
      <c r="F159">
        <v>8.0000000000000002E-3</v>
      </c>
      <c r="H159" s="4" t="str">
        <f t="array" aca="1" ref="H159" ca="1">SUBSTITUTE(SUBSTITUTE(_xlfn.TEXTJOIN("",TRUE,IF(ISERR(MID(C159,ROW(INDIRECT("1:100")),1)+0),MID(C159,ROW(INDIRECT("1:100")),1),"")),")",""),"(","")</f>
        <v>Education and communication</v>
      </c>
    </row>
    <row r="160" spans="1:8" x14ac:dyDescent="0.25">
      <c r="A160">
        <v>2015</v>
      </c>
      <c r="B160">
        <v>5</v>
      </c>
      <c r="C160" t="s">
        <v>31</v>
      </c>
      <c r="D160">
        <v>5.7649999999999997</v>
      </c>
      <c r="E160">
        <v>0.1</v>
      </c>
      <c r="F160">
        <v>8.9999999999999993E-3</v>
      </c>
      <c r="H160" s="4" t="str">
        <f t="array" aca="1" ref="H160" ca="1">SUBSTITUTE(SUBSTITUTE(_xlfn.TEXTJOIN("",TRUE,IF(ISERR(MID(C160,ROW(INDIRECT("1:100")),1)+0),MID(C160,ROW(INDIRECT("1:100")),1),"")),")",""),"(","")</f>
        <v>Recreation</v>
      </c>
    </row>
    <row r="161" spans="1:8" x14ac:dyDescent="0.25">
      <c r="A161">
        <v>2015</v>
      </c>
      <c r="B161">
        <v>5</v>
      </c>
      <c r="C161" t="s">
        <v>6</v>
      </c>
      <c r="D161">
        <v>15.166</v>
      </c>
      <c r="E161">
        <v>1.6</v>
      </c>
      <c r="F161">
        <v>0.23200000000000001</v>
      </c>
      <c r="H161" s="4" t="str">
        <f t="array" aca="1" ref="H161" ca="1">SUBSTITUTE(SUBSTITUTE(_xlfn.TEXTJOIN("",TRUE,IF(ISERR(MID(C161,ROW(INDIRECT("1:100")),1)+0),MID(C161,ROW(INDIRECT("1:100")),1),"")),")",""),"(","")</f>
        <v>Food and beverages</v>
      </c>
    </row>
    <row r="162" spans="1:8" x14ac:dyDescent="0.25">
      <c r="A162">
        <v>2015</v>
      </c>
      <c r="B162">
        <v>5</v>
      </c>
      <c r="C162" t="s">
        <v>32</v>
      </c>
      <c r="D162">
        <v>11.96</v>
      </c>
      <c r="E162">
        <v>1.1000000000000001</v>
      </c>
      <c r="F162">
        <v>0.13500000000000001</v>
      </c>
      <c r="H162" s="4" t="str">
        <f t="array" aca="1" ref="H162" ca="1">SUBSTITUTE(SUBSTITUTE(_xlfn.TEXTJOIN("",TRUE,IF(ISERR(MID(C162,ROW(INDIRECT("1:100")),1)+0),MID(C162,ROW(INDIRECT("1:100")),1),"")),")",""),"(","")</f>
        <v>Other services</v>
      </c>
    </row>
    <row r="163" spans="1:8" x14ac:dyDescent="0.25">
      <c r="A163">
        <v>2015</v>
      </c>
      <c r="B163">
        <v>5</v>
      </c>
      <c r="C163" t="s">
        <v>33</v>
      </c>
      <c r="D163">
        <v>2.714</v>
      </c>
      <c r="E163">
        <v>-2.2999999999999998</v>
      </c>
      <c r="F163">
        <v>-6.3E-2</v>
      </c>
      <c r="H163" s="4" t="str">
        <f t="array" aca="1" ref="H163" ca="1">SUBSTITUTE(SUBSTITUTE(_xlfn.TEXTJOIN("",TRUE,IF(ISERR(MID(C163,ROW(INDIRECT("1:100")),1)+0),MID(C163,ROW(INDIRECT("1:100")),1),"")),")",""),"(","")</f>
        <v>Apparel less footwear</v>
      </c>
    </row>
    <row r="164" spans="1:8" x14ac:dyDescent="0.25">
      <c r="A164">
        <v>2015</v>
      </c>
      <c r="B164">
        <v>5</v>
      </c>
      <c r="C164" t="s">
        <v>34</v>
      </c>
      <c r="D164">
        <v>5.1680000000000001</v>
      </c>
      <c r="E164">
        <v>-2.4</v>
      </c>
      <c r="F164">
        <v>-0.129</v>
      </c>
      <c r="H164" s="4" t="str">
        <f t="array" aca="1" ref="H164" ca="1">SUBSTITUTE(SUBSTITUTE(_xlfn.TEXTJOIN("",TRUE,IF(ISERR(MID(C164,ROW(INDIRECT("1:100")),1)+0),MID(C164,ROW(INDIRECT("1:100")),1),"")),")",""),"(","")</f>
        <v>Fuels and utilities</v>
      </c>
    </row>
    <row r="165" spans="1:8" x14ac:dyDescent="0.25">
      <c r="A165">
        <v>2015</v>
      </c>
      <c r="B165">
        <v>5</v>
      </c>
      <c r="C165" t="s">
        <v>11</v>
      </c>
      <c r="D165">
        <v>7.7789999999999999</v>
      </c>
      <c r="E165">
        <v>2.8</v>
      </c>
      <c r="F165">
        <v>0.214</v>
      </c>
      <c r="H165" s="4" t="str">
        <f t="array" aca="1" ref="H165" ca="1">SUBSTITUTE(SUBSTITUTE(_xlfn.TEXTJOIN("",TRUE,IF(ISERR(MID(C165,ROW(INDIRECT("1:100")),1)+0),MID(C165,ROW(INDIRECT("1:100")),1),"")),")",""),"(","")</f>
        <v>Medical care</v>
      </c>
    </row>
    <row r="166" spans="1:8" x14ac:dyDescent="0.25">
      <c r="A166">
        <v>2015</v>
      </c>
      <c r="B166">
        <v>5</v>
      </c>
      <c r="C166" t="s">
        <v>7</v>
      </c>
      <c r="D166">
        <v>15.209</v>
      </c>
      <c r="E166">
        <v>-7.6</v>
      </c>
      <c r="F166">
        <v>-1.2849999999999999</v>
      </c>
      <c r="H166" s="4" t="str">
        <f t="array" aca="1" ref="H166" ca="1">SUBSTITUTE(SUBSTITUTE(_xlfn.TEXTJOIN("",TRUE,IF(ISERR(MID(C166,ROW(INDIRECT("1:100")),1)+0),MID(C166,ROW(INDIRECT("1:100")),1),"")),")",""),"(","")</f>
        <v>Transportation</v>
      </c>
    </row>
    <row r="167" spans="1:8" x14ac:dyDescent="0.25">
      <c r="A167">
        <v>2015</v>
      </c>
      <c r="B167">
        <v>5</v>
      </c>
      <c r="C167" t="s">
        <v>35</v>
      </c>
      <c r="D167">
        <v>10</v>
      </c>
      <c r="E167">
        <v>-1.8</v>
      </c>
      <c r="F167">
        <v>-0.18</v>
      </c>
      <c r="H167" s="4" t="str">
        <f t="array" aca="1" ref="H167" ca="1">SUBSTITUTE(SUBSTITUTE(_xlfn.TEXTJOIN("",TRUE,IF(ISERR(MID(C167,ROW(INDIRECT("1:100")),1)+0),MID(C167,ROW(INDIRECT("1:100")),1),"")),")",""),"(","")</f>
        <v>Utilities and public transportation</v>
      </c>
    </row>
    <row r="168" spans="1:8" x14ac:dyDescent="0.25">
      <c r="A168">
        <v>2015</v>
      </c>
      <c r="B168">
        <v>5</v>
      </c>
      <c r="C168" t="s">
        <v>36</v>
      </c>
      <c r="D168">
        <v>4.1989999999999998</v>
      </c>
      <c r="E168">
        <v>-0.1</v>
      </c>
      <c r="F168">
        <v>-5.0000000000000001E-3</v>
      </c>
      <c r="H168" s="4" t="str">
        <f t="array" aca="1" ref="H168" ca="1">SUBSTITUTE(SUBSTITUTE(_xlfn.TEXTJOIN("",TRUE,IF(ISERR(MID(C168,ROW(INDIRECT("1:100")),1)+0),MID(C168,ROW(INDIRECT("1:100")),1),"")),")",""),"(","")</f>
        <v>Household furnishings and operations</v>
      </c>
    </row>
    <row r="169" spans="1:8" x14ac:dyDescent="0.25">
      <c r="A169">
        <v>2015</v>
      </c>
      <c r="B169">
        <v>5</v>
      </c>
      <c r="C169" t="s">
        <v>12</v>
      </c>
      <c r="D169">
        <v>3.3809999999999998</v>
      </c>
      <c r="E169">
        <v>1.4</v>
      </c>
      <c r="F169">
        <v>4.5999999999999999E-2</v>
      </c>
      <c r="H169" s="4" t="str">
        <f t="array" aca="1" ref="H169" ca="1">SUBSTITUTE(SUBSTITUTE(_xlfn.TEXTJOIN("",TRUE,IF(ISERR(MID(C169,ROW(INDIRECT("1:100")),1)+0),MID(C169,ROW(INDIRECT("1:100")),1),"")),")",""),"(","")</f>
        <v>Other goods and services</v>
      </c>
    </row>
    <row r="170" spans="1:8" x14ac:dyDescent="0.25">
      <c r="A170">
        <v>2015</v>
      </c>
      <c r="B170">
        <v>6</v>
      </c>
      <c r="C170" t="s">
        <v>14</v>
      </c>
      <c r="D170">
        <v>100</v>
      </c>
      <c r="E170">
        <v>0.1</v>
      </c>
      <c r="H170" s="4" t="str">
        <f t="array" aca="1" ref="H170" ca="1">SUBSTITUTE(SUBSTITUTE(_xlfn.TEXTJOIN("",TRUE,IF(ISERR(MID(C170,ROW(INDIRECT("1:100")),1)+0),MID(C170,ROW(INDIRECT("1:100")),1),"")),")",""),"(","")</f>
        <v>All items</v>
      </c>
    </row>
    <row r="171" spans="1:8" x14ac:dyDescent="0.25">
      <c r="A171">
        <v>2015</v>
      </c>
      <c r="B171">
        <v>6</v>
      </c>
      <c r="C171" t="s">
        <v>15</v>
      </c>
      <c r="D171">
        <v>14.09</v>
      </c>
      <c r="E171">
        <v>1.8</v>
      </c>
      <c r="F171">
        <v>0.249</v>
      </c>
      <c r="H171" s="4" t="str">
        <f t="array" aca="1" ref="H171" ca="1">SUBSTITUTE(SUBSTITUTE(_xlfn.TEXTJOIN("",TRUE,IF(ISERR(MID(C171,ROW(INDIRECT("1:100")),1)+0),MID(C171,ROW(INDIRECT("1:100")),1),"")),")",""),"(","")</f>
        <v>Food</v>
      </c>
    </row>
    <row r="172" spans="1:8" x14ac:dyDescent="0.25">
      <c r="A172">
        <v>2015</v>
      </c>
      <c r="B172">
        <v>6</v>
      </c>
      <c r="C172" t="s">
        <v>16</v>
      </c>
      <c r="D172">
        <v>8.1010000000000009</v>
      </c>
      <c r="E172">
        <v>-15</v>
      </c>
      <c r="F172">
        <v>-1.4710000000000001</v>
      </c>
      <c r="H172" s="4" t="str">
        <f t="array" aca="1" ref="H172" ca="1">SUBSTITUTE(SUBSTITUTE(_xlfn.TEXTJOIN("",TRUE,IF(ISERR(MID(C172,ROW(INDIRECT("1:100")),1)+0),MID(C172,ROW(INDIRECT("1:100")),1),"")),")",""),"(","")</f>
        <v>Energy</v>
      </c>
    </row>
    <row r="173" spans="1:8" x14ac:dyDescent="0.25">
      <c r="A173">
        <v>2015</v>
      </c>
      <c r="B173">
        <v>6</v>
      </c>
      <c r="C173" t="s">
        <v>17</v>
      </c>
      <c r="D173">
        <v>77.81</v>
      </c>
      <c r="E173">
        <v>1.8</v>
      </c>
      <c r="F173">
        <v>1.3460000000000001</v>
      </c>
      <c r="H173" s="4" t="str">
        <f t="array" aca="1" ref="H173" ca="1">SUBSTITUTE(SUBSTITUTE(_xlfn.TEXTJOIN("",TRUE,IF(ISERR(MID(C173,ROW(INDIRECT("1:100")),1)+0),MID(C173,ROW(INDIRECT("1:100")),1),"")),")",""),"(","")</f>
        <v>All items less food and energy</v>
      </c>
    </row>
    <row r="174" spans="1:8" x14ac:dyDescent="0.25">
      <c r="A174">
        <v>2015</v>
      </c>
      <c r="B174">
        <v>6</v>
      </c>
      <c r="C174" t="s">
        <v>18</v>
      </c>
      <c r="H174" s="4" t="str">
        <f t="array" aca="1" ref="H174" ca="1">SUBSTITUTE(SUBSTITUTE(_xlfn.TEXTJOIN("",TRUE,IF(ISERR(MID(C174,ROW(INDIRECT("1:100")),1)+0),MID(C174,ROW(INDIRECT("1:100")),1),"")),")",""),"(","")</f>
        <v>Special aggregate indexes</v>
      </c>
    </row>
    <row r="175" spans="1:8" x14ac:dyDescent="0.25">
      <c r="A175">
        <v>2015</v>
      </c>
      <c r="B175">
        <v>6</v>
      </c>
      <c r="C175" t="s">
        <v>19</v>
      </c>
      <c r="D175">
        <v>85.91</v>
      </c>
      <c r="E175">
        <v>-0.1</v>
      </c>
      <c r="F175">
        <v>-0.125</v>
      </c>
      <c r="H175" s="4" t="str">
        <f t="array" aca="1" ref="H175" ca="1">SUBSTITUTE(SUBSTITUTE(_xlfn.TEXTJOIN("",TRUE,IF(ISERR(MID(C175,ROW(INDIRECT("1:100")),1)+0),MID(C175,ROW(INDIRECT("1:100")),1),"")),")",""),"(","")</f>
        <v>All items less food</v>
      </c>
    </row>
    <row r="176" spans="1:8" x14ac:dyDescent="0.25">
      <c r="A176">
        <v>2015</v>
      </c>
      <c r="B176">
        <v>6</v>
      </c>
      <c r="C176" t="s">
        <v>20</v>
      </c>
      <c r="D176">
        <v>67.231999999999999</v>
      </c>
      <c r="E176">
        <v>-1.2</v>
      </c>
      <c r="F176">
        <v>-0.83599999999999997</v>
      </c>
      <c r="H176" s="4" t="str">
        <f t="array" aca="1" ref="H176" ca="1">SUBSTITUTE(SUBSTITUTE(_xlfn.TEXTJOIN("",TRUE,IF(ISERR(MID(C176,ROW(INDIRECT("1:100")),1)+0),MID(C176,ROW(INDIRECT("1:100")),1),"")),")",""),"(","")</f>
        <v>All items less shelter</v>
      </c>
    </row>
    <row r="177" spans="1:8" x14ac:dyDescent="0.25">
      <c r="A177">
        <v>2015</v>
      </c>
      <c r="B177">
        <v>6</v>
      </c>
      <c r="C177" t="s">
        <v>21</v>
      </c>
      <c r="D177">
        <v>53.143000000000001</v>
      </c>
      <c r="E177">
        <v>-2</v>
      </c>
      <c r="F177">
        <v>-1.0840000000000001</v>
      </c>
      <c r="H177" s="4" t="str">
        <f t="array" aca="1" ref="H177" ca="1">SUBSTITUTE(SUBSTITUTE(_xlfn.TEXTJOIN("",TRUE,IF(ISERR(MID(C177,ROW(INDIRECT("1:100")),1)+0),MID(C177,ROW(INDIRECT("1:100")),1),"")),")",""),"(","")</f>
        <v>All items less food and shelter</v>
      </c>
    </row>
    <row r="178" spans="1:8" x14ac:dyDescent="0.25">
      <c r="A178">
        <v>2015</v>
      </c>
      <c r="B178">
        <v>6</v>
      </c>
      <c r="C178" t="s">
        <v>22</v>
      </c>
      <c r="D178">
        <v>45.042000000000002</v>
      </c>
      <c r="E178">
        <v>0.9</v>
      </c>
      <c r="F178">
        <v>0.38600000000000001</v>
      </c>
      <c r="H178" s="4" t="str">
        <f t="array" aca="1" ref="H178" ca="1">SUBSTITUTE(SUBSTITUTE(_xlfn.TEXTJOIN("",TRUE,IF(ISERR(MID(C178,ROW(INDIRECT("1:100")),1)+0),MID(C178,ROW(INDIRECT("1:100")),1),"")),")",""),"(","")</f>
        <v>All items less food, shelter, and energy</v>
      </c>
    </row>
    <row r="179" spans="1:8" x14ac:dyDescent="0.25">
      <c r="A179">
        <v>2015</v>
      </c>
      <c r="B179">
        <v>6</v>
      </c>
      <c r="C179" t="s">
        <v>23</v>
      </c>
      <c r="D179">
        <v>43.374000000000002</v>
      </c>
      <c r="E179">
        <v>0.9</v>
      </c>
      <c r="F179">
        <v>0.39700000000000002</v>
      </c>
      <c r="H179" s="4" t="str">
        <f t="array" aca="1" ref="H179" ca="1">SUBSTITUTE(SUBSTITUTE(_xlfn.TEXTJOIN("",TRUE,IF(ISERR(MID(C179,ROW(INDIRECT("1:100")),1)+0),MID(C179,ROW(INDIRECT("1:100")),1),"")),")",""),"(","")</f>
        <v>All items less food, shelter, energy, and used cars and trucks</v>
      </c>
    </row>
    <row r="180" spans="1:8" x14ac:dyDescent="0.25">
      <c r="A180">
        <v>2015</v>
      </c>
      <c r="B180">
        <v>6</v>
      </c>
      <c r="C180" t="s">
        <v>24</v>
      </c>
      <c r="D180">
        <v>92.251000000000005</v>
      </c>
      <c r="E180">
        <v>-0.1</v>
      </c>
      <c r="F180">
        <v>-6.5000000000000002E-2</v>
      </c>
      <c r="H180" s="4" t="str">
        <f t="array" aca="1" ref="H180" ca="1">SUBSTITUTE(SUBSTITUTE(_xlfn.TEXTJOIN("",TRUE,IF(ISERR(MID(C180,ROW(INDIRECT("1:100")),1)+0),MID(C180,ROW(INDIRECT("1:100")),1),"")),")",""),"(","")</f>
        <v>All items less medical care</v>
      </c>
    </row>
    <row r="181" spans="1:8" x14ac:dyDescent="0.25">
      <c r="A181">
        <v>2015</v>
      </c>
      <c r="B181">
        <v>6</v>
      </c>
      <c r="C181" t="s">
        <v>25</v>
      </c>
      <c r="D181">
        <v>91.899000000000001</v>
      </c>
      <c r="E181">
        <v>1.8</v>
      </c>
      <c r="F181">
        <v>1.5940000000000001</v>
      </c>
      <c r="H181" s="4" t="str">
        <f t="array" aca="1" ref="H181" ca="1">SUBSTITUTE(SUBSTITUTE(_xlfn.TEXTJOIN("",TRUE,IF(ISERR(MID(C181,ROW(INDIRECT("1:100")),1)+0),MID(C181,ROW(INDIRECT("1:100")),1),"")),")",""),"(","")</f>
        <v>All items less energy</v>
      </c>
    </row>
    <row r="182" spans="1:8" x14ac:dyDescent="0.25">
      <c r="A182">
        <v>2015</v>
      </c>
      <c r="B182">
        <v>6</v>
      </c>
      <c r="C182" t="s">
        <v>26</v>
      </c>
      <c r="D182">
        <v>37.884</v>
      </c>
      <c r="E182">
        <v>-3</v>
      </c>
      <c r="F182">
        <v>-1.19</v>
      </c>
      <c r="H182" s="4" t="str">
        <f t="array" aca="1" ref="H182" ca="1">SUBSTITUTE(SUBSTITUTE(_xlfn.TEXTJOIN("",TRUE,IF(ISERR(MID(C182,ROW(INDIRECT("1:100")),1)+0),MID(C182,ROW(INDIRECT("1:100")),1),"")),")",""),"(","")</f>
        <v>Commodities</v>
      </c>
    </row>
    <row r="183" spans="1:8" x14ac:dyDescent="0.25">
      <c r="A183">
        <v>2015</v>
      </c>
      <c r="B183">
        <v>6</v>
      </c>
      <c r="C183" t="s">
        <v>27</v>
      </c>
      <c r="D183">
        <v>62.116</v>
      </c>
      <c r="E183">
        <v>2.2000000000000002</v>
      </c>
      <c r="F183">
        <v>1.3140000000000001</v>
      </c>
      <c r="H183" s="4" t="str">
        <f t="array" aca="1" ref="H183" ca="1">SUBSTITUTE(SUBSTITUTE(_xlfn.TEXTJOIN("",TRUE,IF(ISERR(MID(C183,ROW(INDIRECT("1:100")),1)+0),MID(C183,ROW(INDIRECT("1:100")),1),"")),")",""),"(","")</f>
        <v>Services</v>
      </c>
    </row>
    <row r="184" spans="1:8" x14ac:dyDescent="0.25">
      <c r="A184">
        <v>2015</v>
      </c>
      <c r="B184">
        <v>6</v>
      </c>
      <c r="C184" t="s">
        <v>28</v>
      </c>
      <c r="D184">
        <v>8.9760000000000009</v>
      </c>
      <c r="E184">
        <v>-0.7</v>
      </c>
      <c r="F184">
        <v>-6.6000000000000003E-2</v>
      </c>
      <c r="H184" s="4" t="str">
        <f t="array" aca="1" ref="H184" ca="1">SUBSTITUTE(SUBSTITUTE(_xlfn.TEXTJOIN("",TRUE,IF(ISERR(MID(C184,ROW(INDIRECT("1:100")),1)+0),MID(C184,ROW(INDIRECT("1:100")),1),"")),")",""),"(","")</f>
        <v>Durables</v>
      </c>
    </row>
    <row r="185" spans="1:8" x14ac:dyDescent="0.25">
      <c r="A185">
        <v>2015</v>
      </c>
      <c r="B185">
        <v>6</v>
      </c>
      <c r="C185" t="s">
        <v>29</v>
      </c>
      <c r="D185">
        <v>28.908000000000001</v>
      </c>
      <c r="E185">
        <v>-3.7</v>
      </c>
      <c r="F185">
        <v>-1.1240000000000001</v>
      </c>
      <c r="H185" s="4" t="str">
        <f t="array" aca="1" ref="H185" ca="1">SUBSTITUTE(SUBSTITUTE(_xlfn.TEXTJOIN("",TRUE,IF(ISERR(MID(C185,ROW(INDIRECT("1:100")),1)+0),MID(C185,ROW(INDIRECT("1:100")),1),"")),")",""),"(","")</f>
        <v>Nondurables</v>
      </c>
    </row>
    <row r="186" spans="1:8" x14ac:dyDescent="0.25">
      <c r="A186">
        <v>2015</v>
      </c>
      <c r="B186">
        <v>6</v>
      </c>
      <c r="C186" t="s">
        <v>8</v>
      </c>
      <c r="D186">
        <v>42.088999999999999</v>
      </c>
      <c r="E186">
        <v>2</v>
      </c>
      <c r="F186">
        <v>0.82799999999999996</v>
      </c>
      <c r="H186" s="4" t="str">
        <f t="array" aca="1" ref="H186" ca="1">SUBSTITUTE(SUBSTITUTE(_xlfn.TEXTJOIN("",TRUE,IF(ISERR(MID(C186,ROW(INDIRECT("1:100")),1)+0),MID(C186,ROW(INDIRECT("1:100")),1),"")),")",""),"(","")</f>
        <v>Housing</v>
      </c>
    </row>
    <row r="187" spans="1:8" x14ac:dyDescent="0.25">
      <c r="A187">
        <v>2015</v>
      </c>
      <c r="B187">
        <v>6</v>
      </c>
      <c r="C187" t="s">
        <v>30</v>
      </c>
      <c r="D187">
        <v>6.9729999999999999</v>
      </c>
      <c r="E187">
        <v>0.1</v>
      </c>
      <c r="F187">
        <v>7.0000000000000001E-3</v>
      </c>
      <c r="H187" s="4" t="str">
        <f t="array" aca="1" ref="H187" ca="1">SUBSTITUTE(SUBSTITUTE(_xlfn.TEXTJOIN("",TRUE,IF(ISERR(MID(C187,ROW(INDIRECT("1:100")),1)+0),MID(C187,ROW(INDIRECT("1:100")),1),"")),")",""),"(","")</f>
        <v>Education and communication</v>
      </c>
    </row>
    <row r="188" spans="1:8" x14ac:dyDescent="0.25">
      <c r="A188">
        <v>2015</v>
      </c>
      <c r="B188">
        <v>6</v>
      </c>
      <c r="C188" t="s">
        <v>31</v>
      </c>
      <c r="D188">
        <v>5.7430000000000003</v>
      </c>
      <c r="E188">
        <v>0.3</v>
      </c>
      <c r="F188">
        <v>1.7999999999999999E-2</v>
      </c>
      <c r="H188" s="4" t="str">
        <f t="array" aca="1" ref="H188" ca="1">SUBSTITUTE(SUBSTITUTE(_xlfn.TEXTJOIN("",TRUE,IF(ISERR(MID(C188,ROW(INDIRECT("1:100")),1)+0),MID(C188,ROW(INDIRECT("1:100")),1),"")),")",""),"(","")</f>
        <v>Recreation</v>
      </c>
    </row>
    <row r="189" spans="1:8" x14ac:dyDescent="0.25">
      <c r="A189">
        <v>2015</v>
      </c>
      <c r="B189">
        <v>6</v>
      </c>
      <c r="C189" t="s">
        <v>6</v>
      </c>
      <c r="D189">
        <v>15.096</v>
      </c>
      <c r="E189">
        <v>1.7</v>
      </c>
      <c r="F189">
        <v>0.25800000000000001</v>
      </c>
      <c r="H189" s="4" t="str">
        <f t="array" aca="1" ref="H189" ca="1">SUBSTITUTE(SUBSTITUTE(_xlfn.TEXTJOIN("",TRUE,IF(ISERR(MID(C189,ROW(INDIRECT("1:100")),1)+0),MID(C189,ROW(INDIRECT("1:100")),1),"")),")",""),"(","")</f>
        <v>Food and beverages</v>
      </c>
    </row>
    <row r="190" spans="1:8" x14ac:dyDescent="0.25">
      <c r="A190">
        <v>2015</v>
      </c>
      <c r="B190">
        <v>6</v>
      </c>
      <c r="C190" t="s">
        <v>32</v>
      </c>
      <c r="D190">
        <v>11.9</v>
      </c>
      <c r="E190">
        <v>1.4</v>
      </c>
      <c r="F190">
        <v>0.16</v>
      </c>
      <c r="H190" s="4" t="str">
        <f t="array" aca="1" ref="H190" ca="1">SUBSTITUTE(SUBSTITUTE(_xlfn.TEXTJOIN("",TRUE,IF(ISERR(MID(C190,ROW(INDIRECT("1:100")),1)+0),MID(C190,ROW(INDIRECT("1:100")),1),"")),")",""),"(","")</f>
        <v>Other services</v>
      </c>
    </row>
    <row r="191" spans="1:8" x14ac:dyDescent="0.25">
      <c r="A191">
        <v>2015</v>
      </c>
      <c r="B191">
        <v>6</v>
      </c>
      <c r="C191" t="s">
        <v>33</v>
      </c>
      <c r="D191">
        <v>2.6629999999999998</v>
      </c>
      <c r="E191">
        <v>-2.6</v>
      </c>
      <c r="F191">
        <v>-7.0000000000000007E-2</v>
      </c>
      <c r="H191" s="4" t="str">
        <f t="array" aca="1" ref="H191" ca="1">SUBSTITUTE(SUBSTITUTE(_xlfn.TEXTJOIN("",TRUE,IF(ISERR(MID(C191,ROW(INDIRECT("1:100")),1)+0),MID(C191,ROW(INDIRECT("1:100")),1),"")),")",""),"(","")</f>
        <v>Apparel less footwear</v>
      </c>
    </row>
    <row r="192" spans="1:8" x14ac:dyDescent="0.25">
      <c r="A192">
        <v>2015</v>
      </c>
      <c r="B192">
        <v>6</v>
      </c>
      <c r="C192" t="s">
        <v>34</v>
      </c>
      <c r="D192">
        <v>5.1520000000000001</v>
      </c>
      <c r="E192">
        <v>-2.2000000000000002</v>
      </c>
      <c r="F192">
        <v>-0.11799999999999999</v>
      </c>
      <c r="H192" s="4" t="str">
        <f t="array" aca="1" ref="H192" ca="1">SUBSTITUTE(SUBSTITUTE(_xlfn.TEXTJOIN("",TRUE,IF(ISERR(MID(C192,ROW(INDIRECT("1:100")),1)+0),MID(C192,ROW(INDIRECT("1:100")),1),"")),")",""),"(","")</f>
        <v>Fuels and utilities</v>
      </c>
    </row>
    <row r="193" spans="1:8" x14ac:dyDescent="0.25">
      <c r="A193">
        <v>2015</v>
      </c>
      <c r="B193">
        <v>6</v>
      </c>
      <c r="C193" t="s">
        <v>11</v>
      </c>
      <c r="D193">
        <v>7.7489999999999997</v>
      </c>
      <c r="E193">
        <v>2.5</v>
      </c>
      <c r="F193">
        <v>0.189</v>
      </c>
      <c r="H193" s="4" t="str">
        <f t="array" aca="1" ref="H193" ca="1">SUBSTITUTE(SUBSTITUTE(_xlfn.TEXTJOIN("",TRUE,IF(ISERR(MID(C193,ROW(INDIRECT("1:100")),1)+0),MID(C193,ROW(INDIRECT("1:100")),1),"")),")",""),"(","")</f>
        <v>Medical care</v>
      </c>
    </row>
    <row r="194" spans="1:8" x14ac:dyDescent="0.25">
      <c r="A194">
        <v>2015</v>
      </c>
      <c r="B194">
        <v>6</v>
      </c>
      <c r="C194" t="s">
        <v>7</v>
      </c>
      <c r="D194">
        <v>15.596</v>
      </c>
      <c r="E194">
        <v>-6.9</v>
      </c>
      <c r="F194">
        <v>-1.171</v>
      </c>
      <c r="H194" s="4" t="str">
        <f t="array" aca="1" ref="H194" ca="1">SUBSTITUTE(SUBSTITUTE(_xlfn.TEXTJOIN("",TRUE,IF(ISERR(MID(C194,ROW(INDIRECT("1:100")),1)+0),MID(C194,ROW(INDIRECT("1:100")),1),"")),")",""),"(","")</f>
        <v>Transportation</v>
      </c>
    </row>
    <row r="195" spans="1:8" x14ac:dyDescent="0.25">
      <c r="A195">
        <v>2015</v>
      </c>
      <c r="B195">
        <v>6</v>
      </c>
      <c r="C195" t="s">
        <v>35</v>
      </c>
      <c r="D195">
        <v>10.009</v>
      </c>
      <c r="E195">
        <v>-1.5</v>
      </c>
      <c r="F195">
        <v>-0.156</v>
      </c>
      <c r="H195" s="4" t="str">
        <f t="array" aca="1" ref="H195" ca="1">SUBSTITUTE(SUBSTITUTE(_xlfn.TEXTJOIN("",TRUE,IF(ISERR(MID(C195,ROW(INDIRECT("1:100")),1)+0),MID(C195,ROW(INDIRECT("1:100")),1),"")),")",""),"(","")</f>
        <v>Utilities and public transportation</v>
      </c>
    </row>
    <row r="196" spans="1:8" x14ac:dyDescent="0.25">
      <c r="A196">
        <v>2015</v>
      </c>
      <c r="B196">
        <v>6</v>
      </c>
      <c r="C196" t="s">
        <v>36</v>
      </c>
      <c r="D196">
        <v>4.1689999999999996</v>
      </c>
      <c r="E196">
        <v>-0.3</v>
      </c>
      <c r="F196">
        <v>-1.4E-2</v>
      </c>
      <c r="H196" s="4" t="str">
        <f t="array" aca="1" ref="H196" ca="1">SUBSTITUTE(SUBSTITUTE(_xlfn.TEXTJOIN("",TRUE,IF(ISERR(MID(C196,ROW(INDIRECT("1:100")),1)+0),MID(C196,ROW(INDIRECT("1:100")),1),"")),")",""),"(","")</f>
        <v>Household furnishings and operations</v>
      </c>
    </row>
    <row r="197" spans="1:8" x14ac:dyDescent="0.25">
      <c r="A197">
        <v>2015</v>
      </c>
      <c r="B197">
        <v>6</v>
      </c>
      <c r="C197" t="s">
        <v>12</v>
      </c>
      <c r="D197">
        <v>3.3690000000000002</v>
      </c>
      <c r="E197">
        <v>1.7</v>
      </c>
      <c r="F197">
        <v>5.7000000000000002E-2</v>
      </c>
      <c r="H197" s="4" t="str">
        <f t="array" aca="1" ref="H197" ca="1">SUBSTITUTE(SUBSTITUTE(_xlfn.TEXTJOIN("",TRUE,IF(ISERR(MID(C197,ROW(INDIRECT("1:100")),1)+0),MID(C197,ROW(INDIRECT("1:100")),1),"")),")",""),"(","")</f>
        <v>Other goods and services</v>
      </c>
    </row>
    <row r="198" spans="1:8" x14ac:dyDescent="0.25">
      <c r="A198">
        <v>2015</v>
      </c>
      <c r="B198">
        <v>7</v>
      </c>
      <c r="C198" t="s">
        <v>14</v>
      </c>
      <c r="D198">
        <v>100</v>
      </c>
      <c r="E198">
        <v>0.2</v>
      </c>
      <c r="H198" s="4" t="str">
        <f t="array" aca="1" ref="H198" ca="1">SUBSTITUTE(SUBSTITUTE(_xlfn.TEXTJOIN("",TRUE,IF(ISERR(MID(C198,ROW(INDIRECT("1:100")),1)+0),MID(C198,ROW(INDIRECT("1:100")),1),"")),")",""),"(","")</f>
        <v>All items</v>
      </c>
    </row>
    <row r="199" spans="1:8" x14ac:dyDescent="0.25">
      <c r="A199">
        <v>2015</v>
      </c>
      <c r="B199">
        <v>7</v>
      </c>
      <c r="C199" t="s">
        <v>15</v>
      </c>
      <c r="D199">
        <v>14.068</v>
      </c>
      <c r="E199">
        <v>1.6</v>
      </c>
      <c r="F199">
        <v>0.22700000000000001</v>
      </c>
      <c r="H199" s="4" t="str">
        <f t="array" aca="1" ref="H199" ca="1">SUBSTITUTE(SUBSTITUTE(_xlfn.TEXTJOIN("",TRUE,IF(ISERR(MID(C199,ROW(INDIRECT("1:100")),1)+0),MID(C199,ROW(INDIRECT("1:100")),1),"")),")",""),"(","")</f>
        <v>Food</v>
      </c>
    </row>
    <row r="200" spans="1:8" x14ac:dyDescent="0.25">
      <c r="A200">
        <v>2015</v>
      </c>
      <c r="B200">
        <v>7</v>
      </c>
      <c r="C200" t="s">
        <v>16</v>
      </c>
      <c r="D200">
        <v>8.3179999999999996</v>
      </c>
      <c r="E200">
        <v>-14.8</v>
      </c>
      <c r="F200">
        <v>-1.4359999999999999</v>
      </c>
      <c r="H200" s="4" t="str">
        <f t="array" aca="1" ref="H200" ca="1">SUBSTITUTE(SUBSTITUTE(_xlfn.TEXTJOIN("",TRUE,IF(ISERR(MID(C200,ROW(INDIRECT("1:100")),1)+0),MID(C200,ROW(INDIRECT("1:100")),1),"")),")",""),"(","")</f>
        <v>Energy</v>
      </c>
    </row>
    <row r="201" spans="1:8" x14ac:dyDescent="0.25">
      <c r="A201">
        <v>2015</v>
      </c>
      <c r="B201">
        <v>7</v>
      </c>
      <c r="C201" t="s">
        <v>17</v>
      </c>
      <c r="D201">
        <v>77.613</v>
      </c>
      <c r="E201">
        <v>1.8</v>
      </c>
      <c r="F201">
        <v>1.379</v>
      </c>
      <c r="H201" s="4" t="str">
        <f t="array" aca="1" ref="H201" ca="1">SUBSTITUTE(SUBSTITUTE(_xlfn.TEXTJOIN("",TRUE,IF(ISERR(MID(C201,ROW(INDIRECT("1:100")),1)+0),MID(C201,ROW(INDIRECT("1:100")),1),"")),")",""),"(","")</f>
        <v>All items less food and energy</v>
      </c>
    </row>
    <row r="202" spans="1:8" x14ac:dyDescent="0.25">
      <c r="A202">
        <v>2015</v>
      </c>
      <c r="B202">
        <v>7</v>
      </c>
      <c r="C202" t="s">
        <v>18</v>
      </c>
      <c r="H202" s="4" t="str">
        <f t="array" aca="1" ref="H202" ca="1">SUBSTITUTE(SUBSTITUTE(_xlfn.TEXTJOIN("",TRUE,IF(ISERR(MID(C202,ROW(INDIRECT("1:100")),1)+0),MID(C202,ROW(INDIRECT("1:100")),1),"")),")",""),"(","")</f>
        <v>Special aggregate indexes</v>
      </c>
    </row>
    <row r="203" spans="1:8" x14ac:dyDescent="0.25">
      <c r="A203">
        <v>2015</v>
      </c>
      <c r="B203">
        <v>7</v>
      </c>
      <c r="C203" t="s">
        <v>19</v>
      </c>
      <c r="D203">
        <v>85.932000000000002</v>
      </c>
      <c r="E203">
        <v>-0.1</v>
      </c>
      <c r="F203">
        <v>-5.7000000000000002E-2</v>
      </c>
      <c r="H203" s="4" t="str">
        <f t="array" aca="1" ref="H203" ca="1">SUBSTITUTE(SUBSTITUTE(_xlfn.TEXTJOIN("",TRUE,IF(ISERR(MID(C203,ROW(INDIRECT("1:100")),1)+0),MID(C203,ROW(INDIRECT("1:100")),1),"")),")",""),"(","")</f>
        <v>All items less food</v>
      </c>
    </row>
    <row r="204" spans="1:8" x14ac:dyDescent="0.25">
      <c r="A204">
        <v>2015</v>
      </c>
      <c r="B204">
        <v>7</v>
      </c>
      <c r="C204" t="s">
        <v>20</v>
      </c>
      <c r="D204">
        <v>67.241</v>
      </c>
      <c r="E204">
        <v>-1.2</v>
      </c>
      <c r="F204">
        <v>-0.82499999999999996</v>
      </c>
      <c r="H204" s="4" t="str">
        <f t="array" aca="1" ref="H204" ca="1">SUBSTITUTE(SUBSTITUTE(_xlfn.TEXTJOIN("",TRUE,IF(ISERR(MID(C204,ROW(INDIRECT("1:100")),1)+0),MID(C204,ROW(INDIRECT("1:100")),1),"")),")",""),"(","")</f>
        <v>All items less shelter</v>
      </c>
    </row>
    <row r="205" spans="1:8" x14ac:dyDescent="0.25">
      <c r="A205">
        <v>2015</v>
      </c>
      <c r="B205">
        <v>7</v>
      </c>
      <c r="C205" t="s">
        <v>21</v>
      </c>
      <c r="D205">
        <v>53.173000000000002</v>
      </c>
      <c r="E205">
        <v>-1.9</v>
      </c>
      <c r="F205">
        <v>-1.052</v>
      </c>
      <c r="H205" s="4" t="str">
        <f t="array" aca="1" ref="H205" ca="1">SUBSTITUTE(SUBSTITUTE(_xlfn.TEXTJOIN("",TRUE,IF(ISERR(MID(C205,ROW(INDIRECT("1:100")),1)+0),MID(C205,ROW(INDIRECT("1:100")),1),"")),")",""),"(","")</f>
        <v>All items less food and shelter</v>
      </c>
    </row>
    <row r="206" spans="1:8" x14ac:dyDescent="0.25">
      <c r="A206">
        <v>2015</v>
      </c>
      <c r="B206">
        <v>7</v>
      </c>
      <c r="C206" t="s">
        <v>22</v>
      </c>
      <c r="D206">
        <v>44.853999999999999</v>
      </c>
      <c r="E206">
        <v>0.9</v>
      </c>
      <c r="F206">
        <v>0.38400000000000001</v>
      </c>
      <c r="H206" s="4" t="str">
        <f t="array" aca="1" ref="H206" ca="1">SUBSTITUTE(SUBSTITUTE(_xlfn.TEXTJOIN("",TRUE,IF(ISERR(MID(C206,ROW(INDIRECT("1:100")),1)+0),MID(C206,ROW(INDIRECT("1:100")),1),"")),")",""),"(","")</f>
        <v>All items less food, shelter, and energy</v>
      </c>
    </row>
    <row r="207" spans="1:8" x14ac:dyDescent="0.25">
      <c r="A207">
        <v>2015</v>
      </c>
      <c r="B207">
        <v>7</v>
      </c>
      <c r="C207" t="s">
        <v>23</v>
      </c>
      <c r="D207">
        <v>43.189</v>
      </c>
      <c r="E207">
        <v>0.9</v>
      </c>
      <c r="F207">
        <v>0.40300000000000002</v>
      </c>
      <c r="H207" s="4" t="str">
        <f t="array" aca="1" ref="H207" ca="1">SUBSTITUTE(SUBSTITUTE(_xlfn.TEXTJOIN("",TRUE,IF(ISERR(MID(C207,ROW(INDIRECT("1:100")),1)+0),MID(C207,ROW(INDIRECT("1:100")),1),"")),")",""),"(","")</f>
        <v>All items less food, shelter, energy, and used cars and trucks</v>
      </c>
    </row>
    <row r="208" spans="1:8" x14ac:dyDescent="0.25">
      <c r="A208">
        <v>2015</v>
      </c>
      <c r="B208">
        <v>7</v>
      </c>
      <c r="C208" t="s">
        <v>24</v>
      </c>
      <c r="D208">
        <v>92.295000000000002</v>
      </c>
      <c r="E208">
        <v>0</v>
      </c>
      <c r="F208">
        <v>-1.7999999999999999E-2</v>
      </c>
      <c r="H208" s="4" t="str">
        <f t="array" aca="1" ref="H208" ca="1">SUBSTITUTE(SUBSTITUTE(_xlfn.TEXTJOIN("",TRUE,IF(ISERR(MID(C208,ROW(INDIRECT("1:100")),1)+0),MID(C208,ROW(INDIRECT("1:100")),1),"")),")",""),"(","")</f>
        <v>All items less medical care</v>
      </c>
    </row>
    <row r="209" spans="1:8" x14ac:dyDescent="0.25">
      <c r="A209">
        <v>2015</v>
      </c>
      <c r="B209">
        <v>7</v>
      </c>
      <c r="C209" t="s">
        <v>25</v>
      </c>
      <c r="D209">
        <v>91.682000000000002</v>
      </c>
      <c r="E209">
        <v>1.8</v>
      </c>
      <c r="F209">
        <v>1.605</v>
      </c>
      <c r="H209" s="4" t="str">
        <f t="array" aca="1" ref="H209" ca="1">SUBSTITUTE(SUBSTITUTE(_xlfn.TEXTJOIN("",TRUE,IF(ISERR(MID(C209,ROW(INDIRECT("1:100")),1)+0),MID(C209,ROW(INDIRECT("1:100")),1),"")),")",""),"(","")</f>
        <v>All items less energy</v>
      </c>
    </row>
    <row r="210" spans="1:8" x14ac:dyDescent="0.25">
      <c r="A210">
        <v>2015</v>
      </c>
      <c r="B210">
        <v>7</v>
      </c>
      <c r="C210" t="s">
        <v>26</v>
      </c>
      <c r="D210">
        <v>37.805</v>
      </c>
      <c r="E210">
        <v>-3</v>
      </c>
      <c r="F210">
        <v>-1.1559999999999999</v>
      </c>
      <c r="H210" s="4" t="str">
        <f t="array" aca="1" ref="H210" ca="1">SUBSTITUTE(SUBSTITUTE(_xlfn.TEXTJOIN("",TRUE,IF(ISERR(MID(C210,ROW(INDIRECT("1:100")),1)+0),MID(C210,ROW(INDIRECT("1:100")),1),"")),")",""),"(","")</f>
        <v>Commodities</v>
      </c>
    </row>
    <row r="211" spans="1:8" x14ac:dyDescent="0.25">
      <c r="A211">
        <v>2015</v>
      </c>
      <c r="B211">
        <v>7</v>
      </c>
      <c r="C211" t="s">
        <v>27</v>
      </c>
      <c r="D211">
        <v>62.195</v>
      </c>
      <c r="E211">
        <v>2.2000000000000002</v>
      </c>
      <c r="F211">
        <v>1.3260000000000001</v>
      </c>
      <c r="H211" s="4" t="str">
        <f t="array" aca="1" ref="H211" ca="1">SUBSTITUTE(SUBSTITUTE(_xlfn.TEXTJOIN("",TRUE,IF(ISERR(MID(C211,ROW(INDIRECT("1:100")),1)+0),MID(C211,ROW(INDIRECT("1:100")),1),"")),")",""),"(","")</f>
        <v>Services</v>
      </c>
    </row>
    <row r="212" spans="1:8" x14ac:dyDescent="0.25">
      <c r="A212">
        <v>2015</v>
      </c>
      <c r="B212">
        <v>7</v>
      </c>
      <c r="C212" t="s">
        <v>28</v>
      </c>
      <c r="D212">
        <v>8.9320000000000004</v>
      </c>
      <c r="E212">
        <v>-1</v>
      </c>
      <c r="F212">
        <v>-8.6999999999999994E-2</v>
      </c>
      <c r="H212" s="4" t="str">
        <f t="array" aca="1" ref="H212" ca="1">SUBSTITUTE(SUBSTITUTE(_xlfn.TEXTJOIN("",TRUE,IF(ISERR(MID(C212,ROW(INDIRECT("1:100")),1)+0),MID(C212,ROW(INDIRECT("1:100")),1),"")),")",""),"(","")</f>
        <v>Durables</v>
      </c>
    </row>
    <row r="213" spans="1:8" x14ac:dyDescent="0.25">
      <c r="A213">
        <v>2015</v>
      </c>
      <c r="B213">
        <v>7</v>
      </c>
      <c r="C213" t="s">
        <v>29</v>
      </c>
      <c r="D213">
        <v>28.872</v>
      </c>
      <c r="E213">
        <v>-3.6</v>
      </c>
      <c r="F213">
        <v>-1.069</v>
      </c>
      <c r="H213" s="4" t="str">
        <f t="array" aca="1" ref="H213" ca="1">SUBSTITUTE(SUBSTITUTE(_xlfn.TEXTJOIN("",TRUE,IF(ISERR(MID(C213,ROW(INDIRECT("1:100")),1)+0),MID(C213,ROW(INDIRECT("1:100")),1),"")),")",""),"(","")</f>
        <v>Nondurables</v>
      </c>
    </row>
    <row r="214" spans="1:8" x14ac:dyDescent="0.25">
      <c r="A214">
        <v>2015</v>
      </c>
      <c r="B214">
        <v>7</v>
      </c>
      <c r="C214" t="s">
        <v>8</v>
      </c>
      <c r="D214">
        <v>42.189</v>
      </c>
      <c r="E214">
        <v>2</v>
      </c>
      <c r="F214">
        <v>0.81699999999999995</v>
      </c>
      <c r="H214" s="4" t="str">
        <f t="array" aca="1" ref="H214" ca="1">SUBSTITUTE(SUBSTITUTE(_xlfn.TEXTJOIN("",TRUE,IF(ISERR(MID(C214,ROW(INDIRECT("1:100")),1)+0),MID(C214,ROW(INDIRECT("1:100")),1),"")),")",""),"(","")</f>
        <v>Housing</v>
      </c>
    </row>
    <row r="215" spans="1:8" x14ac:dyDescent="0.25">
      <c r="A215">
        <v>2015</v>
      </c>
      <c r="B215">
        <v>7</v>
      </c>
      <c r="C215" t="s">
        <v>30</v>
      </c>
      <c r="D215">
        <v>6.95</v>
      </c>
      <c r="E215">
        <v>0.1</v>
      </c>
      <c r="F215">
        <v>5.0000000000000001E-3</v>
      </c>
      <c r="H215" s="4" t="str">
        <f t="array" aca="1" ref="H215" ca="1">SUBSTITUTE(SUBSTITUTE(_xlfn.TEXTJOIN("",TRUE,IF(ISERR(MID(C215,ROW(INDIRECT("1:100")),1)+0),MID(C215,ROW(INDIRECT("1:100")),1),"")),")",""),"(","")</f>
        <v>Education and communication</v>
      </c>
    </row>
    <row r="216" spans="1:8" x14ac:dyDescent="0.25">
      <c r="A216">
        <v>2015</v>
      </c>
      <c r="B216">
        <v>7</v>
      </c>
      <c r="C216" t="s">
        <v>31</v>
      </c>
      <c r="D216">
        <v>5.7329999999999997</v>
      </c>
      <c r="E216">
        <v>0.4</v>
      </c>
      <c r="F216">
        <v>2.5000000000000001E-2</v>
      </c>
      <c r="H216" s="4" t="str">
        <f t="array" aca="1" ref="H216" ca="1">SUBSTITUTE(SUBSTITUTE(_xlfn.TEXTJOIN("",TRUE,IF(ISERR(MID(C216,ROW(INDIRECT("1:100")),1)+0),MID(C216,ROW(INDIRECT("1:100")),1),"")),")",""),"(","")</f>
        <v>Recreation</v>
      </c>
    </row>
    <row r="217" spans="1:8" x14ac:dyDescent="0.25">
      <c r="A217">
        <v>2015</v>
      </c>
      <c r="B217">
        <v>7</v>
      </c>
      <c r="C217" t="s">
        <v>6</v>
      </c>
      <c r="D217">
        <v>15.067</v>
      </c>
      <c r="E217">
        <v>1.6</v>
      </c>
      <c r="F217">
        <v>0.23799999999999999</v>
      </c>
      <c r="H217" s="4" t="str">
        <f t="array" aca="1" ref="H217" ca="1">SUBSTITUTE(SUBSTITUTE(_xlfn.TEXTJOIN("",TRUE,IF(ISERR(MID(C217,ROW(INDIRECT("1:100")),1)+0),MID(C217,ROW(INDIRECT("1:100")),1),"")),")",""),"(","")</f>
        <v>Food and beverages</v>
      </c>
    </row>
    <row r="218" spans="1:8" x14ac:dyDescent="0.25">
      <c r="A218">
        <v>2015</v>
      </c>
      <c r="B218">
        <v>7</v>
      </c>
      <c r="C218" t="s">
        <v>32</v>
      </c>
      <c r="D218">
        <v>11.894</v>
      </c>
      <c r="E218">
        <v>1.3</v>
      </c>
      <c r="F218">
        <v>0.154</v>
      </c>
      <c r="H218" s="4" t="str">
        <f t="array" aca="1" ref="H218" ca="1">SUBSTITUTE(SUBSTITUTE(_xlfn.TEXTJOIN("",TRUE,IF(ISERR(MID(C218,ROW(INDIRECT("1:100")),1)+0),MID(C218,ROW(INDIRECT("1:100")),1),"")),")",""),"(","")</f>
        <v>Other services</v>
      </c>
    </row>
    <row r="219" spans="1:8" x14ac:dyDescent="0.25">
      <c r="A219">
        <v>2015</v>
      </c>
      <c r="B219">
        <v>7</v>
      </c>
      <c r="C219" t="s">
        <v>33</v>
      </c>
      <c r="D219">
        <v>2.6059999999999999</v>
      </c>
      <c r="E219">
        <v>-2.2999999999999998</v>
      </c>
      <c r="F219">
        <v>-5.8999999999999997E-2</v>
      </c>
      <c r="H219" s="4" t="str">
        <f t="array" aca="1" ref="H219" ca="1">SUBSTITUTE(SUBSTITUTE(_xlfn.TEXTJOIN("",TRUE,IF(ISERR(MID(C219,ROW(INDIRECT("1:100")),1)+0),MID(C219,ROW(INDIRECT("1:100")),1),"")),")",""),"(","")</f>
        <v>Apparel less footwear</v>
      </c>
    </row>
    <row r="220" spans="1:8" x14ac:dyDescent="0.25">
      <c r="A220">
        <v>2015</v>
      </c>
      <c r="B220">
        <v>7</v>
      </c>
      <c r="C220" t="s">
        <v>34</v>
      </c>
      <c r="D220">
        <v>5.2779999999999996</v>
      </c>
      <c r="E220">
        <v>-2.9</v>
      </c>
      <c r="F220">
        <v>-0.16</v>
      </c>
      <c r="H220" s="4" t="str">
        <f t="array" aca="1" ref="H220" ca="1">SUBSTITUTE(SUBSTITUTE(_xlfn.TEXTJOIN("",TRUE,IF(ISERR(MID(C220,ROW(INDIRECT("1:100")),1)+0),MID(C220,ROW(INDIRECT("1:100")),1),"")),")",""),"(","")</f>
        <v>Fuels and utilities</v>
      </c>
    </row>
    <row r="221" spans="1:8" x14ac:dyDescent="0.25">
      <c r="A221">
        <v>2015</v>
      </c>
      <c r="B221">
        <v>7</v>
      </c>
      <c r="C221" t="s">
        <v>11</v>
      </c>
      <c r="D221">
        <v>7.7050000000000001</v>
      </c>
      <c r="E221">
        <v>2.5</v>
      </c>
      <c r="F221">
        <v>0.188</v>
      </c>
      <c r="H221" s="4" t="str">
        <f t="array" aca="1" ref="H221" ca="1">SUBSTITUTE(SUBSTITUTE(_xlfn.TEXTJOIN("",TRUE,IF(ISERR(MID(C221,ROW(INDIRECT("1:100")),1)+0),MID(C221,ROW(INDIRECT("1:100")),1),"")),")",""),"(","")</f>
        <v>Medical care</v>
      </c>
    </row>
    <row r="222" spans="1:8" x14ac:dyDescent="0.25">
      <c r="A222">
        <v>2015</v>
      </c>
      <c r="B222">
        <v>7</v>
      </c>
      <c r="C222" t="s">
        <v>7</v>
      </c>
      <c r="D222">
        <v>15.664</v>
      </c>
      <c r="E222">
        <v>-6.6</v>
      </c>
      <c r="F222">
        <v>-1.105</v>
      </c>
      <c r="H222" s="4" t="str">
        <f t="array" aca="1" ref="H222" ca="1">SUBSTITUTE(SUBSTITUTE(_xlfn.TEXTJOIN("",TRUE,IF(ISERR(MID(C222,ROW(INDIRECT("1:100")),1)+0),MID(C222,ROW(INDIRECT("1:100")),1),"")),")",""),"(","")</f>
        <v>Transportation</v>
      </c>
    </row>
    <row r="223" spans="1:8" x14ac:dyDescent="0.25">
      <c r="A223">
        <v>2015</v>
      </c>
      <c r="B223">
        <v>7</v>
      </c>
      <c r="C223" t="s">
        <v>35</v>
      </c>
      <c r="D223">
        <v>10.14</v>
      </c>
      <c r="E223">
        <v>-1.8</v>
      </c>
      <c r="F223">
        <v>-0.18099999999999999</v>
      </c>
      <c r="H223" s="4" t="str">
        <f t="array" aca="1" ref="H223" ca="1">SUBSTITUTE(SUBSTITUTE(_xlfn.TEXTJOIN("",TRUE,IF(ISERR(MID(C223,ROW(INDIRECT("1:100")),1)+0),MID(C223,ROW(INDIRECT("1:100")),1),"")),")",""),"(","")</f>
        <v>Utilities and public transportation</v>
      </c>
    </row>
    <row r="224" spans="1:8" x14ac:dyDescent="0.25">
      <c r="A224">
        <v>2015</v>
      </c>
      <c r="B224">
        <v>7</v>
      </c>
      <c r="C224" t="s">
        <v>36</v>
      </c>
      <c r="D224">
        <v>4.1520000000000001</v>
      </c>
      <c r="E224">
        <v>-0.4</v>
      </c>
      <c r="F224">
        <v>-1.7999999999999999E-2</v>
      </c>
      <c r="H224" s="4" t="str">
        <f t="array" aca="1" ref="H224" ca="1">SUBSTITUTE(SUBSTITUTE(_xlfn.TEXTJOIN("",TRUE,IF(ISERR(MID(C224,ROW(INDIRECT("1:100")),1)+0),MID(C224,ROW(INDIRECT("1:100")),1),"")),")",""),"(","")</f>
        <v>Household furnishings and operations</v>
      </c>
    </row>
    <row r="225" spans="1:8" x14ac:dyDescent="0.25">
      <c r="A225">
        <v>2015</v>
      </c>
      <c r="B225">
        <v>7</v>
      </c>
      <c r="C225" t="s">
        <v>12</v>
      </c>
      <c r="D225">
        <v>3.375</v>
      </c>
      <c r="E225">
        <v>1.7</v>
      </c>
      <c r="F225">
        <v>5.6000000000000001E-2</v>
      </c>
      <c r="H225" s="4" t="str">
        <f t="array" aca="1" ref="H225" ca="1">SUBSTITUTE(SUBSTITUTE(_xlfn.TEXTJOIN("",TRUE,IF(ISERR(MID(C225,ROW(INDIRECT("1:100")),1)+0),MID(C225,ROW(INDIRECT("1:100")),1),"")),")",""),"(","")</f>
        <v>Other goods and services</v>
      </c>
    </row>
    <row r="226" spans="1:8" x14ac:dyDescent="0.25">
      <c r="A226">
        <v>2015</v>
      </c>
      <c r="B226">
        <v>8</v>
      </c>
      <c r="C226" t="s">
        <v>14</v>
      </c>
      <c r="D226">
        <v>100</v>
      </c>
      <c r="E226">
        <v>0.2</v>
      </c>
      <c r="H226" s="4" t="str">
        <f t="array" aca="1" ref="H226" ca="1">SUBSTITUTE(SUBSTITUTE(_xlfn.TEXTJOIN("",TRUE,IF(ISERR(MID(C226,ROW(INDIRECT("1:100")),1)+0),MID(C226,ROW(INDIRECT("1:100")),1),"")),")",""),"(","")</f>
        <v>All items</v>
      </c>
    </row>
    <row r="227" spans="1:8" x14ac:dyDescent="0.25">
      <c r="A227">
        <v>2015</v>
      </c>
      <c r="B227">
        <v>8</v>
      </c>
      <c r="C227" t="s">
        <v>15</v>
      </c>
      <c r="D227">
        <v>14.086</v>
      </c>
      <c r="E227">
        <v>1.6</v>
      </c>
      <c r="F227">
        <v>0.221</v>
      </c>
      <c r="H227" s="4" t="str">
        <f t="array" aca="1" ref="H227" ca="1">SUBSTITUTE(SUBSTITUTE(_xlfn.TEXTJOIN("",TRUE,IF(ISERR(MID(C227,ROW(INDIRECT("1:100")),1)+0),MID(C227,ROW(INDIRECT("1:100")),1),"")),")",""),"(","")</f>
        <v>Food</v>
      </c>
    </row>
    <row r="228" spans="1:8" x14ac:dyDescent="0.25">
      <c r="A228">
        <v>2015</v>
      </c>
      <c r="B228">
        <v>8</v>
      </c>
      <c r="C228" t="s">
        <v>16</v>
      </c>
      <c r="D228">
        <v>8.2799999999999994</v>
      </c>
      <c r="E228">
        <v>-15</v>
      </c>
      <c r="F228">
        <v>-1.425</v>
      </c>
      <c r="H228" s="4" t="str">
        <f t="array" aca="1" ref="H228" ca="1">SUBSTITUTE(SUBSTITUTE(_xlfn.TEXTJOIN("",TRUE,IF(ISERR(MID(C228,ROW(INDIRECT("1:100")),1)+0),MID(C228,ROW(INDIRECT("1:100")),1),"")),")",""),"(","")</f>
        <v>Energy</v>
      </c>
    </row>
    <row r="229" spans="1:8" x14ac:dyDescent="0.25">
      <c r="A229">
        <v>2015</v>
      </c>
      <c r="B229">
        <v>8</v>
      </c>
      <c r="C229" t="s">
        <v>17</v>
      </c>
      <c r="D229">
        <v>77.634</v>
      </c>
      <c r="E229">
        <v>1.8</v>
      </c>
      <c r="F229">
        <v>1.399</v>
      </c>
      <c r="H229" s="4" t="str">
        <f t="array" aca="1" ref="H229" ca="1">SUBSTITUTE(SUBSTITUTE(_xlfn.TEXTJOIN("",TRUE,IF(ISERR(MID(C229,ROW(INDIRECT("1:100")),1)+0),MID(C229,ROW(INDIRECT("1:100")),1),"")),")",""),"(","")</f>
        <v>All items less food and energy</v>
      </c>
    </row>
    <row r="230" spans="1:8" x14ac:dyDescent="0.25">
      <c r="A230">
        <v>2015</v>
      </c>
      <c r="B230">
        <v>8</v>
      </c>
      <c r="C230" t="s">
        <v>18</v>
      </c>
      <c r="H230" s="4" t="str">
        <f t="array" aca="1" ref="H230" ca="1">SUBSTITUTE(SUBSTITUTE(_xlfn.TEXTJOIN("",TRUE,IF(ISERR(MID(C230,ROW(INDIRECT("1:100")),1)+0),MID(C230,ROW(INDIRECT("1:100")),1),"")),")",""),"(","")</f>
        <v>Special aggregate indexes</v>
      </c>
    </row>
    <row r="231" spans="1:8" x14ac:dyDescent="0.25">
      <c r="A231">
        <v>2015</v>
      </c>
      <c r="B231">
        <v>8</v>
      </c>
      <c r="C231" t="s">
        <v>19</v>
      </c>
      <c r="D231">
        <v>85.914000000000001</v>
      </c>
      <c r="E231">
        <v>0</v>
      </c>
      <c r="F231">
        <v>-2.5000000000000001E-2</v>
      </c>
      <c r="H231" s="4" t="str">
        <f t="array" aca="1" ref="H231" ca="1">SUBSTITUTE(SUBSTITUTE(_xlfn.TEXTJOIN("",TRUE,IF(ISERR(MID(C231,ROW(INDIRECT("1:100")),1)+0),MID(C231,ROW(INDIRECT("1:100")),1),"")),")",""),"(","")</f>
        <v>All items less food</v>
      </c>
    </row>
    <row r="232" spans="1:8" x14ac:dyDescent="0.25">
      <c r="A232">
        <v>2015</v>
      </c>
      <c r="B232">
        <v>8</v>
      </c>
      <c r="C232" t="s">
        <v>20</v>
      </c>
      <c r="D232">
        <v>67.114000000000004</v>
      </c>
      <c r="E232">
        <v>-1.2</v>
      </c>
      <c r="F232">
        <v>-0.79800000000000004</v>
      </c>
      <c r="H232" s="4" t="str">
        <f t="array" aca="1" ref="H232" ca="1">SUBSTITUTE(SUBSTITUTE(_xlfn.TEXTJOIN("",TRUE,IF(ISERR(MID(C232,ROW(INDIRECT("1:100")),1)+0),MID(C232,ROW(INDIRECT("1:100")),1),"")),")",""),"(","")</f>
        <v>All items less shelter</v>
      </c>
    </row>
    <row r="233" spans="1:8" x14ac:dyDescent="0.25">
      <c r="A233">
        <v>2015</v>
      </c>
      <c r="B233">
        <v>8</v>
      </c>
      <c r="C233" t="s">
        <v>21</v>
      </c>
      <c r="D233">
        <v>53.027999999999999</v>
      </c>
      <c r="E233">
        <v>-1.9</v>
      </c>
      <c r="F233">
        <v>-1.0189999999999999</v>
      </c>
      <c r="H233" s="4" t="str">
        <f t="array" aca="1" ref="H233" ca="1">SUBSTITUTE(SUBSTITUTE(_xlfn.TEXTJOIN("",TRUE,IF(ISERR(MID(C233,ROW(INDIRECT("1:100")),1)+0),MID(C233,ROW(INDIRECT("1:100")),1),"")),")",""),"(","")</f>
        <v>All items less food and shelter</v>
      </c>
    </row>
    <row r="234" spans="1:8" x14ac:dyDescent="0.25">
      <c r="A234">
        <v>2015</v>
      </c>
      <c r="B234">
        <v>8</v>
      </c>
      <c r="C234" t="s">
        <v>22</v>
      </c>
      <c r="D234">
        <v>44.747999999999998</v>
      </c>
      <c r="E234">
        <v>0.9</v>
      </c>
      <c r="F234">
        <v>0.40600000000000003</v>
      </c>
      <c r="H234" s="4" t="str">
        <f t="array" aca="1" ref="H234" ca="1">SUBSTITUTE(SUBSTITUTE(_xlfn.TEXTJOIN("",TRUE,IF(ISERR(MID(C234,ROW(INDIRECT("1:100")),1)+0),MID(C234,ROW(INDIRECT("1:100")),1),"")),")",""),"(","")</f>
        <v>All items less food, shelter, and energy</v>
      </c>
    </row>
    <row r="235" spans="1:8" x14ac:dyDescent="0.25">
      <c r="A235">
        <v>2015</v>
      </c>
      <c r="B235">
        <v>8</v>
      </c>
      <c r="C235" t="s">
        <v>23</v>
      </c>
      <c r="D235">
        <v>43.082000000000001</v>
      </c>
      <c r="E235">
        <v>1</v>
      </c>
      <c r="F235">
        <v>0.432</v>
      </c>
      <c r="H235" s="4" t="str">
        <f t="array" aca="1" ref="H235" ca="1">SUBSTITUTE(SUBSTITUTE(_xlfn.TEXTJOIN("",TRUE,IF(ISERR(MID(C235,ROW(INDIRECT("1:100")),1)+0),MID(C235,ROW(INDIRECT("1:100")),1),"")),")",""),"(","")</f>
        <v>All items less food, shelter, energy, and used cars and trucks</v>
      </c>
    </row>
    <row r="236" spans="1:8" x14ac:dyDescent="0.25">
      <c r="A236">
        <v>2015</v>
      </c>
      <c r="B236">
        <v>8</v>
      </c>
      <c r="C236" t="s">
        <v>24</v>
      </c>
      <c r="D236">
        <v>92.287000000000006</v>
      </c>
      <c r="E236">
        <v>0</v>
      </c>
      <c r="F236">
        <v>8.9999999999999993E-3</v>
      </c>
      <c r="H236" s="4" t="str">
        <f t="array" aca="1" ref="H236" ca="1">SUBSTITUTE(SUBSTITUTE(_xlfn.TEXTJOIN("",TRUE,IF(ISERR(MID(C236,ROW(INDIRECT("1:100")),1)+0),MID(C236,ROW(INDIRECT("1:100")),1),"")),")",""),"(","")</f>
        <v>All items less medical care</v>
      </c>
    </row>
    <row r="237" spans="1:8" x14ac:dyDescent="0.25">
      <c r="A237">
        <v>2015</v>
      </c>
      <c r="B237">
        <v>8</v>
      </c>
      <c r="C237" t="s">
        <v>25</v>
      </c>
      <c r="D237">
        <v>91.72</v>
      </c>
      <c r="E237">
        <v>1.8</v>
      </c>
      <c r="F237">
        <v>1.62</v>
      </c>
      <c r="H237" s="4" t="str">
        <f t="array" aca="1" ref="H237" ca="1">SUBSTITUTE(SUBSTITUTE(_xlfn.TEXTJOIN("",TRUE,IF(ISERR(MID(C237,ROW(INDIRECT("1:100")),1)+0),MID(C237,ROW(INDIRECT("1:100")),1),"")),")",""),"(","")</f>
        <v>All items less energy</v>
      </c>
    </row>
    <row r="238" spans="1:8" x14ac:dyDescent="0.25">
      <c r="A238">
        <v>2015</v>
      </c>
      <c r="B238">
        <v>8</v>
      </c>
      <c r="C238" t="s">
        <v>26</v>
      </c>
      <c r="D238">
        <v>37.709000000000003</v>
      </c>
      <c r="E238">
        <v>-3</v>
      </c>
      <c r="F238">
        <v>-1.179</v>
      </c>
      <c r="H238" s="4" t="str">
        <f t="array" aca="1" ref="H238" ca="1">SUBSTITUTE(SUBSTITUTE(_xlfn.TEXTJOIN("",TRUE,IF(ISERR(MID(C238,ROW(INDIRECT("1:100")),1)+0),MID(C238,ROW(INDIRECT("1:100")),1),"")),")",""),"(","")</f>
        <v>Commodities</v>
      </c>
    </row>
    <row r="239" spans="1:8" x14ac:dyDescent="0.25">
      <c r="A239">
        <v>2015</v>
      </c>
      <c r="B239">
        <v>8</v>
      </c>
      <c r="C239" t="s">
        <v>27</v>
      </c>
      <c r="D239">
        <v>62.290999999999997</v>
      </c>
      <c r="E239">
        <v>2.2000000000000002</v>
      </c>
      <c r="F239">
        <v>1.3740000000000001</v>
      </c>
      <c r="H239" s="4" t="str">
        <f t="array" aca="1" ref="H239" ca="1">SUBSTITUTE(SUBSTITUTE(_xlfn.TEXTJOIN("",TRUE,IF(ISERR(MID(C239,ROW(INDIRECT("1:100")),1)+0),MID(C239,ROW(INDIRECT("1:100")),1),"")),")",""),"(","")</f>
        <v>Services</v>
      </c>
    </row>
    <row r="240" spans="1:8" x14ac:dyDescent="0.25">
      <c r="A240">
        <v>2015</v>
      </c>
      <c r="B240">
        <v>8</v>
      </c>
      <c r="C240" t="s">
        <v>28</v>
      </c>
      <c r="D240">
        <v>8.9</v>
      </c>
      <c r="E240">
        <v>-1.2</v>
      </c>
      <c r="F240">
        <v>-0.105</v>
      </c>
      <c r="H240" s="4" t="str">
        <f t="array" aca="1" ref="H240" ca="1">SUBSTITUTE(SUBSTITUTE(_xlfn.TEXTJOIN("",TRUE,IF(ISERR(MID(C240,ROW(INDIRECT("1:100")),1)+0),MID(C240,ROW(INDIRECT("1:100")),1),"")),")",""),"(","")</f>
        <v>Durables</v>
      </c>
    </row>
    <row r="241" spans="1:8" x14ac:dyDescent="0.25">
      <c r="A241">
        <v>2015</v>
      </c>
      <c r="B241">
        <v>8</v>
      </c>
      <c r="C241" t="s">
        <v>29</v>
      </c>
      <c r="D241">
        <v>28.81</v>
      </c>
      <c r="E241">
        <v>-3.6</v>
      </c>
      <c r="F241">
        <v>-1.0740000000000001</v>
      </c>
      <c r="H241" s="4" t="str">
        <f t="array" aca="1" ref="H241" ca="1">SUBSTITUTE(SUBSTITUTE(_xlfn.TEXTJOIN("",TRUE,IF(ISERR(MID(C241,ROW(INDIRECT("1:100")),1)+0),MID(C241,ROW(INDIRECT("1:100")),1),"")),")",""),"(","")</f>
        <v>Nondurables</v>
      </c>
    </row>
    <row r="242" spans="1:8" x14ac:dyDescent="0.25">
      <c r="A242">
        <v>2015</v>
      </c>
      <c r="B242">
        <v>8</v>
      </c>
      <c r="C242" t="s">
        <v>8</v>
      </c>
      <c r="D242">
        <v>42.277000000000001</v>
      </c>
      <c r="E242">
        <v>2</v>
      </c>
      <c r="F242">
        <v>0.83899999999999997</v>
      </c>
      <c r="H242" s="4" t="str">
        <f t="array" aca="1" ref="H242" ca="1">SUBSTITUTE(SUBSTITUTE(_xlfn.TEXTJOIN("",TRUE,IF(ISERR(MID(C242,ROW(INDIRECT("1:100")),1)+0),MID(C242,ROW(INDIRECT("1:100")),1),"")),")",""),"(","")</f>
        <v>Housing</v>
      </c>
    </row>
    <row r="243" spans="1:8" x14ac:dyDescent="0.25">
      <c r="A243">
        <v>2015</v>
      </c>
      <c r="B243">
        <v>8</v>
      </c>
      <c r="C243" t="s">
        <v>30</v>
      </c>
      <c r="D243">
        <v>6.9580000000000002</v>
      </c>
      <c r="E243">
        <v>0.1</v>
      </c>
      <c r="F243">
        <v>8.0000000000000002E-3</v>
      </c>
      <c r="H243" s="4" t="str">
        <f t="array" aca="1" ref="H243" ca="1">SUBSTITUTE(SUBSTITUTE(_xlfn.TEXTJOIN("",TRUE,IF(ISERR(MID(C243,ROW(INDIRECT("1:100")),1)+0),MID(C243,ROW(INDIRECT("1:100")),1),"")),")",""),"(","")</f>
        <v>Education and communication</v>
      </c>
    </row>
    <row r="244" spans="1:8" x14ac:dyDescent="0.25">
      <c r="A244">
        <v>2015</v>
      </c>
      <c r="B244">
        <v>8</v>
      </c>
      <c r="C244" t="s">
        <v>31</v>
      </c>
      <c r="D244">
        <v>5.7309999999999999</v>
      </c>
      <c r="E244">
        <v>0.7</v>
      </c>
      <c r="F244">
        <v>3.7999999999999999E-2</v>
      </c>
      <c r="H244" s="4" t="str">
        <f t="array" aca="1" ref="H244" ca="1">SUBSTITUTE(SUBSTITUTE(_xlfn.TEXTJOIN("",TRUE,IF(ISERR(MID(C244,ROW(INDIRECT("1:100")),1)+0),MID(C244,ROW(INDIRECT("1:100")),1),"")),")",""),"(","")</f>
        <v>Recreation</v>
      </c>
    </row>
    <row r="245" spans="1:8" x14ac:dyDescent="0.25">
      <c r="A245">
        <v>2015</v>
      </c>
      <c r="B245">
        <v>8</v>
      </c>
      <c r="C245" t="s">
        <v>6</v>
      </c>
      <c r="D245">
        <v>15.086</v>
      </c>
      <c r="E245">
        <v>1.5</v>
      </c>
      <c r="F245">
        <v>0.22700000000000001</v>
      </c>
      <c r="H245" s="4" t="str">
        <f t="array" aca="1" ref="H245" ca="1">SUBSTITUTE(SUBSTITUTE(_xlfn.TEXTJOIN("",TRUE,IF(ISERR(MID(C245,ROW(INDIRECT("1:100")),1)+0),MID(C245,ROW(INDIRECT("1:100")),1),"")),")",""),"(","")</f>
        <v>Food and beverages</v>
      </c>
    </row>
    <row r="246" spans="1:8" x14ac:dyDescent="0.25">
      <c r="A246">
        <v>2015</v>
      </c>
      <c r="B246">
        <v>8</v>
      </c>
      <c r="C246" t="s">
        <v>32</v>
      </c>
      <c r="D246">
        <v>11.909000000000001</v>
      </c>
      <c r="E246">
        <v>1.5</v>
      </c>
      <c r="F246">
        <v>0.17199999999999999</v>
      </c>
      <c r="H246" s="4" t="str">
        <f t="array" aca="1" ref="H246" ca="1">SUBSTITUTE(SUBSTITUTE(_xlfn.TEXTJOIN("",TRUE,IF(ISERR(MID(C246,ROW(INDIRECT("1:100")),1)+0),MID(C246,ROW(INDIRECT("1:100")),1),"")),")",""),"(","")</f>
        <v>Other services</v>
      </c>
    </row>
    <row r="247" spans="1:8" x14ac:dyDescent="0.25">
      <c r="A247">
        <v>2015</v>
      </c>
      <c r="B247">
        <v>8</v>
      </c>
      <c r="C247" t="s">
        <v>33</v>
      </c>
      <c r="D247">
        <v>2.544</v>
      </c>
      <c r="E247">
        <v>-1.5</v>
      </c>
      <c r="F247">
        <v>-3.9E-2</v>
      </c>
      <c r="H247" s="4" t="str">
        <f t="array" aca="1" ref="H247" ca="1">SUBSTITUTE(SUBSTITUTE(_xlfn.TEXTJOIN("",TRUE,IF(ISERR(MID(C247,ROW(INDIRECT("1:100")),1)+0),MID(C247,ROW(INDIRECT("1:100")),1),"")),")",""),"(","")</f>
        <v>Apparel less footwear</v>
      </c>
    </row>
    <row r="248" spans="1:8" x14ac:dyDescent="0.25">
      <c r="A248">
        <v>2015</v>
      </c>
      <c r="B248">
        <v>8</v>
      </c>
      <c r="C248" t="s">
        <v>34</v>
      </c>
      <c r="D248">
        <v>5.2549999999999999</v>
      </c>
      <c r="E248">
        <v>-2.5</v>
      </c>
      <c r="F248">
        <v>-0.13400000000000001</v>
      </c>
      <c r="H248" s="4" t="str">
        <f t="array" aca="1" ref="H248" ca="1">SUBSTITUTE(SUBSTITUTE(_xlfn.TEXTJOIN("",TRUE,IF(ISERR(MID(C248,ROW(INDIRECT("1:100")),1)+0),MID(C248,ROW(INDIRECT("1:100")),1),"")),")",""),"(","")</f>
        <v>Fuels and utilities</v>
      </c>
    </row>
    <row r="249" spans="1:8" x14ac:dyDescent="0.25">
      <c r="A249">
        <v>2015</v>
      </c>
      <c r="B249">
        <v>8</v>
      </c>
      <c r="C249" t="s">
        <v>11</v>
      </c>
      <c r="D249">
        <v>7.7130000000000001</v>
      </c>
      <c r="E249">
        <v>2.5</v>
      </c>
      <c r="F249">
        <v>0.186</v>
      </c>
      <c r="H249" s="4" t="str">
        <f t="array" aca="1" ref="H249" ca="1">SUBSTITUTE(SUBSTITUTE(_xlfn.TEXTJOIN("",TRUE,IF(ISERR(MID(C249,ROW(INDIRECT("1:100")),1)+0),MID(C249,ROW(INDIRECT("1:100")),1),"")),")",""),"(","")</f>
        <v>Medical care</v>
      </c>
    </row>
    <row r="250" spans="1:8" x14ac:dyDescent="0.25">
      <c r="A250">
        <v>2015</v>
      </c>
      <c r="B250">
        <v>8</v>
      </c>
      <c r="C250" t="s">
        <v>7</v>
      </c>
      <c r="D250">
        <v>15.603</v>
      </c>
      <c r="E250">
        <v>-6.8</v>
      </c>
      <c r="F250">
        <v>-1.1259999999999999</v>
      </c>
      <c r="H250" s="4" t="str">
        <f t="array" aca="1" ref="H250" ca="1">SUBSTITUTE(SUBSTITUTE(_xlfn.TEXTJOIN("",TRUE,IF(ISERR(MID(C250,ROW(INDIRECT("1:100")),1)+0),MID(C250,ROW(INDIRECT("1:100")),1),"")),")",""),"(","")</f>
        <v>Transportation</v>
      </c>
    </row>
    <row r="251" spans="1:8" x14ac:dyDescent="0.25">
      <c r="A251">
        <v>2015</v>
      </c>
      <c r="B251">
        <v>8</v>
      </c>
      <c r="C251" t="s">
        <v>35</v>
      </c>
      <c r="D251">
        <v>10.067</v>
      </c>
      <c r="E251">
        <v>-1.2</v>
      </c>
      <c r="F251">
        <v>-0.123</v>
      </c>
      <c r="H251" s="4" t="str">
        <f t="array" aca="1" ref="H251" ca="1">SUBSTITUTE(SUBSTITUTE(_xlfn.TEXTJOIN("",TRUE,IF(ISERR(MID(C251,ROW(INDIRECT("1:100")),1)+0),MID(C251,ROW(INDIRECT("1:100")),1),"")),")",""),"(","")</f>
        <v>Utilities and public transportation</v>
      </c>
    </row>
    <row r="252" spans="1:8" x14ac:dyDescent="0.25">
      <c r="A252">
        <v>2015</v>
      </c>
      <c r="B252">
        <v>8</v>
      </c>
      <c r="C252" t="s">
        <v>36</v>
      </c>
      <c r="D252">
        <v>4.1369999999999996</v>
      </c>
      <c r="E252">
        <v>-0.5</v>
      </c>
      <c r="F252">
        <v>-2.1000000000000001E-2</v>
      </c>
      <c r="H252" s="4" t="str">
        <f t="array" aca="1" ref="H252" ca="1">SUBSTITUTE(SUBSTITUTE(_xlfn.TEXTJOIN("",TRUE,IF(ISERR(MID(C252,ROW(INDIRECT("1:100")),1)+0),MID(C252,ROW(INDIRECT("1:100")),1),"")),")",""),"(","")</f>
        <v>Household furnishings and operations</v>
      </c>
    </row>
    <row r="253" spans="1:8" x14ac:dyDescent="0.25">
      <c r="A253">
        <v>2015</v>
      </c>
      <c r="B253">
        <v>8</v>
      </c>
      <c r="C253" t="s">
        <v>12</v>
      </c>
      <c r="D253">
        <v>3.3780000000000001</v>
      </c>
      <c r="E253">
        <v>1.6</v>
      </c>
      <c r="F253">
        <v>5.3999999999999999E-2</v>
      </c>
      <c r="H253" s="4" t="str">
        <f t="array" aca="1" ref="H253" ca="1">SUBSTITUTE(SUBSTITUTE(_xlfn.TEXTJOIN("",TRUE,IF(ISERR(MID(C253,ROW(INDIRECT("1:100")),1)+0),MID(C253,ROW(INDIRECT("1:100")),1),"")),")",""),"(","")</f>
        <v>Other goods and services</v>
      </c>
    </row>
    <row r="254" spans="1:8" x14ac:dyDescent="0.25">
      <c r="A254">
        <v>2015</v>
      </c>
      <c r="B254">
        <v>9</v>
      </c>
      <c r="C254" t="s">
        <v>14</v>
      </c>
      <c r="D254">
        <v>100</v>
      </c>
      <c r="E254">
        <v>0</v>
      </c>
      <c r="H254" s="4" t="str">
        <f t="array" aca="1" ref="H254" ca="1">SUBSTITUTE(SUBSTITUTE(_xlfn.TEXTJOIN("",TRUE,IF(ISERR(MID(C254,ROW(INDIRECT("1:100")),1)+0),MID(C254,ROW(INDIRECT("1:100")),1),"")),")",""),"(","")</f>
        <v>All items</v>
      </c>
    </row>
    <row r="255" spans="1:8" x14ac:dyDescent="0.25">
      <c r="A255">
        <v>2015</v>
      </c>
      <c r="B255">
        <v>9</v>
      </c>
      <c r="C255" t="s">
        <v>15</v>
      </c>
      <c r="D255">
        <v>14.144</v>
      </c>
      <c r="E255">
        <v>1.6</v>
      </c>
      <c r="F255">
        <v>0.22900000000000001</v>
      </c>
      <c r="H255" s="4" t="str">
        <f t="array" aca="1" ref="H255" ca="1">SUBSTITUTE(SUBSTITUTE(_xlfn.TEXTJOIN("",TRUE,IF(ISERR(MID(C255,ROW(INDIRECT("1:100")),1)+0),MID(C255,ROW(INDIRECT("1:100")),1),"")),")",""),"(","")</f>
        <v>Food</v>
      </c>
    </row>
    <row r="256" spans="1:8" x14ac:dyDescent="0.25">
      <c r="A256">
        <v>2015</v>
      </c>
      <c r="B256">
        <v>9</v>
      </c>
      <c r="C256" t="s">
        <v>16</v>
      </c>
      <c r="D256">
        <v>8.0419999999999998</v>
      </c>
      <c r="E256">
        <v>-18.399999999999999</v>
      </c>
      <c r="F256">
        <v>-1.716</v>
      </c>
      <c r="H256" s="4" t="str">
        <f t="array" aca="1" ref="H256" ca="1">SUBSTITUTE(SUBSTITUTE(_xlfn.TEXTJOIN("",TRUE,IF(ISERR(MID(C256,ROW(INDIRECT("1:100")),1)+0),MID(C256,ROW(INDIRECT("1:100")),1),"")),")",""),"(","")</f>
        <v>Energy</v>
      </c>
    </row>
    <row r="257" spans="1:8" x14ac:dyDescent="0.25">
      <c r="A257">
        <v>2015</v>
      </c>
      <c r="B257">
        <v>9</v>
      </c>
      <c r="C257" t="s">
        <v>17</v>
      </c>
      <c r="D257">
        <v>77.813999999999993</v>
      </c>
      <c r="E257">
        <v>1.9</v>
      </c>
      <c r="F257">
        <v>1.4510000000000001</v>
      </c>
      <c r="H257" s="4" t="str">
        <f t="array" aca="1" ref="H257" ca="1">SUBSTITUTE(SUBSTITUTE(_xlfn.TEXTJOIN("",TRUE,IF(ISERR(MID(C257,ROW(INDIRECT("1:100")),1)+0),MID(C257,ROW(INDIRECT("1:100")),1),"")),")",""),"(","")</f>
        <v>All items less food and energy</v>
      </c>
    </row>
    <row r="258" spans="1:8" x14ac:dyDescent="0.25">
      <c r="A258">
        <v>2015</v>
      </c>
      <c r="B258">
        <v>9</v>
      </c>
      <c r="C258" t="s">
        <v>18</v>
      </c>
      <c r="H258" s="4" t="str">
        <f t="array" aca="1" ref="H258" ca="1">SUBSTITUTE(SUBSTITUTE(_xlfn.TEXTJOIN("",TRUE,IF(ISERR(MID(C258,ROW(INDIRECT("1:100")),1)+0),MID(C258,ROW(INDIRECT("1:100")),1),"")),")",""),"(","")</f>
        <v>Special aggregate indexes</v>
      </c>
    </row>
    <row r="259" spans="1:8" x14ac:dyDescent="0.25">
      <c r="A259">
        <v>2015</v>
      </c>
      <c r="B259">
        <v>9</v>
      </c>
      <c r="C259" t="s">
        <v>19</v>
      </c>
      <c r="D259">
        <v>85.855999999999995</v>
      </c>
      <c r="E259">
        <v>-0.3</v>
      </c>
      <c r="F259">
        <v>-0.26500000000000001</v>
      </c>
      <c r="H259" s="4" t="str">
        <f t="array" aca="1" ref="H259" ca="1">SUBSTITUTE(SUBSTITUTE(_xlfn.TEXTJOIN("",TRUE,IF(ISERR(MID(C259,ROW(INDIRECT("1:100")),1)+0),MID(C259,ROW(INDIRECT("1:100")),1),"")),")",""),"(","")</f>
        <v>All items less food</v>
      </c>
    </row>
    <row r="260" spans="1:8" x14ac:dyDescent="0.25">
      <c r="A260">
        <v>2015</v>
      </c>
      <c r="B260">
        <v>9</v>
      </c>
      <c r="C260" t="s">
        <v>20</v>
      </c>
      <c r="D260">
        <v>67.004999999999995</v>
      </c>
      <c r="E260">
        <v>-1.6</v>
      </c>
      <c r="F260">
        <v>-1.056</v>
      </c>
      <c r="H260" s="4" t="str">
        <f t="array" aca="1" ref="H260" ca="1">SUBSTITUTE(SUBSTITUTE(_xlfn.TEXTJOIN("",TRUE,IF(ISERR(MID(C260,ROW(INDIRECT("1:100")),1)+0),MID(C260,ROW(INDIRECT("1:100")),1),"")),")",""),"(","")</f>
        <v>All items less shelter</v>
      </c>
    </row>
    <row r="261" spans="1:8" x14ac:dyDescent="0.25">
      <c r="A261">
        <v>2015</v>
      </c>
      <c r="B261">
        <v>9</v>
      </c>
      <c r="C261" t="s">
        <v>21</v>
      </c>
      <c r="D261">
        <v>52.860999999999997</v>
      </c>
      <c r="E261">
        <v>-2.4</v>
      </c>
      <c r="F261">
        <v>-1.2849999999999999</v>
      </c>
      <c r="H261" s="4" t="str">
        <f t="array" aca="1" ref="H261" ca="1">SUBSTITUTE(SUBSTITUTE(_xlfn.TEXTJOIN("",TRUE,IF(ISERR(MID(C261,ROW(INDIRECT("1:100")),1)+0),MID(C261,ROW(INDIRECT("1:100")),1),"")),")",""),"(","")</f>
        <v>All items less food and shelter</v>
      </c>
    </row>
    <row r="262" spans="1:8" x14ac:dyDescent="0.25">
      <c r="A262">
        <v>2015</v>
      </c>
      <c r="B262">
        <v>9</v>
      </c>
      <c r="C262" t="s">
        <v>22</v>
      </c>
      <c r="D262">
        <v>44.817999999999998</v>
      </c>
      <c r="E262">
        <v>1</v>
      </c>
      <c r="F262">
        <v>0.43</v>
      </c>
      <c r="H262" s="4" t="str">
        <f t="array" aca="1" ref="H262" ca="1">SUBSTITUTE(SUBSTITUTE(_xlfn.TEXTJOIN("",TRUE,IF(ISERR(MID(C262,ROW(INDIRECT("1:100")),1)+0),MID(C262,ROW(INDIRECT("1:100")),1),"")),")",""),"(","")</f>
        <v>All items less food, shelter, and energy</v>
      </c>
    </row>
    <row r="263" spans="1:8" x14ac:dyDescent="0.25">
      <c r="A263">
        <v>2015</v>
      </c>
      <c r="B263">
        <v>9</v>
      </c>
      <c r="C263" t="s">
        <v>23</v>
      </c>
      <c r="D263">
        <v>43.152000000000001</v>
      </c>
      <c r="E263">
        <v>1.1000000000000001</v>
      </c>
      <c r="F263">
        <v>0.45900000000000002</v>
      </c>
      <c r="H263" s="4" t="str">
        <f t="array" aca="1" ref="H263" ca="1">SUBSTITUTE(SUBSTITUTE(_xlfn.TEXTJOIN("",TRUE,IF(ISERR(MID(C263,ROW(INDIRECT("1:100")),1)+0),MID(C263,ROW(INDIRECT("1:100")),1),"")),")",""),"(","")</f>
        <v>All items less food, shelter, energy, and used cars and trucks</v>
      </c>
    </row>
    <row r="264" spans="1:8" x14ac:dyDescent="0.25">
      <c r="A264">
        <v>2015</v>
      </c>
      <c r="B264">
        <v>9</v>
      </c>
      <c r="C264" t="s">
        <v>24</v>
      </c>
      <c r="D264">
        <v>92.28</v>
      </c>
      <c r="E264">
        <v>-0.2</v>
      </c>
      <c r="F264">
        <v>-0.222</v>
      </c>
      <c r="H264" s="4" t="str">
        <f t="array" aca="1" ref="H264" ca="1">SUBSTITUTE(SUBSTITUTE(_xlfn.TEXTJOIN("",TRUE,IF(ISERR(MID(C264,ROW(INDIRECT("1:100")),1)+0),MID(C264,ROW(INDIRECT("1:100")),1),"")),")",""),"(","")</f>
        <v>All items less medical care</v>
      </c>
    </row>
    <row r="265" spans="1:8" x14ac:dyDescent="0.25">
      <c r="A265">
        <v>2015</v>
      </c>
      <c r="B265">
        <v>9</v>
      </c>
      <c r="C265" t="s">
        <v>25</v>
      </c>
      <c r="D265">
        <v>91.957999999999998</v>
      </c>
      <c r="E265">
        <v>1.9</v>
      </c>
      <c r="F265">
        <v>1.679</v>
      </c>
      <c r="H265" s="4" t="str">
        <f t="array" aca="1" ref="H265" ca="1">SUBSTITUTE(SUBSTITUTE(_xlfn.TEXTJOIN("",TRUE,IF(ISERR(MID(C265,ROW(INDIRECT("1:100")),1)+0),MID(C265,ROW(INDIRECT("1:100")),1),"")),")",""),"(","")</f>
        <v>All items less energy</v>
      </c>
    </row>
    <row r="266" spans="1:8" x14ac:dyDescent="0.25">
      <c r="A266">
        <v>2015</v>
      </c>
      <c r="B266">
        <v>9</v>
      </c>
      <c r="C266" t="s">
        <v>26</v>
      </c>
      <c r="D266">
        <v>37.570999999999998</v>
      </c>
      <c r="E266">
        <v>-3.8</v>
      </c>
      <c r="F266">
        <v>-1.47</v>
      </c>
      <c r="H266" s="4" t="str">
        <f t="array" aca="1" ref="H266" ca="1">SUBSTITUTE(SUBSTITUTE(_xlfn.TEXTJOIN("",TRUE,IF(ISERR(MID(C266,ROW(INDIRECT("1:100")),1)+0),MID(C266,ROW(INDIRECT("1:100")),1),"")),")",""),"(","")</f>
        <v>Commodities</v>
      </c>
    </row>
    <row r="267" spans="1:8" x14ac:dyDescent="0.25">
      <c r="A267">
        <v>2015</v>
      </c>
      <c r="B267">
        <v>9</v>
      </c>
      <c r="C267" t="s">
        <v>27</v>
      </c>
      <c r="D267">
        <v>62.429000000000002</v>
      </c>
      <c r="E267">
        <v>2.2999999999999998</v>
      </c>
      <c r="F267">
        <v>1.4339999999999999</v>
      </c>
      <c r="H267" s="4" t="str">
        <f t="array" aca="1" ref="H267" ca="1">SUBSTITUTE(SUBSTITUTE(_xlfn.TEXTJOIN("",TRUE,IF(ISERR(MID(C267,ROW(INDIRECT("1:100")),1)+0),MID(C267,ROW(INDIRECT("1:100")),1),"")),")",""),"(","")</f>
        <v>Services</v>
      </c>
    </row>
    <row r="268" spans="1:8" x14ac:dyDescent="0.25">
      <c r="A268">
        <v>2015</v>
      </c>
      <c r="B268">
        <v>9</v>
      </c>
      <c r="C268" t="s">
        <v>28</v>
      </c>
      <c r="D268">
        <v>8.8740000000000006</v>
      </c>
      <c r="E268">
        <v>-1</v>
      </c>
      <c r="F268">
        <v>-8.8999999999999996E-2</v>
      </c>
      <c r="H268" s="4" t="str">
        <f t="array" aca="1" ref="H268" ca="1">SUBSTITUTE(SUBSTITUTE(_xlfn.TEXTJOIN("",TRUE,IF(ISERR(MID(C268,ROW(INDIRECT("1:100")),1)+0),MID(C268,ROW(INDIRECT("1:100")),1),"")),")",""),"(","")</f>
        <v>Durables</v>
      </c>
    </row>
    <row r="269" spans="1:8" x14ac:dyDescent="0.25">
      <c r="A269">
        <v>2015</v>
      </c>
      <c r="B269">
        <v>9</v>
      </c>
      <c r="C269" t="s">
        <v>29</v>
      </c>
      <c r="D269">
        <v>28.696999999999999</v>
      </c>
      <c r="E269">
        <v>-4.5999999999999996</v>
      </c>
      <c r="F269">
        <v>-1.381</v>
      </c>
      <c r="H269" s="4" t="str">
        <f t="array" aca="1" ref="H269" ca="1">SUBSTITUTE(SUBSTITUTE(_xlfn.TEXTJOIN("",TRUE,IF(ISERR(MID(C269,ROW(INDIRECT("1:100")),1)+0),MID(C269,ROW(INDIRECT("1:100")),1),"")),")",""),"(","")</f>
        <v>Nondurables</v>
      </c>
    </row>
    <row r="270" spans="1:8" x14ac:dyDescent="0.25">
      <c r="A270">
        <v>2015</v>
      </c>
      <c r="B270">
        <v>9</v>
      </c>
      <c r="C270" t="s">
        <v>8</v>
      </c>
      <c r="D270">
        <v>42.375</v>
      </c>
      <c r="E270">
        <v>2.1</v>
      </c>
      <c r="F270">
        <v>0.88200000000000001</v>
      </c>
      <c r="H270" s="4" t="str">
        <f t="array" aca="1" ref="H270" ca="1">SUBSTITUTE(SUBSTITUTE(_xlfn.TEXTJOIN("",TRUE,IF(ISERR(MID(C270,ROW(INDIRECT("1:100")),1)+0),MID(C270,ROW(INDIRECT("1:100")),1),"")),")",""),"(","")</f>
        <v>Housing</v>
      </c>
    </row>
    <row r="271" spans="1:8" x14ac:dyDescent="0.25">
      <c r="A271">
        <v>2015</v>
      </c>
      <c r="B271">
        <v>9</v>
      </c>
      <c r="C271" t="s">
        <v>30</v>
      </c>
      <c r="D271">
        <v>7.0030000000000001</v>
      </c>
      <c r="E271">
        <v>0.4</v>
      </c>
      <c r="F271">
        <v>3.1E-2</v>
      </c>
      <c r="H271" s="4" t="str">
        <f t="array" aca="1" ref="H271" ca="1">SUBSTITUTE(SUBSTITUTE(_xlfn.TEXTJOIN("",TRUE,IF(ISERR(MID(C271,ROW(INDIRECT("1:100")),1)+0),MID(C271,ROW(INDIRECT("1:100")),1),"")),")",""),"(","")</f>
        <v>Education and communication</v>
      </c>
    </row>
    <row r="272" spans="1:8" x14ac:dyDescent="0.25">
      <c r="A272">
        <v>2015</v>
      </c>
      <c r="B272">
        <v>9</v>
      </c>
      <c r="C272" t="s">
        <v>31</v>
      </c>
      <c r="D272">
        <v>5.7249999999999996</v>
      </c>
      <c r="E272">
        <v>0.6</v>
      </c>
      <c r="F272">
        <v>3.5999999999999997E-2</v>
      </c>
      <c r="H272" s="4" t="str">
        <f t="array" aca="1" ref="H272" ca="1">SUBSTITUTE(SUBSTITUTE(_xlfn.TEXTJOIN("",TRUE,IF(ISERR(MID(C272,ROW(INDIRECT("1:100")),1)+0),MID(C272,ROW(INDIRECT("1:100")),1),"")),")",""),"(","")</f>
        <v>Recreation</v>
      </c>
    </row>
    <row r="273" spans="1:8" x14ac:dyDescent="0.25">
      <c r="A273">
        <v>2015</v>
      </c>
      <c r="B273">
        <v>9</v>
      </c>
      <c r="C273" t="s">
        <v>6</v>
      </c>
      <c r="D273">
        <v>15.146000000000001</v>
      </c>
      <c r="E273">
        <v>1.6</v>
      </c>
      <c r="F273">
        <v>0.23499999999999999</v>
      </c>
      <c r="H273" s="4" t="str">
        <f t="array" aca="1" ref="H273" ca="1">SUBSTITUTE(SUBSTITUTE(_xlfn.TEXTJOIN("",TRUE,IF(ISERR(MID(C273,ROW(INDIRECT("1:100")),1)+0),MID(C273,ROW(INDIRECT("1:100")),1),"")),")",""),"(","")</f>
        <v>Food and beverages</v>
      </c>
    </row>
    <row r="274" spans="1:8" x14ac:dyDescent="0.25">
      <c r="A274">
        <v>2015</v>
      </c>
      <c r="B274">
        <v>9</v>
      </c>
      <c r="C274" t="s">
        <v>32</v>
      </c>
      <c r="D274">
        <v>11.961</v>
      </c>
      <c r="E274">
        <v>1.6</v>
      </c>
      <c r="F274">
        <v>0.191</v>
      </c>
      <c r="H274" s="4" t="str">
        <f t="array" aca="1" ref="H274" ca="1">SUBSTITUTE(SUBSTITUTE(_xlfn.TEXTJOIN("",TRUE,IF(ISERR(MID(C274,ROW(INDIRECT("1:100")),1)+0),MID(C274,ROW(INDIRECT("1:100")),1),"")),")",""),"(","")</f>
        <v>Other services</v>
      </c>
    </row>
    <row r="275" spans="1:8" x14ac:dyDescent="0.25">
      <c r="A275">
        <v>2015</v>
      </c>
      <c r="B275">
        <v>9</v>
      </c>
      <c r="C275" t="s">
        <v>33</v>
      </c>
      <c r="D275">
        <v>2.59</v>
      </c>
      <c r="E275">
        <v>-1.6</v>
      </c>
      <c r="F275">
        <v>-4.3999999999999997E-2</v>
      </c>
      <c r="H275" s="4" t="str">
        <f t="array" aca="1" ref="H275" ca="1">SUBSTITUTE(SUBSTITUTE(_xlfn.TEXTJOIN("",TRUE,IF(ISERR(MID(C275,ROW(INDIRECT("1:100")),1)+0),MID(C275,ROW(INDIRECT("1:100")),1),"")),")",""),"(","")</f>
        <v>Apparel less footwear</v>
      </c>
    </row>
    <row r="276" spans="1:8" x14ac:dyDescent="0.25">
      <c r="A276">
        <v>2015</v>
      </c>
      <c r="B276">
        <v>9</v>
      </c>
      <c r="C276" t="s">
        <v>34</v>
      </c>
      <c r="D276">
        <v>5.2560000000000002</v>
      </c>
      <c r="E276">
        <v>-2.5</v>
      </c>
      <c r="F276">
        <v>-0.13200000000000001</v>
      </c>
      <c r="H276" s="4" t="str">
        <f t="array" aca="1" ref="H276" ca="1">SUBSTITUTE(SUBSTITUTE(_xlfn.TEXTJOIN("",TRUE,IF(ISERR(MID(C276,ROW(INDIRECT("1:100")),1)+0),MID(C276,ROW(INDIRECT("1:100")),1),"")),")",""),"(","")</f>
        <v>Fuels and utilities</v>
      </c>
    </row>
    <row r="277" spans="1:8" x14ac:dyDescent="0.25">
      <c r="A277">
        <v>2015</v>
      </c>
      <c r="B277">
        <v>9</v>
      </c>
      <c r="C277" t="s">
        <v>11</v>
      </c>
      <c r="D277">
        <v>7.72</v>
      </c>
      <c r="E277">
        <v>2.5</v>
      </c>
      <c r="F277">
        <v>0.185</v>
      </c>
      <c r="H277" s="4" t="str">
        <f t="array" aca="1" ref="H277" ca="1">SUBSTITUTE(SUBSTITUTE(_xlfn.TEXTJOIN("",TRUE,IF(ISERR(MID(C277,ROW(INDIRECT("1:100")),1)+0),MID(C277,ROW(INDIRECT("1:100")),1),"")),")",""),"(","")</f>
        <v>Medical care</v>
      </c>
    </row>
    <row r="278" spans="1:8" x14ac:dyDescent="0.25">
      <c r="A278">
        <v>2015</v>
      </c>
      <c r="B278">
        <v>9</v>
      </c>
      <c r="C278" t="s">
        <v>7</v>
      </c>
      <c r="D278">
        <v>15.336</v>
      </c>
      <c r="E278">
        <v>-8.6999999999999993</v>
      </c>
      <c r="F278">
        <v>-1.419</v>
      </c>
      <c r="H278" s="4" t="str">
        <f t="array" aca="1" ref="H278" ca="1">SUBSTITUTE(SUBSTITUTE(_xlfn.TEXTJOIN("",TRUE,IF(ISERR(MID(C278,ROW(INDIRECT("1:100")),1)+0),MID(C278,ROW(INDIRECT("1:100")),1),"")),")",""),"(","")</f>
        <v>Transportation</v>
      </c>
    </row>
    <row r="279" spans="1:8" x14ac:dyDescent="0.25">
      <c r="A279">
        <v>2015</v>
      </c>
      <c r="B279">
        <v>9</v>
      </c>
      <c r="C279" t="s">
        <v>35</v>
      </c>
      <c r="D279">
        <v>10.045999999999999</v>
      </c>
      <c r="E279">
        <v>-1.2</v>
      </c>
      <c r="F279">
        <v>-0.11700000000000001</v>
      </c>
      <c r="H279" s="4" t="str">
        <f t="array" aca="1" ref="H279" ca="1">SUBSTITUTE(SUBSTITUTE(_xlfn.TEXTJOIN("",TRUE,IF(ISERR(MID(C279,ROW(INDIRECT("1:100")),1)+0),MID(C279,ROW(INDIRECT("1:100")),1),"")),")",""),"(","")</f>
        <v>Utilities and public transportation</v>
      </c>
    </row>
    <row r="280" spans="1:8" x14ac:dyDescent="0.25">
      <c r="A280">
        <v>2015</v>
      </c>
      <c r="B280">
        <v>9</v>
      </c>
      <c r="C280" t="s">
        <v>36</v>
      </c>
      <c r="D280">
        <v>4.1239999999999997</v>
      </c>
      <c r="E280">
        <v>-0.1</v>
      </c>
      <c r="F280">
        <v>-6.0000000000000001E-3</v>
      </c>
      <c r="H280" s="4" t="str">
        <f t="array" aca="1" ref="H280" ca="1">SUBSTITUTE(SUBSTITUTE(_xlfn.TEXTJOIN("",TRUE,IF(ISERR(MID(C280,ROW(INDIRECT("1:100")),1)+0),MID(C280,ROW(INDIRECT("1:100")),1),"")),")",""),"(","")</f>
        <v>Household furnishings and operations</v>
      </c>
    </row>
    <row r="281" spans="1:8" x14ac:dyDescent="0.25">
      <c r="A281">
        <v>2015</v>
      </c>
      <c r="B281">
        <v>9</v>
      </c>
      <c r="C281" t="s">
        <v>12</v>
      </c>
      <c r="D281">
        <v>3.3839999999999999</v>
      </c>
      <c r="E281">
        <v>1.8</v>
      </c>
      <c r="F281">
        <v>5.8999999999999997E-2</v>
      </c>
      <c r="H281" s="4" t="str">
        <f t="array" aca="1" ref="H281" ca="1">SUBSTITUTE(SUBSTITUTE(_xlfn.TEXTJOIN("",TRUE,IF(ISERR(MID(C281,ROW(INDIRECT("1:100")),1)+0),MID(C281,ROW(INDIRECT("1:100")),1),"")),")",""),"(","")</f>
        <v>Other goods and services</v>
      </c>
    </row>
    <row r="282" spans="1:8" x14ac:dyDescent="0.25">
      <c r="A282">
        <v>2015</v>
      </c>
      <c r="B282">
        <v>10</v>
      </c>
      <c r="C282" t="s">
        <v>14</v>
      </c>
      <c r="D282">
        <v>100</v>
      </c>
      <c r="E282">
        <v>0.2</v>
      </c>
      <c r="H282" s="4" t="str">
        <f t="array" aca="1" ref="H282" ca="1">SUBSTITUTE(SUBSTITUTE(_xlfn.TEXTJOIN("",TRUE,IF(ISERR(MID(C282,ROW(INDIRECT("1:100")),1)+0),MID(C282,ROW(INDIRECT("1:100")),1),"")),")",""),"(","")</f>
        <v>All items</v>
      </c>
    </row>
    <row r="283" spans="1:8" x14ac:dyDescent="0.25">
      <c r="A283">
        <v>2015</v>
      </c>
      <c r="B283">
        <v>10</v>
      </c>
      <c r="C283" t="s">
        <v>15</v>
      </c>
      <c r="D283">
        <v>14.221</v>
      </c>
      <c r="E283">
        <v>1.6</v>
      </c>
      <c r="F283">
        <v>0.223</v>
      </c>
      <c r="H283" s="4" t="str">
        <f t="array" aca="1" ref="H283" ca="1">SUBSTITUTE(SUBSTITUTE(_xlfn.TEXTJOIN("",TRUE,IF(ISERR(MID(C283,ROW(INDIRECT("1:100")),1)+0),MID(C283,ROW(INDIRECT("1:100")),1),"")),")",""),"(","")</f>
        <v>Food</v>
      </c>
    </row>
    <row r="284" spans="1:8" x14ac:dyDescent="0.25">
      <c r="A284">
        <v>2015</v>
      </c>
      <c r="B284">
        <v>10</v>
      </c>
      <c r="C284" t="s">
        <v>16</v>
      </c>
      <c r="D284">
        <v>7.617</v>
      </c>
      <c r="E284">
        <v>-17.100000000000001</v>
      </c>
      <c r="F284">
        <v>-1.5229999999999999</v>
      </c>
      <c r="H284" s="4" t="str">
        <f t="array" aca="1" ref="H284" ca="1">SUBSTITUTE(SUBSTITUTE(_xlfn.TEXTJOIN("",TRUE,IF(ISERR(MID(C284,ROW(INDIRECT("1:100")),1)+0),MID(C284,ROW(INDIRECT("1:100")),1),"")),")",""),"(","")</f>
        <v>Energy</v>
      </c>
    </row>
    <row r="285" spans="1:8" x14ac:dyDescent="0.25">
      <c r="A285">
        <v>2015</v>
      </c>
      <c r="B285">
        <v>10</v>
      </c>
      <c r="C285" t="s">
        <v>17</v>
      </c>
      <c r="D285">
        <v>78.162000000000006</v>
      </c>
      <c r="E285">
        <v>1.9</v>
      </c>
      <c r="F285">
        <v>1.472</v>
      </c>
      <c r="H285" s="4" t="str">
        <f t="array" aca="1" ref="H285" ca="1">SUBSTITUTE(SUBSTITUTE(_xlfn.TEXTJOIN("",TRUE,IF(ISERR(MID(C285,ROW(INDIRECT("1:100")),1)+0),MID(C285,ROW(INDIRECT("1:100")),1),"")),")",""),"(","")</f>
        <v>All items less food and energy</v>
      </c>
    </row>
    <row r="286" spans="1:8" x14ac:dyDescent="0.25">
      <c r="A286">
        <v>2015</v>
      </c>
      <c r="B286">
        <v>10</v>
      </c>
      <c r="C286" t="s">
        <v>18</v>
      </c>
      <c r="H286" s="4" t="str">
        <f t="array" aca="1" ref="H286" ca="1">SUBSTITUTE(SUBSTITUTE(_xlfn.TEXTJOIN("",TRUE,IF(ISERR(MID(C286,ROW(INDIRECT("1:100")),1)+0),MID(C286,ROW(INDIRECT("1:100")),1),"")),")",""),"(","")</f>
        <v>Special aggregate indexes</v>
      </c>
    </row>
    <row r="287" spans="1:8" x14ac:dyDescent="0.25">
      <c r="A287">
        <v>2015</v>
      </c>
      <c r="B287">
        <v>10</v>
      </c>
      <c r="C287" t="s">
        <v>19</v>
      </c>
      <c r="D287">
        <v>85.778999999999996</v>
      </c>
      <c r="E287">
        <v>-0.1</v>
      </c>
      <c r="F287">
        <v>-5.1999999999999998E-2</v>
      </c>
      <c r="H287" s="4" t="str">
        <f t="array" aca="1" ref="H287" ca="1">SUBSTITUTE(SUBSTITUTE(_xlfn.TEXTJOIN("",TRUE,IF(ISERR(MID(C287,ROW(INDIRECT("1:100")),1)+0),MID(C287,ROW(INDIRECT("1:100")),1),"")),")",""),"(","")</f>
        <v>All items less food</v>
      </c>
    </row>
    <row r="288" spans="1:8" x14ac:dyDescent="0.25">
      <c r="A288">
        <v>2015</v>
      </c>
      <c r="B288">
        <v>10</v>
      </c>
      <c r="C288" t="s">
        <v>20</v>
      </c>
      <c r="D288">
        <v>66.867999999999995</v>
      </c>
      <c r="E288">
        <v>-1.3</v>
      </c>
      <c r="F288">
        <v>-0.85899999999999999</v>
      </c>
      <c r="H288" s="4" t="str">
        <f t="array" aca="1" ref="H288" ca="1">SUBSTITUTE(SUBSTITUTE(_xlfn.TEXTJOIN("",TRUE,IF(ISERR(MID(C288,ROW(INDIRECT("1:100")),1)+0),MID(C288,ROW(INDIRECT("1:100")),1),"")),")",""),"(","")</f>
        <v>All items less shelter</v>
      </c>
    </row>
    <row r="289" spans="1:8" x14ac:dyDescent="0.25">
      <c r="A289">
        <v>2015</v>
      </c>
      <c r="B289">
        <v>10</v>
      </c>
      <c r="C289" t="s">
        <v>21</v>
      </c>
      <c r="D289">
        <v>52.646999999999998</v>
      </c>
      <c r="E289">
        <v>-2</v>
      </c>
      <c r="F289">
        <v>-1.0820000000000001</v>
      </c>
      <c r="H289" s="4" t="str">
        <f t="array" aca="1" ref="H289" ca="1">SUBSTITUTE(SUBSTITUTE(_xlfn.TEXTJOIN("",TRUE,IF(ISERR(MID(C289,ROW(INDIRECT("1:100")),1)+0),MID(C289,ROW(INDIRECT("1:100")),1),"")),")",""),"(","")</f>
        <v>All items less food and shelter</v>
      </c>
    </row>
    <row r="290" spans="1:8" x14ac:dyDescent="0.25">
      <c r="A290">
        <v>2015</v>
      </c>
      <c r="B290">
        <v>10</v>
      </c>
      <c r="C290" t="s">
        <v>22</v>
      </c>
      <c r="D290">
        <v>45.03</v>
      </c>
      <c r="E290">
        <v>1</v>
      </c>
      <c r="F290">
        <v>0.442</v>
      </c>
      <c r="H290" s="4" t="str">
        <f t="array" aca="1" ref="H290" ca="1">SUBSTITUTE(SUBSTITUTE(_xlfn.TEXTJOIN("",TRUE,IF(ISERR(MID(C290,ROW(INDIRECT("1:100")),1)+0),MID(C290,ROW(INDIRECT("1:100")),1),"")),")",""),"(","")</f>
        <v>All items less food, shelter, and energy</v>
      </c>
    </row>
    <row r="291" spans="1:8" x14ac:dyDescent="0.25">
      <c r="A291">
        <v>2015</v>
      </c>
      <c r="B291">
        <v>10</v>
      </c>
      <c r="C291" t="s">
        <v>23</v>
      </c>
      <c r="D291">
        <v>43.387999999999998</v>
      </c>
      <c r="E291">
        <v>1.1000000000000001</v>
      </c>
      <c r="F291">
        <v>0.46500000000000002</v>
      </c>
      <c r="H291" s="4" t="str">
        <f t="array" aca="1" ref="H291" ca="1">SUBSTITUTE(SUBSTITUTE(_xlfn.TEXTJOIN("",TRUE,IF(ISERR(MID(C291,ROW(INDIRECT("1:100")),1)+0),MID(C291,ROW(INDIRECT("1:100")),1),"")),")",""),"(","")</f>
        <v>All items less food, shelter, energy, and used cars and trucks</v>
      </c>
    </row>
    <row r="292" spans="1:8" x14ac:dyDescent="0.25">
      <c r="A292">
        <v>2015</v>
      </c>
      <c r="B292">
        <v>10</v>
      </c>
      <c r="C292" t="s">
        <v>24</v>
      </c>
      <c r="D292">
        <v>92.254999999999995</v>
      </c>
      <c r="E292">
        <v>-0.1</v>
      </c>
      <c r="F292">
        <v>-5.5E-2</v>
      </c>
      <c r="H292" s="4" t="str">
        <f t="array" aca="1" ref="H292" ca="1">SUBSTITUTE(SUBSTITUTE(_xlfn.TEXTJOIN("",TRUE,IF(ISERR(MID(C292,ROW(INDIRECT("1:100")),1)+0),MID(C292,ROW(INDIRECT("1:100")),1),"")),")",""),"(","")</f>
        <v>All items less medical care</v>
      </c>
    </row>
    <row r="293" spans="1:8" x14ac:dyDescent="0.25">
      <c r="A293">
        <v>2015</v>
      </c>
      <c r="B293">
        <v>10</v>
      </c>
      <c r="C293" t="s">
        <v>25</v>
      </c>
      <c r="D293">
        <v>92.382999999999996</v>
      </c>
      <c r="E293">
        <v>1.9</v>
      </c>
      <c r="F293">
        <v>1.694</v>
      </c>
      <c r="H293" s="4" t="str">
        <f t="array" aca="1" ref="H293" ca="1">SUBSTITUTE(SUBSTITUTE(_xlfn.TEXTJOIN("",TRUE,IF(ISERR(MID(C293,ROW(INDIRECT("1:100")),1)+0),MID(C293,ROW(INDIRECT("1:100")),1),"")),")",""),"(","")</f>
        <v>All items less energy</v>
      </c>
    </row>
    <row r="294" spans="1:8" x14ac:dyDescent="0.25">
      <c r="A294">
        <v>2015</v>
      </c>
      <c r="B294">
        <v>10</v>
      </c>
      <c r="C294" t="s">
        <v>26</v>
      </c>
      <c r="D294">
        <v>37.369</v>
      </c>
      <c r="E294">
        <v>-3.4</v>
      </c>
      <c r="F294">
        <v>-1.329</v>
      </c>
      <c r="H294" s="4" t="str">
        <f t="array" aca="1" ref="H294" ca="1">SUBSTITUTE(SUBSTITUTE(_xlfn.TEXTJOIN("",TRUE,IF(ISERR(MID(C294,ROW(INDIRECT("1:100")),1)+0),MID(C294,ROW(INDIRECT("1:100")),1),"")),")",""),"(","")</f>
        <v>Commodities</v>
      </c>
    </row>
    <row r="295" spans="1:8" x14ac:dyDescent="0.25">
      <c r="A295">
        <v>2015</v>
      </c>
      <c r="B295">
        <v>10</v>
      </c>
      <c r="C295" t="s">
        <v>27</v>
      </c>
      <c r="D295">
        <v>62.631</v>
      </c>
      <c r="E295">
        <v>2.4</v>
      </c>
      <c r="F295">
        <v>1.5</v>
      </c>
      <c r="H295" s="4" t="str">
        <f t="array" aca="1" ref="H295" ca="1">SUBSTITUTE(SUBSTITUTE(_xlfn.TEXTJOIN("",TRUE,IF(ISERR(MID(C295,ROW(INDIRECT("1:100")),1)+0),MID(C295,ROW(INDIRECT("1:100")),1),"")),")",""),"(","")</f>
        <v>Services</v>
      </c>
    </row>
    <row r="296" spans="1:8" x14ac:dyDescent="0.25">
      <c r="A296">
        <v>2015</v>
      </c>
      <c r="B296">
        <v>10</v>
      </c>
      <c r="C296" t="s">
        <v>28</v>
      </c>
      <c r="D296">
        <v>8.8689999999999998</v>
      </c>
      <c r="E296">
        <v>-1.2</v>
      </c>
      <c r="F296">
        <v>-0.107</v>
      </c>
      <c r="H296" s="4" t="str">
        <f t="array" aca="1" ref="H296" ca="1">SUBSTITUTE(SUBSTITUTE(_xlfn.TEXTJOIN("",TRUE,IF(ISERR(MID(C296,ROW(INDIRECT("1:100")),1)+0),MID(C296,ROW(INDIRECT("1:100")),1),"")),")",""),"(","")</f>
        <v>Durables</v>
      </c>
    </row>
    <row r="297" spans="1:8" x14ac:dyDescent="0.25">
      <c r="A297">
        <v>2015</v>
      </c>
      <c r="B297">
        <v>10</v>
      </c>
      <c r="C297" t="s">
        <v>29</v>
      </c>
      <c r="D297">
        <v>28.501000000000001</v>
      </c>
      <c r="E297">
        <v>-4.0999999999999996</v>
      </c>
      <c r="F297">
        <v>-1.222</v>
      </c>
      <c r="H297" s="4" t="str">
        <f t="array" aca="1" ref="H297" ca="1">SUBSTITUTE(SUBSTITUTE(_xlfn.TEXTJOIN("",TRUE,IF(ISERR(MID(C297,ROW(INDIRECT("1:100")),1)+0),MID(C297,ROW(INDIRECT("1:100")),1),"")),")",""),"(","")</f>
        <v>Nondurables</v>
      </c>
    </row>
    <row r="298" spans="1:8" x14ac:dyDescent="0.25">
      <c r="A298">
        <v>2015</v>
      </c>
      <c r="B298">
        <v>10</v>
      </c>
      <c r="C298" t="s">
        <v>8</v>
      </c>
      <c r="D298">
        <v>42.503999999999998</v>
      </c>
      <c r="E298">
        <v>2.1</v>
      </c>
      <c r="F298">
        <v>0.88200000000000001</v>
      </c>
      <c r="H298" s="4" t="str">
        <f t="array" aca="1" ref="H298" ca="1">SUBSTITUTE(SUBSTITUTE(_xlfn.TEXTJOIN("",TRUE,IF(ISERR(MID(C298,ROW(INDIRECT("1:100")),1)+0),MID(C298,ROW(INDIRECT("1:100")),1),"")),")",""),"(","")</f>
        <v>Housing</v>
      </c>
    </row>
    <row r="299" spans="1:8" x14ac:dyDescent="0.25">
      <c r="A299">
        <v>2015</v>
      </c>
      <c r="B299">
        <v>10</v>
      </c>
      <c r="C299" t="s">
        <v>30</v>
      </c>
      <c r="D299">
        <v>7.0549999999999997</v>
      </c>
      <c r="E299">
        <v>1</v>
      </c>
      <c r="F299">
        <v>6.8000000000000005E-2</v>
      </c>
      <c r="H299" s="4" t="str">
        <f t="array" aca="1" ref="H299" ca="1">SUBSTITUTE(SUBSTITUTE(_xlfn.TEXTJOIN("",TRUE,IF(ISERR(MID(C299,ROW(INDIRECT("1:100")),1)+0),MID(C299,ROW(INDIRECT("1:100")),1),"")),")",""),"(","")</f>
        <v>Education and communication</v>
      </c>
    </row>
    <row r="300" spans="1:8" x14ac:dyDescent="0.25">
      <c r="A300">
        <v>2015</v>
      </c>
      <c r="B300">
        <v>10</v>
      </c>
      <c r="C300" t="s">
        <v>31</v>
      </c>
      <c r="D300">
        <v>5.7309999999999999</v>
      </c>
      <c r="E300">
        <v>0.6</v>
      </c>
      <c r="F300">
        <v>3.5000000000000003E-2</v>
      </c>
      <c r="H300" s="4" t="str">
        <f t="array" aca="1" ref="H300" ca="1">SUBSTITUTE(SUBSTITUTE(_xlfn.TEXTJOIN("",TRUE,IF(ISERR(MID(C300,ROW(INDIRECT("1:100")),1)+0),MID(C300,ROW(INDIRECT("1:100")),1),"")),")",""),"(","")</f>
        <v>Recreation</v>
      </c>
    </row>
    <row r="301" spans="1:8" x14ac:dyDescent="0.25">
      <c r="A301">
        <v>2015</v>
      </c>
      <c r="B301">
        <v>10</v>
      </c>
      <c r="C301" t="s">
        <v>6</v>
      </c>
      <c r="D301">
        <v>15.225</v>
      </c>
      <c r="E301">
        <v>1.6</v>
      </c>
      <c r="F301">
        <v>0.23400000000000001</v>
      </c>
      <c r="H301" s="4" t="str">
        <f t="array" aca="1" ref="H301" ca="1">SUBSTITUTE(SUBSTITUTE(_xlfn.TEXTJOIN("",TRUE,IF(ISERR(MID(C301,ROW(INDIRECT("1:100")),1)+0),MID(C301,ROW(INDIRECT("1:100")),1),"")),")",""),"(","")</f>
        <v>Food and beverages</v>
      </c>
    </row>
    <row r="302" spans="1:8" x14ac:dyDescent="0.25">
      <c r="A302">
        <v>2015</v>
      </c>
      <c r="B302">
        <v>10</v>
      </c>
      <c r="C302" t="s">
        <v>32</v>
      </c>
      <c r="D302">
        <v>12.016999999999999</v>
      </c>
      <c r="E302">
        <v>1.9</v>
      </c>
      <c r="F302">
        <v>0.22700000000000001</v>
      </c>
      <c r="H302" s="4" t="str">
        <f t="array" aca="1" ref="H302" ca="1">SUBSTITUTE(SUBSTITUTE(_xlfn.TEXTJOIN("",TRUE,IF(ISERR(MID(C302,ROW(INDIRECT("1:100")),1)+0),MID(C302,ROW(INDIRECT("1:100")),1),"")),")",""),"(","")</f>
        <v>Other services</v>
      </c>
    </row>
    <row r="303" spans="1:8" x14ac:dyDescent="0.25">
      <c r="A303">
        <v>2015</v>
      </c>
      <c r="B303">
        <v>10</v>
      </c>
      <c r="C303" t="s">
        <v>33</v>
      </c>
      <c r="D303">
        <v>2.6920000000000002</v>
      </c>
      <c r="E303">
        <v>-2.2000000000000002</v>
      </c>
      <c r="F303">
        <v>-0.06</v>
      </c>
      <c r="H303" s="4" t="str">
        <f t="array" aca="1" ref="H303" ca="1">SUBSTITUTE(SUBSTITUTE(_xlfn.TEXTJOIN("",TRUE,IF(ISERR(MID(C303,ROW(INDIRECT("1:100")),1)+0),MID(C303,ROW(INDIRECT("1:100")),1),"")),")",""),"(","")</f>
        <v>Apparel less footwear</v>
      </c>
    </row>
    <row r="304" spans="1:8" x14ac:dyDescent="0.25">
      <c r="A304">
        <v>2015</v>
      </c>
      <c r="B304">
        <v>10</v>
      </c>
      <c r="C304" t="s">
        <v>34</v>
      </c>
      <c r="D304">
        <v>5.2320000000000002</v>
      </c>
      <c r="E304">
        <v>-2.2999999999999998</v>
      </c>
      <c r="F304">
        <v>-0.122</v>
      </c>
      <c r="H304" s="4" t="str">
        <f t="array" aca="1" ref="H304" ca="1">SUBSTITUTE(SUBSTITUTE(_xlfn.TEXTJOIN("",TRUE,IF(ISERR(MID(C304,ROW(INDIRECT("1:100")),1)+0),MID(C304,ROW(INDIRECT("1:100")),1),"")),")",""),"(","")</f>
        <v>Fuels and utilities</v>
      </c>
    </row>
    <row r="305" spans="1:8" x14ac:dyDescent="0.25">
      <c r="A305">
        <v>2015</v>
      </c>
      <c r="B305">
        <v>10</v>
      </c>
      <c r="C305" t="s">
        <v>11</v>
      </c>
      <c r="D305">
        <v>7.7450000000000001</v>
      </c>
      <c r="E305">
        <v>3</v>
      </c>
      <c r="F305">
        <v>0.22600000000000001</v>
      </c>
      <c r="H305" s="4" t="str">
        <f t="array" aca="1" ref="H305" ca="1">SUBSTITUTE(SUBSTITUTE(_xlfn.TEXTJOIN("",TRUE,IF(ISERR(MID(C305,ROW(INDIRECT("1:100")),1)+0),MID(C305,ROW(INDIRECT("1:100")),1),"")),")",""),"(","")</f>
        <v>Medical care</v>
      </c>
    </row>
    <row r="306" spans="1:8" x14ac:dyDescent="0.25">
      <c r="A306">
        <v>2015</v>
      </c>
      <c r="B306">
        <v>10</v>
      </c>
      <c r="C306" t="s">
        <v>7</v>
      </c>
      <c r="D306">
        <v>14.923</v>
      </c>
      <c r="E306">
        <v>-7.9</v>
      </c>
      <c r="F306">
        <v>-1.2689999999999999</v>
      </c>
      <c r="H306" s="4" t="str">
        <f t="array" aca="1" ref="H306" ca="1">SUBSTITUTE(SUBSTITUTE(_xlfn.TEXTJOIN("",TRUE,IF(ISERR(MID(C306,ROW(INDIRECT("1:100")),1)+0),MID(C306,ROW(INDIRECT("1:100")),1),"")),")",""),"(","")</f>
        <v>Transportation</v>
      </c>
    </row>
    <row r="307" spans="1:8" x14ac:dyDescent="0.25">
      <c r="A307">
        <v>2015</v>
      </c>
      <c r="B307">
        <v>10</v>
      </c>
      <c r="C307" t="s">
        <v>35</v>
      </c>
      <c r="D307">
        <v>10.029999999999999</v>
      </c>
      <c r="E307">
        <v>-0.7</v>
      </c>
      <c r="F307">
        <v>-7.1999999999999995E-2</v>
      </c>
      <c r="H307" s="4" t="str">
        <f t="array" aca="1" ref="H307" ca="1">SUBSTITUTE(SUBSTITUTE(_xlfn.TEXTJOIN("",TRUE,IF(ISERR(MID(C307,ROW(INDIRECT("1:100")),1)+0),MID(C307,ROW(INDIRECT("1:100")),1),"")),")",""),"(","")</f>
        <v>Utilities and public transportation</v>
      </c>
    </row>
    <row r="308" spans="1:8" x14ac:dyDescent="0.25">
      <c r="A308">
        <v>2015</v>
      </c>
      <c r="B308">
        <v>10</v>
      </c>
      <c r="C308" t="s">
        <v>36</v>
      </c>
      <c r="D308">
        <v>4.1399999999999997</v>
      </c>
      <c r="E308">
        <v>-0.6</v>
      </c>
      <c r="F308">
        <v>-2.5999999999999999E-2</v>
      </c>
      <c r="H308" s="4" t="str">
        <f t="array" aca="1" ref="H308" ca="1">SUBSTITUTE(SUBSTITUTE(_xlfn.TEXTJOIN("",TRUE,IF(ISERR(MID(C308,ROW(INDIRECT("1:100")),1)+0),MID(C308,ROW(INDIRECT("1:100")),1),"")),")",""),"(","")</f>
        <v>Household furnishings and operations</v>
      </c>
    </row>
    <row r="309" spans="1:8" x14ac:dyDescent="0.25">
      <c r="A309">
        <v>2015</v>
      </c>
      <c r="B309">
        <v>10</v>
      </c>
      <c r="C309" t="s">
        <v>12</v>
      </c>
      <c r="D309">
        <v>3.3959999999999999</v>
      </c>
      <c r="E309">
        <v>1.9</v>
      </c>
      <c r="F309">
        <v>6.2E-2</v>
      </c>
      <c r="H309" s="4" t="str">
        <f t="array" aca="1" ref="H309" ca="1">SUBSTITUTE(SUBSTITUTE(_xlfn.TEXTJOIN("",TRUE,IF(ISERR(MID(C309,ROW(INDIRECT("1:100")),1)+0),MID(C309,ROW(INDIRECT("1:100")),1),"")),")",""),"(","")</f>
        <v>Other goods and services</v>
      </c>
    </row>
    <row r="310" spans="1:8" x14ac:dyDescent="0.25">
      <c r="A310">
        <v>2015</v>
      </c>
      <c r="B310">
        <v>11</v>
      </c>
      <c r="C310" t="s">
        <v>14</v>
      </c>
      <c r="D310">
        <v>100</v>
      </c>
      <c r="E310">
        <v>0.5</v>
      </c>
      <c r="H310" s="4" t="str">
        <f t="array" aca="1" ref="H310" ca="1">SUBSTITUTE(SUBSTITUTE(_xlfn.TEXTJOIN("",TRUE,IF(ISERR(MID(C310,ROW(INDIRECT("1:100")),1)+0),MID(C310,ROW(INDIRECT("1:100")),1),"")),")",""),"(","")</f>
        <v>All items</v>
      </c>
    </row>
    <row r="311" spans="1:8" x14ac:dyDescent="0.25">
      <c r="A311">
        <v>2015</v>
      </c>
      <c r="B311">
        <v>11</v>
      </c>
      <c r="C311" t="s">
        <v>15</v>
      </c>
      <c r="D311">
        <v>14.250999999999999</v>
      </c>
      <c r="E311">
        <v>1.3</v>
      </c>
      <c r="F311">
        <v>0.17899999999999999</v>
      </c>
      <c r="H311" s="4" t="str">
        <f t="array" aca="1" ref="H311" ca="1">SUBSTITUTE(SUBSTITUTE(_xlfn.TEXTJOIN("",TRUE,IF(ISERR(MID(C311,ROW(INDIRECT("1:100")),1)+0),MID(C311,ROW(INDIRECT("1:100")),1),"")),")",""),"(","")</f>
        <v>Food</v>
      </c>
    </row>
    <row r="312" spans="1:8" x14ac:dyDescent="0.25">
      <c r="A312">
        <v>2015</v>
      </c>
      <c r="B312">
        <v>11</v>
      </c>
      <c r="C312" t="s">
        <v>16</v>
      </c>
      <c r="D312">
        <v>7.35</v>
      </c>
      <c r="E312">
        <v>-14.7</v>
      </c>
      <c r="F312">
        <v>-1.24</v>
      </c>
      <c r="H312" s="4" t="str">
        <f t="array" aca="1" ref="H312" ca="1">SUBSTITUTE(SUBSTITUTE(_xlfn.TEXTJOIN("",TRUE,IF(ISERR(MID(C312,ROW(INDIRECT("1:100")),1)+0),MID(C312,ROW(INDIRECT("1:100")),1),"")),")",""),"(","")</f>
        <v>Energy</v>
      </c>
    </row>
    <row r="313" spans="1:8" x14ac:dyDescent="0.25">
      <c r="A313">
        <v>2015</v>
      </c>
      <c r="B313">
        <v>11</v>
      </c>
      <c r="C313" t="s">
        <v>17</v>
      </c>
      <c r="D313">
        <v>78.397999999999996</v>
      </c>
      <c r="E313">
        <v>2</v>
      </c>
      <c r="F313">
        <v>1.5620000000000001</v>
      </c>
      <c r="H313" s="4" t="str">
        <f t="array" aca="1" ref="H313" ca="1">SUBSTITUTE(SUBSTITUTE(_xlfn.TEXTJOIN("",TRUE,IF(ISERR(MID(C313,ROW(INDIRECT("1:100")),1)+0),MID(C313,ROW(INDIRECT("1:100")),1),"")),")",""),"(","")</f>
        <v>All items less food and energy</v>
      </c>
    </row>
    <row r="314" spans="1:8" x14ac:dyDescent="0.25">
      <c r="A314">
        <v>2015</v>
      </c>
      <c r="B314">
        <v>11</v>
      </c>
      <c r="C314" t="s">
        <v>18</v>
      </c>
      <c r="H314" s="4" t="str">
        <f t="array" aca="1" ref="H314" ca="1">SUBSTITUTE(SUBSTITUTE(_xlfn.TEXTJOIN("",TRUE,IF(ISERR(MID(C314,ROW(INDIRECT("1:100")),1)+0),MID(C314,ROW(INDIRECT("1:100")),1),"")),")",""),"(","")</f>
        <v>Special aggregate indexes</v>
      </c>
    </row>
    <row r="315" spans="1:8" x14ac:dyDescent="0.25">
      <c r="A315">
        <v>2015</v>
      </c>
      <c r="B315">
        <v>11</v>
      </c>
      <c r="C315" t="s">
        <v>19</v>
      </c>
      <c r="D315">
        <v>85.748999999999995</v>
      </c>
      <c r="E315">
        <v>0.4</v>
      </c>
      <c r="F315">
        <v>0.32200000000000001</v>
      </c>
      <c r="H315" s="4" t="str">
        <f t="array" aca="1" ref="H315" ca="1">SUBSTITUTE(SUBSTITUTE(_xlfn.TEXTJOIN("",TRUE,IF(ISERR(MID(C315,ROW(INDIRECT("1:100")),1)+0),MID(C315,ROW(INDIRECT("1:100")),1),"")),")",""),"(","")</f>
        <v>All items less food</v>
      </c>
    </row>
    <row r="316" spans="1:8" x14ac:dyDescent="0.25">
      <c r="A316">
        <v>2015</v>
      </c>
      <c r="B316">
        <v>11</v>
      </c>
      <c r="C316" t="s">
        <v>20</v>
      </c>
      <c r="D316">
        <v>66.772000000000006</v>
      </c>
      <c r="E316">
        <v>-0.8</v>
      </c>
      <c r="F316">
        <v>-0.53200000000000003</v>
      </c>
      <c r="H316" s="4" t="str">
        <f t="array" aca="1" ref="H316" ca="1">SUBSTITUTE(SUBSTITUTE(_xlfn.TEXTJOIN("",TRUE,IF(ISERR(MID(C316,ROW(INDIRECT("1:100")),1)+0),MID(C316,ROW(INDIRECT("1:100")),1),"")),")",""),"(","")</f>
        <v>All items less shelter</v>
      </c>
    </row>
    <row r="317" spans="1:8" x14ac:dyDescent="0.25">
      <c r="A317">
        <v>2015</v>
      </c>
      <c r="B317">
        <v>11</v>
      </c>
      <c r="C317" t="s">
        <v>21</v>
      </c>
      <c r="D317">
        <v>52.521000000000001</v>
      </c>
      <c r="E317">
        <v>-1.3</v>
      </c>
      <c r="F317">
        <v>-0.71199999999999997</v>
      </c>
      <c r="H317" s="4" t="str">
        <f t="array" aca="1" ref="H317" ca="1">SUBSTITUTE(SUBSTITUTE(_xlfn.TEXTJOIN("",TRUE,IF(ISERR(MID(C317,ROW(INDIRECT("1:100")),1)+0),MID(C317,ROW(INDIRECT("1:100")),1),"")),")",""),"(","")</f>
        <v>All items less food and shelter</v>
      </c>
    </row>
    <row r="318" spans="1:8" x14ac:dyDescent="0.25">
      <c r="A318">
        <v>2015</v>
      </c>
      <c r="B318">
        <v>11</v>
      </c>
      <c r="C318" t="s">
        <v>22</v>
      </c>
      <c r="D318">
        <v>45.170999999999999</v>
      </c>
      <c r="E318">
        <v>1.2</v>
      </c>
      <c r="F318">
        <v>0.52800000000000002</v>
      </c>
      <c r="H318" s="4" t="str">
        <f t="array" aca="1" ref="H318" ca="1">SUBSTITUTE(SUBSTITUTE(_xlfn.TEXTJOIN("",TRUE,IF(ISERR(MID(C318,ROW(INDIRECT("1:100")),1)+0),MID(C318,ROW(INDIRECT("1:100")),1),"")),")",""),"(","")</f>
        <v>All items less food, shelter, and energy</v>
      </c>
    </row>
    <row r="319" spans="1:8" x14ac:dyDescent="0.25">
      <c r="A319">
        <v>2015</v>
      </c>
      <c r="B319">
        <v>11</v>
      </c>
      <c r="C319" t="s">
        <v>23</v>
      </c>
      <c r="D319">
        <v>43.557000000000002</v>
      </c>
      <c r="E319">
        <v>1.2</v>
      </c>
      <c r="F319">
        <v>0.53800000000000003</v>
      </c>
      <c r="H319" s="4" t="str">
        <f t="array" aca="1" ref="H319" ca="1">SUBSTITUTE(SUBSTITUTE(_xlfn.TEXTJOIN("",TRUE,IF(ISERR(MID(C319,ROW(INDIRECT("1:100")),1)+0),MID(C319,ROW(INDIRECT("1:100")),1),"")),")",""),"(","")</f>
        <v>All items less food, shelter, energy, and used cars and trucks</v>
      </c>
    </row>
    <row r="320" spans="1:8" x14ac:dyDescent="0.25">
      <c r="A320">
        <v>2015</v>
      </c>
      <c r="B320">
        <v>11</v>
      </c>
      <c r="C320" t="s">
        <v>24</v>
      </c>
      <c r="D320">
        <v>92.203000000000003</v>
      </c>
      <c r="E320">
        <v>0.3</v>
      </c>
      <c r="F320">
        <v>0.27600000000000002</v>
      </c>
      <c r="H320" s="4" t="str">
        <f t="array" aca="1" ref="H320" ca="1">SUBSTITUTE(SUBSTITUTE(_xlfn.TEXTJOIN("",TRUE,IF(ISERR(MID(C320,ROW(INDIRECT("1:100")),1)+0),MID(C320,ROW(INDIRECT("1:100")),1),"")),")",""),"(","")</f>
        <v>All items less medical care</v>
      </c>
    </row>
    <row r="321" spans="1:8" x14ac:dyDescent="0.25">
      <c r="A321">
        <v>2015</v>
      </c>
      <c r="B321">
        <v>11</v>
      </c>
      <c r="C321" t="s">
        <v>25</v>
      </c>
      <c r="D321">
        <v>92.65</v>
      </c>
      <c r="E321">
        <v>1.9</v>
      </c>
      <c r="F321">
        <v>1.742</v>
      </c>
      <c r="H321" s="4" t="str">
        <f t="array" aca="1" ref="H321" ca="1">SUBSTITUTE(SUBSTITUTE(_xlfn.TEXTJOIN("",TRUE,IF(ISERR(MID(C321,ROW(INDIRECT("1:100")),1)+0),MID(C321,ROW(INDIRECT("1:100")),1),"")),")",""),"(","")</f>
        <v>All items less energy</v>
      </c>
    </row>
    <row r="322" spans="1:8" x14ac:dyDescent="0.25">
      <c r="A322">
        <v>2015</v>
      </c>
      <c r="B322">
        <v>11</v>
      </c>
      <c r="C322" t="s">
        <v>26</v>
      </c>
      <c r="D322">
        <v>37.270000000000003</v>
      </c>
      <c r="E322">
        <v>-2.8</v>
      </c>
      <c r="F322">
        <v>-1.0640000000000001</v>
      </c>
      <c r="H322" s="4" t="str">
        <f t="array" aca="1" ref="H322" ca="1">SUBSTITUTE(SUBSTITUTE(_xlfn.TEXTJOIN("",TRUE,IF(ISERR(MID(C322,ROW(INDIRECT("1:100")),1)+0),MID(C322,ROW(INDIRECT("1:100")),1),"")),")",""),"(","")</f>
        <v>Commodities</v>
      </c>
    </row>
    <row r="323" spans="1:8" x14ac:dyDescent="0.25">
      <c r="A323">
        <v>2015</v>
      </c>
      <c r="B323">
        <v>11</v>
      </c>
      <c r="C323" t="s">
        <v>27</v>
      </c>
      <c r="D323">
        <v>62.73</v>
      </c>
      <c r="E323">
        <v>2.5</v>
      </c>
      <c r="F323">
        <v>1.5660000000000001</v>
      </c>
      <c r="H323" s="4" t="str">
        <f t="array" aca="1" ref="H323" ca="1">SUBSTITUTE(SUBSTITUTE(_xlfn.TEXTJOIN("",TRUE,IF(ISERR(MID(C323,ROW(INDIRECT("1:100")),1)+0),MID(C323,ROW(INDIRECT("1:100")),1),"")),")",""),"(","")</f>
        <v>Services</v>
      </c>
    </row>
    <row r="324" spans="1:8" x14ac:dyDescent="0.25">
      <c r="A324">
        <v>2015</v>
      </c>
      <c r="B324">
        <v>11</v>
      </c>
      <c r="C324" t="s">
        <v>28</v>
      </c>
      <c r="D324">
        <v>8.8360000000000003</v>
      </c>
      <c r="E324">
        <v>-1</v>
      </c>
      <c r="F324">
        <v>-8.8999999999999996E-2</v>
      </c>
      <c r="H324" s="4" t="str">
        <f t="array" aca="1" ref="H324" ca="1">SUBSTITUTE(SUBSTITUTE(_xlfn.TEXTJOIN("",TRUE,IF(ISERR(MID(C324,ROW(INDIRECT("1:100")),1)+0),MID(C324,ROW(INDIRECT("1:100")),1),"")),")",""),"(","")</f>
        <v>Durables</v>
      </c>
    </row>
    <row r="325" spans="1:8" x14ac:dyDescent="0.25">
      <c r="A325">
        <v>2015</v>
      </c>
      <c r="B325">
        <v>11</v>
      </c>
      <c r="C325" t="s">
        <v>29</v>
      </c>
      <c r="D325">
        <v>28.434000000000001</v>
      </c>
      <c r="E325">
        <v>-3.3</v>
      </c>
      <c r="F325">
        <v>-0.97399999999999998</v>
      </c>
      <c r="H325" s="4" t="str">
        <f t="array" aca="1" ref="H325" ca="1">SUBSTITUTE(SUBSTITUTE(_xlfn.TEXTJOIN("",TRUE,IF(ISERR(MID(C325,ROW(INDIRECT("1:100")),1)+0),MID(C325,ROW(INDIRECT("1:100")),1),"")),")",""),"(","")</f>
        <v>Nondurables</v>
      </c>
    </row>
    <row r="326" spans="1:8" x14ac:dyDescent="0.25">
      <c r="A326">
        <v>2015</v>
      </c>
      <c r="B326">
        <v>11</v>
      </c>
      <c r="C326" t="s">
        <v>8</v>
      </c>
      <c r="D326">
        <v>42.476999999999997</v>
      </c>
      <c r="E326">
        <v>2.1</v>
      </c>
      <c r="F326">
        <v>0.89500000000000002</v>
      </c>
      <c r="H326" s="4" t="str">
        <f t="array" aca="1" ref="H326" ca="1">SUBSTITUTE(SUBSTITUTE(_xlfn.TEXTJOIN("",TRUE,IF(ISERR(MID(C326,ROW(INDIRECT("1:100")),1)+0),MID(C326,ROW(INDIRECT("1:100")),1),"")),")",""),"(","")</f>
        <v>Housing</v>
      </c>
    </row>
    <row r="327" spans="1:8" x14ac:dyDescent="0.25">
      <c r="A327">
        <v>2015</v>
      </c>
      <c r="B327">
        <v>11</v>
      </c>
      <c r="C327" t="s">
        <v>30</v>
      </c>
      <c r="D327">
        <v>7.0709999999999997</v>
      </c>
      <c r="E327">
        <v>1.3</v>
      </c>
      <c r="F327">
        <v>9.2999999999999999E-2</v>
      </c>
      <c r="H327" s="4" t="str">
        <f t="array" aca="1" ref="H327" ca="1">SUBSTITUTE(SUBSTITUTE(_xlfn.TEXTJOIN("",TRUE,IF(ISERR(MID(C327,ROW(INDIRECT("1:100")),1)+0),MID(C327,ROW(INDIRECT("1:100")),1),"")),")",""),"(","")</f>
        <v>Education and communication</v>
      </c>
    </row>
    <row r="328" spans="1:8" x14ac:dyDescent="0.25">
      <c r="A328">
        <v>2015</v>
      </c>
      <c r="B328">
        <v>11</v>
      </c>
      <c r="C328" t="s">
        <v>31</v>
      </c>
      <c r="D328">
        <v>5.7380000000000004</v>
      </c>
      <c r="E328">
        <v>0.6</v>
      </c>
      <c r="F328">
        <v>3.6999999999999998E-2</v>
      </c>
      <c r="H328" s="4" t="str">
        <f t="array" aca="1" ref="H328" ca="1">SUBSTITUTE(SUBSTITUTE(_xlfn.TEXTJOIN("",TRUE,IF(ISERR(MID(C328,ROW(INDIRECT("1:100")),1)+0),MID(C328,ROW(INDIRECT("1:100")),1),"")),")",""),"(","")</f>
        <v>Recreation</v>
      </c>
    </row>
    <row r="329" spans="1:8" x14ac:dyDescent="0.25">
      <c r="A329">
        <v>2015</v>
      </c>
      <c r="B329">
        <v>11</v>
      </c>
      <c r="C329" t="s">
        <v>6</v>
      </c>
      <c r="D329">
        <v>15.260999999999999</v>
      </c>
      <c r="E329">
        <v>1.2</v>
      </c>
      <c r="F329">
        <v>0.183</v>
      </c>
      <c r="H329" s="4" t="str">
        <f t="array" aca="1" ref="H329" ca="1">SUBSTITUTE(SUBSTITUTE(_xlfn.TEXTJOIN("",TRUE,IF(ISERR(MID(C329,ROW(INDIRECT("1:100")),1)+0),MID(C329,ROW(INDIRECT("1:100")),1),"")),")",""),"(","")</f>
        <v>Food and beverages</v>
      </c>
    </row>
    <row r="330" spans="1:8" x14ac:dyDescent="0.25">
      <c r="A330">
        <v>2015</v>
      </c>
      <c r="B330">
        <v>11</v>
      </c>
      <c r="C330" t="s">
        <v>32</v>
      </c>
      <c r="D330">
        <v>12.047000000000001</v>
      </c>
      <c r="E330">
        <v>2.1</v>
      </c>
      <c r="F330">
        <v>0.254</v>
      </c>
      <c r="H330" s="4" t="str">
        <f t="array" aca="1" ref="H330" ca="1">SUBSTITUTE(SUBSTITUTE(_xlfn.TEXTJOIN("",TRUE,IF(ISERR(MID(C330,ROW(INDIRECT("1:100")),1)+0),MID(C330,ROW(INDIRECT("1:100")),1),"")),")",""),"(","")</f>
        <v>Other services</v>
      </c>
    </row>
    <row r="331" spans="1:8" x14ac:dyDescent="0.25">
      <c r="A331">
        <v>2015</v>
      </c>
      <c r="B331">
        <v>11</v>
      </c>
      <c r="C331" t="s">
        <v>33</v>
      </c>
      <c r="D331">
        <v>2.7149999999999999</v>
      </c>
      <c r="E331">
        <v>-1.8</v>
      </c>
      <c r="F331">
        <v>-4.9000000000000002E-2</v>
      </c>
      <c r="H331" s="4" t="str">
        <f t="array" aca="1" ref="H331" ca="1">SUBSTITUTE(SUBSTITUTE(_xlfn.TEXTJOIN("",TRUE,IF(ISERR(MID(C331,ROW(INDIRECT("1:100")),1)+0),MID(C331,ROW(INDIRECT("1:100")),1),"")),")",""),"(","")</f>
        <v>Apparel less footwear</v>
      </c>
    </row>
    <row r="332" spans="1:8" x14ac:dyDescent="0.25">
      <c r="A332">
        <v>2015</v>
      </c>
      <c r="B332">
        <v>11</v>
      </c>
      <c r="C332" t="s">
        <v>34</v>
      </c>
      <c r="D332">
        <v>5.1070000000000002</v>
      </c>
      <c r="E332">
        <v>-2.2000000000000002</v>
      </c>
      <c r="F332">
        <v>-0.115</v>
      </c>
      <c r="H332" s="4" t="str">
        <f t="array" aca="1" ref="H332" ca="1">SUBSTITUTE(SUBSTITUTE(_xlfn.TEXTJOIN("",TRUE,IF(ISERR(MID(C332,ROW(INDIRECT("1:100")),1)+0),MID(C332,ROW(INDIRECT("1:100")),1),"")),")",""),"(","")</f>
        <v>Fuels and utilities</v>
      </c>
    </row>
    <row r="333" spans="1:8" x14ac:dyDescent="0.25">
      <c r="A333">
        <v>2015</v>
      </c>
      <c r="B333">
        <v>11</v>
      </c>
      <c r="C333" t="s">
        <v>11</v>
      </c>
      <c r="D333">
        <v>7.7969999999999997</v>
      </c>
      <c r="E333">
        <v>2.9</v>
      </c>
      <c r="F333">
        <v>0.22600000000000001</v>
      </c>
      <c r="H333" s="4" t="str">
        <f t="array" aca="1" ref="H333" ca="1">SUBSTITUTE(SUBSTITUTE(_xlfn.TEXTJOIN("",TRUE,IF(ISERR(MID(C333,ROW(INDIRECT("1:100")),1)+0),MID(C333,ROW(INDIRECT("1:100")),1),"")),")",""),"(","")</f>
        <v>Medical care</v>
      </c>
    </row>
    <row r="334" spans="1:8" x14ac:dyDescent="0.25">
      <c r="A334">
        <v>2015</v>
      </c>
      <c r="B334">
        <v>11</v>
      </c>
      <c r="C334" t="s">
        <v>7</v>
      </c>
      <c r="D334">
        <v>14.798999999999999</v>
      </c>
      <c r="E334">
        <v>-6</v>
      </c>
      <c r="F334">
        <v>-0.94899999999999995</v>
      </c>
      <c r="H334" s="4" t="str">
        <f t="array" aca="1" ref="H334" ca="1">SUBSTITUTE(SUBSTITUTE(_xlfn.TEXTJOIN("",TRUE,IF(ISERR(MID(C334,ROW(INDIRECT("1:100")),1)+0),MID(C334,ROW(INDIRECT("1:100")),1),"")),")",""),"(","")</f>
        <v>Transportation</v>
      </c>
    </row>
    <row r="335" spans="1:8" x14ac:dyDescent="0.25">
      <c r="A335">
        <v>2015</v>
      </c>
      <c r="B335">
        <v>11</v>
      </c>
      <c r="C335" t="s">
        <v>35</v>
      </c>
      <c r="D335">
        <v>9.9450000000000003</v>
      </c>
      <c r="E335">
        <v>-0.4</v>
      </c>
      <c r="F335">
        <v>-3.5999999999999997E-2</v>
      </c>
      <c r="H335" s="4" t="str">
        <f t="array" aca="1" ref="H335" ca="1">SUBSTITUTE(SUBSTITUTE(_xlfn.TEXTJOIN("",TRUE,IF(ISERR(MID(C335,ROW(INDIRECT("1:100")),1)+0),MID(C335,ROW(INDIRECT("1:100")),1),"")),")",""),"(","")</f>
        <v>Utilities and public transportation</v>
      </c>
    </row>
    <row r="336" spans="1:8" x14ac:dyDescent="0.25">
      <c r="A336">
        <v>2015</v>
      </c>
      <c r="B336">
        <v>11</v>
      </c>
      <c r="C336" t="s">
        <v>36</v>
      </c>
      <c r="D336">
        <v>4.1420000000000003</v>
      </c>
      <c r="E336">
        <v>-0.6</v>
      </c>
      <c r="F336">
        <v>-2.4E-2</v>
      </c>
      <c r="H336" s="4" t="str">
        <f t="array" aca="1" ref="H336" ca="1">SUBSTITUTE(SUBSTITUTE(_xlfn.TEXTJOIN("",TRUE,IF(ISERR(MID(C336,ROW(INDIRECT("1:100")),1)+0),MID(C336,ROW(INDIRECT("1:100")),1),"")),")",""),"(","")</f>
        <v>Household furnishings and operations</v>
      </c>
    </row>
    <row r="337" spans="1:8" x14ac:dyDescent="0.25">
      <c r="A337">
        <v>2015</v>
      </c>
      <c r="B337">
        <v>11</v>
      </c>
      <c r="C337" t="s">
        <v>12</v>
      </c>
      <c r="D337">
        <v>3.41</v>
      </c>
      <c r="E337">
        <v>2.1</v>
      </c>
      <c r="F337">
        <v>7.0000000000000007E-2</v>
      </c>
      <c r="H337" s="4" t="str">
        <f t="array" aca="1" ref="H337" ca="1">SUBSTITUTE(SUBSTITUTE(_xlfn.TEXTJOIN("",TRUE,IF(ISERR(MID(C337,ROW(INDIRECT("1:100")),1)+0),MID(C337,ROW(INDIRECT("1:100")),1),"")),")",""),"(","")</f>
        <v>Other goods and services</v>
      </c>
    </row>
    <row r="338" spans="1:8" x14ac:dyDescent="0.25">
      <c r="A338">
        <v>2015</v>
      </c>
      <c r="B338">
        <v>12</v>
      </c>
      <c r="C338" t="s">
        <v>14</v>
      </c>
      <c r="D338">
        <v>100</v>
      </c>
      <c r="E338">
        <v>0.7</v>
      </c>
      <c r="H338" s="4" t="str">
        <f t="array" aca="1" ref="H338" ca="1">SUBSTITUTE(SUBSTITUTE(_xlfn.TEXTJOIN("",TRUE,IF(ISERR(MID(C338,ROW(INDIRECT("1:100")),1)+0),MID(C338,ROW(INDIRECT("1:100")),1),"")),")",""),"(","")</f>
        <v>All items</v>
      </c>
    </row>
    <row r="339" spans="1:8" x14ac:dyDescent="0.25">
      <c r="A339">
        <v>2015</v>
      </c>
      <c r="B339">
        <v>12</v>
      </c>
      <c r="C339" t="s">
        <v>15</v>
      </c>
      <c r="D339">
        <v>14.239000000000001</v>
      </c>
      <c r="E339">
        <v>0.8</v>
      </c>
      <c r="F339">
        <v>0.112</v>
      </c>
      <c r="H339" s="4" t="str">
        <f t="array" aca="1" ref="H339" ca="1">SUBSTITUTE(SUBSTITUTE(_xlfn.TEXTJOIN("",TRUE,IF(ISERR(MID(C339,ROW(INDIRECT("1:100")),1)+0),MID(C339,ROW(INDIRECT("1:100")),1),"")),")",""),"(","")</f>
        <v>Food</v>
      </c>
    </row>
    <row r="340" spans="1:8" x14ac:dyDescent="0.25">
      <c r="A340">
        <v>2015</v>
      </c>
      <c r="B340">
        <v>12</v>
      </c>
      <c r="C340" t="s">
        <v>16</v>
      </c>
      <c r="D340">
        <v>7.1680000000000001</v>
      </c>
      <c r="E340">
        <v>-12.6</v>
      </c>
      <c r="F340">
        <v>-1.0109999999999999</v>
      </c>
      <c r="H340" s="4" t="str">
        <f t="array" aca="1" ref="H340" ca="1">SUBSTITUTE(SUBSTITUTE(_xlfn.TEXTJOIN("",TRUE,IF(ISERR(MID(C340,ROW(INDIRECT("1:100")),1)+0),MID(C340,ROW(INDIRECT("1:100")),1),"")),")",""),"(","")</f>
        <v>Energy</v>
      </c>
    </row>
    <row r="341" spans="1:8" x14ac:dyDescent="0.25">
      <c r="A341">
        <v>2015</v>
      </c>
      <c r="B341">
        <v>12</v>
      </c>
      <c r="C341" t="s">
        <v>17</v>
      </c>
      <c r="D341">
        <v>78.593999999999994</v>
      </c>
      <c r="E341">
        <v>2.1</v>
      </c>
      <c r="F341">
        <v>1.6279999999999999</v>
      </c>
      <c r="H341" s="4" t="str">
        <f t="array" aca="1" ref="H341" ca="1">SUBSTITUTE(SUBSTITUTE(_xlfn.TEXTJOIN("",TRUE,IF(ISERR(MID(C341,ROW(INDIRECT("1:100")),1)+0),MID(C341,ROW(INDIRECT("1:100")),1),"")),")",""),"(","")</f>
        <v>All items less food and energy</v>
      </c>
    </row>
    <row r="342" spans="1:8" x14ac:dyDescent="0.25">
      <c r="A342">
        <v>2015</v>
      </c>
      <c r="B342">
        <v>12</v>
      </c>
      <c r="C342" t="s">
        <v>18</v>
      </c>
      <c r="H342" s="4" t="str">
        <f t="array" aca="1" ref="H342" ca="1">SUBSTITUTE(SUBSTITUTE(_xlfn.TEXTJOIN("",TRUE,IF(ISERR(MID(C342,ROW(INDIRECT("1:100")),1)+0),MID(C342,ROW(INDIRECT("1:100")),1),"")),")",""),"(","")</f>
        <v>Special aggregate indexes</v>
      </c>
    </row>
    <row r="343" spans="1:8" x14ac:dyDescent="0.25">
      <c r="A343">
        <v>2015</v>
      </c>
      <c r="B343">
        <v>12</v>
      </c>
      <c r="C343" t="s">
        <v>19</v>
      </c>
      <c r="D343">
        <v>85.760999999999996</v>
      </c>
      <c r="E343">
        <v>0.7</v>
      </c>
      <c r="F343">
        <v>0.61799999999999999</v>
      </c>
      <c r="H343" s="4" t="str">
        <f t="array" aca="1" ref="H343" ca="1">SUBSTITUTE(SUBSTITUTE(_xlfn.TEXTJOIN("",TRUE,IF(ISERR(MID(C343,ROW(INDIRECT("1:100")),1)+0),MID(C343,ROW(INDIRECT("1:100")),1),"")),")",""),"(","")</f>
        <v>All items less food</v>
      </c>
    </row>
    <row r="344" spans="1:8" x14ac:dyDescent="0.25">
      <c r="A344">
        <v>2015</v>
      </c>
      <c r="B344">
        <v>12</v>
      </c>
      <c r="C344" t="s">
        <v>20</v>
      </c>
      <c r="D344">
        <v>66.650999999999996</v>
      </c>
      <c r="E344">
        <v>-0.5</v>
      </c>
      <c r="F344">
        <v>-0.32200000000000001</v>
      </c>
      <c r="H344" s="4" t="str">
        <f t="array" aca="1" ref="H344" ca="1">SUBSTITUTE(SUBSTITUTE(_xlfn.TEXTJOIN("",TRUE,IF(ISERR(MID(C344,ROW(INDIRECT("1:100")),1)+0),MID(C344,ROW(INDIRECT("1:100")),1),"")),")",""),"(","")</f>
        <v>All items less shelter</v>
      </c>
    </row>
    <row r="345" spans="1:8" x14ac:dyDescent="0.25">
      <c r="A345">
        <v>2015</v>
      </c>
      <c r="B345">
        <v>12</v>
      </c>
      <c r="C345" t="s">
        <v>21</v>
      </c>
      <c r="D345">
        <v>52.411999999999999</v>
      </c>
      <c r="E345">
        <v>-0.8</v>
      </c>
      <c r="F345">
        <v>-0.434</v>
      </c>
      <c r="H345" s="4" t="str">
        <f t="array" aca="1" ref="H345" ca="1">SUBSTITUTE(SUBSTITUTE(_xlfn.TEXTJOIN("",TRUE,IF(ISERR(MID(C345,ROW(INDIRECT("1:100")),1)+0),MID(C345,ROW(INDIRECT("1:100")),1),"")),")",""),"(","")</f>
        <v>All items less food and shelter</v>
      </c>
    </row>
    <row r="346" spans="1:8" x14ac:dyDescent="0.25">
      <c r="A346">
        <v>2015</v>
      </c>
      <c r="B346">
        <v>12</v>
      </c>
      <c r="C346" t="s">
        <v>22</v>
      </c>
      <c r="D346">
        <v>45.244</v>
      </c>
      <c r="E346">
        <v>1.3</v>
      </c>
      <c r="F346">
        <v>0.57699999999999996</v>
      </c>
      <c r="H346" s="4" t="str">
        <f t="array" aca="1" ref="H346" ca="1">SUBSTITUTE(SUBSTITUTE(_xlfn.TEXTJOIN("",TRUE,IF(ISERR(MID(C346,ROW(INDIRECT("1:100")),1)+0),MID(C346,ROW(INDIRECT("1:100")),1),"")),")",""),"(","")</f>
        <v>All items less food, shelter, and energy</v>
      </c>
    </row>
    <row r="347" spans="1:8" x14ac:dyDescent="0.25">
      <c r="A347">
        <v>2015</v>
      </c>
      <c r="B347">
        <v>12</v>
      </c>
      <c r="C347" t="s">
        <v>23</v>
      </c>
      <c r="D347">
        <v>43.655999999999999</v>
      </c>
      <c r="E347">
        <v>1.3</v>
      </c>
      <c r="F347">
        <v>0.57099999999999995</v>
      </c>
      <c r="H347" s="4" t="str">
        <f t="array" aca="1" ref="H347" ca="1">SUBSTITUTE(SUBSTITUTE(_xlfn.TEXTJOIN("",TRUE,IF(ISERR(MID(C347,ROW(INDIRECT("1:100")),1)+0),MID(C347,ROW(INDIRECT("1:100")),1),"")),")",""),"(","")</f>
        <v>All items less food, shelter, energy, and used cars and trucks</v>
      </c>
    </row>
    <row r="348" spans="1:8" x14ac:dyDescent="0.25">
      <c r="A348">
        <v>2015</v>
      </c>
      <c r="B348">
        <v>12</v>
      </c>
      <c r="C348" t="s">
        <v>24</v>
      </c>
      <c r="D348">
        <v>92.164000000000001</v>
      </c>
      <c r="E348">
        <v>0.6</v>
      </c>
      <c r="F348">
        <v>0.53</v>
      </c>
      <c r="H348" s="4" t="str">
        <f t="array" aca="1" ref="H348" ca="1">SUBSTITUTE(SUBSTITUTE(_xlfn.TEXTJOIN("",TRUE,IF(ISERR(MID(C348,ROW(INDIRECT("1:100")),1)+0),MID(C348,ROW(INDIRECT("1:100")),1),"")),")",""),"(","")</f>
        <v>All items less medical care</v>
      </c>
    </row>
    <row r="349" spans="1:8" x14ac:dyDescent="0.25">
      <c r="A349">
        <v>2015</v>
      </c>
      <c r="B349">
        <v>12</v>
      </c>
      <c r="C349" t="s">
        <v>25</v>
      </c>
      <c r="D349">
        <v>92.831999999999994</v>
      </c>
      <c r="E349">
        <v>1.9</v>
      </c>
      <c r="F349">
        <v>1.74</v>
      </c>
      <c r="H349" s="4" t="str">
        <f t="array" aca="1" ref="H349" ca="1">SUBSTITUTE(SUBSTITUTE(_xlfn.TEXTJOIN("",TRUE,IF(ISERR(MID(C349,ROW(INDIRECT("1:100")),1)+0),MID(C349,ROW(INDIRECT("1:100")),1),"")),")",""),"(","")</f>
        <v>All items less energy</v>
      </c>
    </row>
    <row r="350" spans="1:8" x14ac:dyDescent="0.25">
      <c r="A350">
        <v>2015</v>
      </c>
      <c r="B350">
        <v>12</v>
      </c>
      <c r="C350" t="s">
        <v>26</v>
      </c>
      <c r="D350">
        <v>37.043999999999997</v>
      </c>
      <c r="E350">
        <v>-2.1</v>
      </c>
      <c r="F350">
        <v>-0.81399999999999995</v>
      </c>
      <c r="H350" s="4" t="str">
        <f t="array" aca="1" ref="H350" ca="1">SUBSTITUTE(SUBSTITUTE(_xlfn.TEXTJOIN("",TRUE,IF(ISERR(MID(C350,ROW(INDIRECT("1:100")),1)+0),MID(C350,ROW(INDIRECT("1:100")),1),"")),")",""),"(","")</f>
        <v>Commodities</v>
      </c>
    </row>
    <row r="351" spans="1:8" x14ac:dyDescent="0.25">
      <c r="A351">
        <v>2015</v>
      </c>
      <c r="B351">
        <v>12</v>
      </c>
      <c r="C351" t="s">
        <v>27</v>
      </c>
      <c r="D351">
        <v>62.956000000000003</v>
      </c>
      <c r="E351">
        <v>2.5</v>
      </c>
      <c r="F351">
        <v>1.544</v>
      </c>
      <c r="H351" s="4" t="str">
        <f t="array" aca="1" ref="H351" ca="1">SUBSTITUTE(SUBSTITUTE(_xlfn.TEXTJOIN("",TRUE,IF(ISERR(MID(C351,ROW(INDIRECT("1:100")),1)+0),MID(C351,ROW(INDIRECT("1:100")),1),"")),")",""),"(","")</f>
        <v>Services</v>
      </c>
    </row>
    <row r="352" spans="1:8" x14ac:dyDescent="0.25">
      <c r="A352">
        <v>2015</v>
      </c>
      <c r="B352">
        <v>12</v>
      </c>
      <c r="C352" t="s">
        <v>28</v>
      </c>
      <c r="D352">
        <v>8.8079999999999998</v>
      </c>
      <c r="E352">
        <v>-0.8</v>
      </c>
      <c r="F352">
        <v>-7.3999999999999996E-2</v>
      </c>
      <c r="H352" s="4" t="str">
        <f t="array" aca="1" ref="H352" ca="1">SUBSTITUTE(SUBSTITUTE(_xlfn.TEXTJOIN("",TRUE,IF(ISERR(MID(C352,ROW(INDIRECT("1:100")),1)+0),MID(C352,ROW(INDIRECT("1:100")),1),"")),")",""),"(","")</f>
        <v>Durables</v>
      </c>
    </row>
    <row r="353" spans="1:8" x14ac:dyDescent="0.25">
      <c r="A353">
        <v>2015</v>
      </c>
      <c r="B353">
        <v>12</v>
      </c>
      <c r="C353" t="s">
        <v>29</v>
      </c>
      <c r="D353">
        <v>28.236000000000001</v>
      </c>
      <c r="E353">
        <v>-2.6</v>
      </c>
      <c r="F353">
        <v>-0.74</v>
      </c>
      <c r="H353" s="4" t="str">
        <f t="array" aca="1" ref="H353" ca="1">SUBSTITUTE(SUBSTITUTE(_xlfn.TEXTJOIN("",TRUE,IF(ISERR(MID(C353,ROW(INDIRECT("1:100")),1)+0),MID(C353,ROW(INDIRECT("1:100")),1),"")),")",""),"(","")</f>
        <v>Nondurables</v>
      </c>
    </row>
    <row r="354" spans="1:8" x14ac:dyDescent="0.25">
      <c r="A354">
        <v>2015</v>
      </c>
      <c r="B354">
        <v>12</v>
      </c>
      <c r="C354" t="s">
        <v>8</v>
      </c>
      <c r="D354">
        <v>42.555</v>
      </c>
      <c r="E354">
        <v>2.1</v>
      </c>
      <c r="F354">
        <v>0.873</v>
      </c>
      <c r="H354" s="4" t="str">
        <f t="array" aca="1" ref="H354" ca="1">SUBSTITUTE(SUBSTITUTE(_xlfn.TEXTJOIN("",TRUE,IF(ISERR(MID(C354,ROW(INDIRECT("1:100")),1)+0),MID(C354,ROW(INDIRECT("1:100")),1),"")),")",""),"(","")</f>
        <v>Housing</v>
      </c>
    </row>
    <row r="355" spans="1:8" x14ac:dyDescent="0.25">
      <c r="A355">
        <v>2015</v>
      </c>
      <c r="B355">
        <v>12</v>
      </c>
      <c r="C355" t="s">
        <v>30</v>
      </c>
      <c r="D355">
        <v>7.0949999999999998</v>
      </c>
      <c r="E355">
        <v>1.4</v>
      </c>
      <c r="F355">
        <v>0.10199999999999999</v>
      </c>
      <c r="H355" s="4" t="str">
        <f t="array" aca="1" ref="H355" ca="1">SUBSTITUTE(SUBSTITUTE(_xlfn.TEXTJOIN("",TRUE,IF(ISERR(MID(C355,ROW(INDIRECT("1:100")),1)+0),MID(C355,ROW(INDIRECT("1:100")),1),"")),")",""),"(","")</f>
        <v>Education and communication</v>
      </c>
    </row>
    <row r="356" spans="1:8" x14ac:dyDescent="0.25">
      <c r="A356">
        <v>2015</v>
      </c>
      <c r="B356">
        <v>12</v>
      </c>
      <c r="C356" t="s">
        <v>31</v>
      </c>
      <c r="D356">
        <v>5.7329999999999997</v>
      </c>
      <c r="E356">
        <v>0.7</v>
      </c>
      <c r="F356">
        <v>3.7999999999999999E-2</v>
      </c>
      <c r="H356" s="4" t="str">
        <f t="array" aca="1" ref="H356" ca="1">SUBSTITUTE(SUBSTITUTE(_xlfn.TEXTJOIN("",TRUE,IF(ISERR(MID(C356,ROW(INDIRECT("1:100")),1)+0),MID(C356,ROW(INDIRECT("1:100")),1),"")),")",""),"(","")</f>
        <v>Recreation</v>
      </c>
    </row>
    <row r="357" spans="1:8" x14ac:dyDescent="0.25">
      <c r="A357">
        <v>2015</v>
      </c>
      <c r="B357">
        <v>12</v>
      </c>
      <c r="C357" t="s">
        <v>6</v>
      </c>
      <c r="D357">
        <v>15.25</v>
      </c>
      <c r="E357">
        <v>0.8</v>
      </c>
      <c r="F357">
        <v>0.11700000000000001</v>
      </c>
      <c r="H357" s="4" t="str">
        <f t="array" aca="1" ref="H357" ca="1">SUBSTITUTE(SUBSTITUTE(_xlfn.TEXTJOIN("",TRUE,IF(ISERR(MID(C357,ROW(INDIRECT("1:100")),1)+0),MID(C357,ROW(INDIRECT("1:100")),1),"")),")",""),"(","")</f>
        <v>Food and beverages</v>
      </c>
    </row>
    <row r="358" spans="1:8" x14ac:dyDescent="0.25">
      <c r="A358">
        <v>2015</v>
      </c>
      <c r="B358">
        <v>12</v>
      </c>
      <c r="C358" t="s">
        <v>32</v>
      </c>
      <c r="D358">
        <v>12.086</v>
      </c>
      <c r="E358">
        <v>2.2000000000000002</v>
      </c>
      <c r="F358">
        <v>0.26200000000000001</v>
      </c>
      <c r="H358" s="4" t="str">
        <f t="array" aca="1" ref="H358" ca="1">SUBSTITUTE(SUBSTITUTE(_xlfn.TEXTJOIN("",TRUE,IF(ISERR(MID(C358,ROW(INDIRECT("1:100")),1)+0),MID(C358,ROW(INDIRECT("1:100")),1),"")),")",""),"(","")</f>
        <v>Other services</v>
      </c>
    </row>
    <row r="359" spans="1:8" x14ac:dyDescent="0.25">
      <c r="A359">
        <v>2015</v>
      </c>
      <c r="B359">
        <v>12</v>
      </c>
      <c r="C359" t="s">
        <v>33</v>
      </c>
      <c r="D359">
        <v>2.6659999999999999</v>
      </c>
      <c r="E359">
        <v>-0.9</v>
      </c>
      <c r="F359">
        <v>-2.4E-2</v>
      </c>
      <c r="H359" s="4" t="str">
        <f t="array" aca="1" ref="H359" ca="1">SUBSTITUTE(SUBSTITUTE(_xlfn.TEXTJOIN("",TRUE,IF(ISERR(MID(C359,ROW(INDIRECT("1:100")),1)+0),MID(C359,ROW(INDIRECT("1:100")),1),"")),")",""),"(","")</f>
        <v>Apparel less footwear</v>
      </c>
    </row>
    <row r="360" spans="1:8" x14ac:dyDescent="0.25">
      <c r="A360">
        <v>2015</v>
      </c>
      <c r="B360">
        <v>12</v>
      </c>
      <c r="C360" t="s">
        <v>34</v>
      </c>
      <c r="D360">
        <v>5.069</v>
      </c>
      <c r="E360">
        <v>-3.3</v>
      </c>
      <c r="F360">
        <v>-0.17399999999999999</v>
      </c>
      <c r="H360" s="4" t="str">
        <f t="array" aca="1" ref="H360" ca="1">SUBSTITUTE(SUBSTITUTE(_xlfn.TEXTJOIN("",TRUE,IF(ISERR(MID(C360,ROW(INDIRECT("1:100")),1)+0),MID(C360,ROW(INDIRECT("1:100")),1),"")),")",""),"(","")</f>
        <v>Fuels and utilities</v>
      </c>
    </row>
    <row r="361" spans="1:8" x14ac:dyDescent="0.25">
      <c r="A361">
        <v>2015</v>
      </c>
      <c r="B361">
        <v>12</v>
      </c>
      <c r="C361" t="s">
        <v>11</v>
      </c>
      <c r="D361">
        <v>7.8360000000000003</v>
      </c>
      <c r="E361">
        <v>2.6</v>
      </c>
      <c r="F361">
        <v>0.19900000000000001</v>
      </c>
      <c r="H361" s="4" t="str">
        <f t="array" aca="1" ref="H361" ca="1">SUBSTITUTE(SUBSTITUTE(_xlfn.TEXTJOIN("",TRUE,IF(ISERR(MID(C361,ROW(INDIRECT("1:100")),1)+0),MID(C361,ROW(INDIRECT("1:100")),1),"")),")",""),"(","")</f>
        <v>Medical care</v>
      </c>
    </row>
    <row r="362" spans="1:8" x14ac:dyDescent="0.25">
      <c r="A362">
        <v>2015</v>
      </c>
      <c r="B362">
        <v>12</v>
      </c>
      <c r="C362" t="s">
        <v>7</v>
      </c>
      <c r="D362">
        <v>14.72</v>
      </c>
      <c r="E362">
        <v>-4.0999999999999996</v>
      </c>
      <c r="F362">
        <v>-0.63100000000000001</v>
      </c>
      <c r="H362" s="4" t="str">
        <f t="array" aca="1" ref="H362" ca="1">SUBSTITUTE(SUBSTITUTE(_xlfn.TEXTJOIN("",TRUE,IF(ISERR(MID(C362,ROW(INDIRECT("1:100")),1)+0),MID(C362,ROW(INDIRECT("1:100")),1),"")),")",""),"(","")</f>
        <v>Transportation</v>
      </c>
    </row>
    <row r="363" spans="1:8" x14ac:dyDescent="0.25">
      <c r="A363">
        <v>2015</v>
      </c>
      <c r="B363">
        <v>12</v>
      </c>
      <c r="C363" t="s">
        <v>35</v>
      </c>
      <c r="D363">
        <v>9.9489999999999998</v>
      </c>
      <c r="E363">
        <v>-0.8</v>
      </c>
      <c r="F363">
        <v>-8.5000000000000006E-2</v>
      </c>
      <c r="H363" s="4" t="str">
        <f t="array" aca="1" ref="H363" ca="1">SUBSTITUTE(SUBSTITUTE(_xlfn.TEXTJOIN("",TRUE,IF(ISERR(MID(C363,ROW(INDIRECT("1:100")),1)+0),MID(C363,ROW(INDIRECT("1:100")),1),"")),")",""),"(","")</f>
        <v>Utilities and public transportation</v>
      </c>
    </row>
    <row r="364" spans="1:8" x14ac:dyDescent="0.25">
      <c r="A364">
        <v>2015</v>
      </c>
      <c r="B364">
        <v>12</v>
      </c>
      <c r="C364" t="s">
        <v>36</v>
      </c>
      <c r="D364">
        <v>4.1369999999999996</v>
      </c>
      <c r="E364">
        <v>-0.1</v>
      </c>
      <c r="F364">
        <v>-5.0000000000000001E-3</v>
      </c>
      <c r="H364" s="4" t="str">
        <f t="array" aca="1" ref="H364" ca="1">SUBSTITUTE(SUBSTITUTE(_xlfn.TEXTJOIN("",TRUE,IF(ISERR(MID(C364,ROW(INDIRECT("1:100")),1)+0),MID(C364,ROW(INDIRECT("1:100")),1),"")),")",""),"(","")</f>
        <v>Household furnishings and operations</v>
      </c>
    </row>
    <row r="365" spans="1:8" x14ac:dyDescent="0.25">
      <c r="A365">
        <v>2015</v>
      </c>
      <c r="B365">
        <v>12</v>
      </c>
      <c r="C365" t="s">
        <v>12</v>
      </c>
      <c r="D365">
        <v>3.4209999999999998</v>
      </c>
      <c r="E365">
        <v>1.9</v>
      </c>
      <c r="F365">
        <v>6.3E-2</v>
      </c>
      <c r="H365" s="4" t="str">
        <f t="array" aca="1" ref="H365" ca="1">SUBSTITUTE(SUBSTITUTE(_xlfn.TEXTJOIN("",TRUE,IF(ISERR(MID(C365,ROW(INDIRECT("1:100")),1)+0),MID(C365,ROW(INDIRECT("1:100")),1),"")),")",""),"(","")</f>
        <v>Other goods and services</v>
      </c>
    </row>
    <row r="366" spans="1:8" x14ac:dyDescent="0.25">
      <c r="A366">
        <v>2016</v>
      </c>
      <c r="B366">
        <v>1</v>
      </c>
      <c r="C366" t="s">
        <v>14</v>
      </c>
      <c r="D366">
        <v>100</v>
      </c>
      <c r="E366">
        <v>1.4</v>
      </c>
      <c r="H366" s="4" t="str">
        <f t="array" aca="1" ref="H366" ca="1">SUBSTITUTE(SUBSTITUTE(_xlfn.TEXTJOIN("",TRUE,IF(ISERR(MID(C366,ROW(INDIRECT("1:100")),1)+0),MID(C366,ROW(INDIRECT("1:100")),1),"")),")",""),"(","")</f>
        <v>All items</v>
      </c>
    </row>
    <row r="367" spans="1:8" x14ac:dyDescent="0.25">
      <c r="A367">
        <v>2016</v>
      </c>
      <c r="B367">
        <v>1</v>
      </c>
      <c r="C367" t="s">
        <v>15</v>
      </c>
      <c r="D367">
        <v>14.015000000000001</v>
      </c>
      <c r="E367">
        <v>0.8</v>
      </c>
      <c r="F367">
        <v>0.121</v>
      </c>
      <c r="H367" s="4" t="str">
        <f t="array" aca="1" ref="H367" ca="1">SUBSTITUTE(SUBSTITUTE(_xlfn.TEXTJOIN("",TRUE,IF(ISERR(MID(C367,ROW(INDIRECT("1:100")),1)+0),MID(C367,ROW(INDIRECT("1:100")),1),"")),")",""),"(","")</f>
        <v>Food</v>
      </c>
    </row>
    <row r="368" spans="1:8" x14ac:dyDescent="0.25">
      <c r="A368">
        <v>2016</v>
      </c>
      <c r="B368">
        <v>1</v>
      </c>
      <c r="C368" t="s">
        <v>16</v>
      </c>
      <c r="D368">
        <v>6.8159999999999998</v>
      </c>
      <c r="E368">
        <v>-6.5</v>
      </c>
      <c r="F368">
        <v>-0.47599999999999998</v>
      </c>
      <c r="H368" s="4" t="str">
        <f t="array" aca="1" ref="H368" ca="1">SUBSTITUTE(SUBSTITUTE(_xlfn.TEXTJOIN("",TRUE,IF(ISERR(MID(C368,ROW(INDIRECT("1:100")),1)+0),MID(C368,ROW(INDIRECT("1:100")),1),"")),")",""),"(","")</f>
        <v>Energy</v>
      </c>
    </row>
    <row r="369" spans="1:8" x14ac:dyDescent="0.25">
      <c r="A369">
        <v>2016</v>
      </c>
      <c r="B369">
        <v>1</v>
      </c>
      <c r="C369" t="s">
        <v>17</v>
      </c>
      <c r="D369">
        <v>79.168999999999997</v>
      </c>
      <c r="E369">
        <v>2.2000000000000002</v>
      </c>
      <c r="F369">
        <v>1.728</v>
      </c>
      <c r="H369" s="4" t="str">
        <f t="array" aca="1" ref="H369" ca="1">SUBSTITUTE(SUBSTITUTE(_xlfn.TEXTJOIN("",TRUE,IF(ISERR(MID(C369,ROW(INDIRECT("1:100")),1)+0),MID(C369,ROW(INDIRECT("1:100")),1),"")),")",""),"(","")</f>
        <v>All items less food and energy</v>
      </c>
    </row>
    <row r="370" spans="1:8" x14ac:dyDescent="0.25">
      <c r="A370">
        <v>2016</v>
      </c>
      <c r="B370">
        <v>1</v>
      </c>
      <c r="C370" t="s">
        <v>18</v>
      </c>
      <c r="H370" s="4" t="str">
        <f t="array" aca="1" ref="H370" ca="1">SUBSTITUTE(SUBSTITUTE(_xlfn.TEXTJOIN("",TRUE,IF(ISERR(MID(C370,ROW(INDIRECT("1:100")),1)+0),MID(C370,ROW(INDIRECT("1:100")),1),"")),")",""),"(","")</f>
        <v>Special aggregate indexes</v>
      </c>
    </row>
    <row r="371" spans="1:8" x14ac:dyDescent="0.25">
      <c r="A371">
        <v>2016</v>
      </c>
      <c r="B371">
        <v>1</v>
      </c>
      <c r="C371" t="s">
        <v>19</v>
      </c>
      <c r="D371">
        <v>85.984999999999999</v>
      </c>
      <c r="E371">
        <v>1.5</v>
      </c>
      <c r="F371">
        <v>1.252</v>
      </c>
      <c r="H371" s="4" t="str">
        <f t="array" aca="1" ref="H371" ca="1">SUBSTITUTE(SUBSTITUTE(_xlfn.TEXTJOIN("",TRUE,IF(ISERR(MID(C371,ROW(INDIRECT("1:100")),1)+0),MID(C371,ROW(INDIRECT("1:100")),1),"")),")",""),"(","")</f>
        <v>All items less food</v>
      </c>
    </row>
    <row r="372" spans="1:8" x14ac:dyDescent="0.25">
      <c r="A372">
        <v>2016</v>
      </c>
      <c r="B372">
        <v>1</v>
      </c>
      <c r="C372" t="s">
        <v>20</v>
      </c>
      <c r="D372">
        <v>66.849999999999994</v>
      </c>
      <c r="E372">
        <v>0.5</v>
      </c>
      <c r="F372">
        <v>0.30399999999999999</v>
      </c>
      <c r="H372" s="4" t="str">
        <f t="array" aca="1" ref="H372" ca="1">SUBSTITUTE(SUBSTITUTE(_xlfn.TEXTJOIN("",TRUE,IF(ISERR(MID(C372,ROW(INDIRECT("1:100")),1)+0),MID(C372,ROW(INDIRECT("1:100")),1),"")),")",""),"(","")</f>
        <v>All items less shelter</v>
      </c>
    </row>
    <row r="373" spans="1:8" x14ac:dyDescent="0.25">
      <c r="A373">
        <v>2016</v>
      </c>
      <c r="B373">
        <v>1</v>
      </c>
      <c r="C373" t="s">
        <v>21</v>
      </c>
      <c r="D373">
        <v>52.834000000000003</v>
      </c>
      <c r="E373">
        <v>0.3</v>
      </c>
      <c r="F373">
        <v>0.183</v>
      </c>
      <c r="H373" s="4" t="str">
        <f t="array" aca="1" ref="H373" ca="1">SUBSTITUTE(SUBSTITUTE(_xlfn.TEXTJOIN("",TRUE,IF(ISERR(MID(C373,ROW(INDIRECT("1:100")),1)+0),MID(C373,ROW(INDIRECT("1:100")),1),"")),")",""),"(","")</f>
        <v>All items less food and shelter</v>
      </c>
    </row>
    <row r="374" spans="1:8" x14ac:dyDescent="0.25">
      <c r="A374">
        <v>2016</v>
      </c>
      <c r="B374">
        <v>1</v>
      </c>
      <c r="C374" t="s">
        <v>22</v>
      </c>
      <c r="D374">
        <v>46.018000000000001</v>
      </c>
      <c r="E374">
        <v>1.5</v>
      </c>
      <c r="F374">
        <v>0.65900000000000003</v>
      </c>
      <c r="H374" s="4" t="str">
        <f t="array" aca="1" ref="H374" ca="1">SUBSTITUTE(SUBSTITUTE(_xlfn.TEXTJOIN("",TRUE,IF(ISERR(MID(C374,ROW(INDIRECT("1:100")),1)+0),MID(C374,ROW(INDIRECT("1:100")),1),"")),")",""),"(","")</f>
        <v>All items less food, shelter, and energy</v>
      </c>
    </row>
    <row r="375" spans="1:8" x14ac:dyDescent="0.25">
      <c r="A375">
        <v>2016</v>
      </c>
      <c r="B375">
        <v>1</v>
      </c>
      <c r="C375" t="s">
        <v>23</v>
      </c>
      <c r="D375">
        <v>43.917999999999999</v>
      </c>
      <c r="E375">
        <v>1.5</v>
      </c>
      <c r="F375">
        <v>0.64500000000000002</v>
      </c>
      <c r="H375" s="4" t="str">
        <f t="array" aca="1" ref="H375" ca="1">SUBSTITUTE(SUBSTITUTE(_xlfn.TEXTJOIN("",TRUE,IF(ISERR(MID(C375,ROW(INDIRECT("1:100")),1)+0),MID(C375,ROW(INDIRECT("1:100")),1),"")),")",""),"(","")</f>
        <v>All items less food, shelter, energy, and used cars and trucks</v>
      </c>
    </row>
    <row r="376" spans="1:8" x14ac:dyDescent="0.25">
      <c r="A376">
        <v>2016</v>
      </c>
      <c r="B376">
        <v>1</v>
      </c>
      <c r="C376" t="s">
        <v>24</v>
      </c>
      <c r="D376">
        <v>91.625</v>
      </c>
      <c r="E376">
        <v>1.2</v>
      </c>
      <c r="F376">
        <v>1.137</v>
      </c>
      <c r="H376" s="4" t="str">
        <f t="array" aca="1" ref="H376" ca="1">SUBSTITUTE(SUBSTITUTE(_xlfn.TEXTJOIN("",TRUE,IF(ISERR(MID(C376,ROW(INDIRECT("1:100")),1)+0),MID(C376,ROW(INDIRECT("1:100")),1),"")),")",""),"(","")</f>
        <v>All items less medical care</v>
      </c>
    </row>
    <row r="377" spans="1:8" x14ac:dyDescent="0.25">
      <c r="A377">
        <v>2016</v>
      </c>
      <c r="B377">
        <v>1</v>
      </c>
      <c r="C377" t="s">
        <v>25</v>
      </c>
      <c r="D377">
        <v>93.183999999999997</v>
      </c>
      <c r="E377">
        <v>2</v>
      </c>
      <c r="F377">
        <v>1.849</v>
      </c>
      <c r="H377" s="4" t="str">
        <f t="array" aca="1" ref="H377" ca="1">SUBSTITUTE(SUBSTITUTE(_xlfn.TEXTJOIN("",TRUE,IF(ISERR(MID(C377,ROW(INDIRECT("1:100")),1)+0),MID(C377,ROW(INDIRECT("1:100")),1),"")),")",""),"(","")</f>
        <v>All items less energy</v>
      </c>
    </row>
    <row r="378" spans="1:8" x14ac:dyDescent="0.25">
      <c r="A378">
        <v>2016</v>
      </c>
      <c r="B378">
        <v>1</v>
      </c>
      <c r="C378" t="s">
        <v>26</v>
      </c>
      <c r="D378">
        <v>36.856000000000002</v>
      </c>
      <c r="E378">
        <v>-0.5</v>
      </c>
      <c r="F378">
        <v>-0.192</v>
      </c>
      <c r="H378" s="4" t="str">
        <f t="array" aca="1" ref="H378" ca="1">SUBSTITUTE(SUBSTITUTE(_xlfn.TEXTJOIN("",TRUE,IF(ISERR(MID(C378,ROW(INDIRECT("1:100")),1)+0),MID(C378,ROW(INDIRECT("1:100")),1),"")),")",""),"(","")</f>
        <v>Commodities</v>
      </c>
    </row>
    <row r="379" spans="1:8" x14ac:dyDescent="0.25">
      <c r="A379">
        <v>2016</v>
      </c>
      <c r="B379">
        <v>1</v>
      </c>
      <c r="C379" t="s">
        <v>27</v>
      </c>
      <c r="D379">
        <v>63.143999999999998</v>
      </c>
      <c r="E379">
        <v>2.5</v>
      </c>
      <c r="F379">
        <v>1.5640000000000001</v>
      </c>
      <c r="H379" s="4" t="str">
        <f t="array" aca="1" ref="H379" ca="1">SUBSTITUTE(SUBSTITUTE(_xlfn.TEXTJOIN("",TRUE,IF(ISERR(MID(C379,ROW(INDIRECT("1:100")),1)+0),MID(C379,ROW(INDIRECT("1:100")),1),"")),")",""),"(","")</f>
        <v>Services</v>
      </c>
    </row>
    <row r="380" spans="1:8" x14ac:dyDescent="0.25">
      <c r="A380">
        <v>2016</v>
      </c>
      <c r="B380">
        <v>1</v>
      </c>
      <c r="C380" t="s">
        <v>28</v>
      </c>
      <c r="D380">
        <v>9.6470000000000002</v>
      </c>
      <c r="E380">
        <v>-0.6</v>
      </c>
      <c r="F380">
        <v>-4.9000000000000002E-2</v>
      </c>
      <c r="H380" s="4" t="str">
        <f t="array" aca="1" ref="H380" ca="1">SUBSTITUTE(SUBSTITUTE(_xlfn.TEXTJOIN("",TRUE,IF(ISERR(MID(C380,ROW(INDIRECT("1:100")),1)+0),MID(C380,ROW(INDIRECT("1:100")),1),"")),")",""),"(","")</f>
        <v>Durables</v>
      </c>
    </row>
    <row r="381" spans="1:8" x14ac:dyDescent="0.25">
      <c r="A381">
        <v>2016</v>
      </c>
      <c r="B381">
        <v>1</v>
      </c>
      <c r="C381" t="s">
        <v>29</v>
      </c>
      <c r="D381">
        <v>27.209</v>
      </c>
      <c r="E381">
        <v>-0.5</v>
      </c>
      <c r="F381">
        <v>-0.14299999999999999</v>
      </c>
      <c r="H381" s="4" t="str">
        <f t="array" aca="1" ref="H381" ca="1">SUBSTITUTE(SUBSTITUTE(_xlfn.TEXTJOIN("",TRUE,IF(ISERR(MID(C381,ROW(INDIRECT("1:100")),1)+0),MID(C381,ROW(INDIRECT("1:100")),1),"")),")",""),"(","")</f>
        <v>Nondurables</v>
      </c>
    </row>
    <row r="382" spans="1:8" x14ac:dyDescent="0.25">
      <c r="A382">
        <v>2016</v>
      </c>
      <c r="B382">
        <v>1</v>
      </c>
      <c r="C382" t="s">
        <v>8</v>
      </c>
      <c r="D382">
        <v>42.234999999999999</v>
      </c>
      <c r="E382">
        <v>2.1</v>
      </c>
      <c r="F382">
        <v>0.89</v>
      </c>
      <c r="H382" s="4" t="str">
        <f t="array" aca="1" ref="H382" ca="1">SUBSTITUTE(SUBSTITUTE(_xlfn.TEXTJOIN("",TRUE,IF(ISERR(MID(C382,ROW(INDIRECT("1:100")),1)+0),MID(C382,ROW(INDIRECT("1:100")),1),"")),")",""),"(","")</f>
        <v>Housing</v>
      </c>
    </row>
    <row r="383" spans="1:8" x14ac:dyDescent="0.25">
      <c r="A383">
        <v>2016</v>
      </c>
      <c r="B383">
        <v>1</v>
      </c>
      <c r="C383" t="s">
        <v>30</v>
      </c>
      <c r="D383">
        <v>7.1449999999999996</v>
      </c>
      <c r="E383">
        <v>1.4</v>
      </c>
      <c r="F383">
        <v>9.7000000000000003E-2</v>
      </c>
      <c r="H383" s="4" t="str">
        <f t="array" aca="1" ref="H383" ca="1">SUBSTITUTE(SUBSTITUTE(_xlfn.TEXTJOIN("",TRUE,IF(ISERR(MID(C383,ROW(INDIRECT("1:100")),1)+0),MID(C383,ROW(INDIRECT("1:100")),1),"")),")",""),"(","")</f>
        <v>Education and communication</v>
      </c>
    </row>
    <row r="384" spans="1:8" x14ac:dyDescent="0.25">
      <c r="A384">
        <v>2016</v>
      </c>
      <c r="B384">
        <v>1</v>
      </c>
      <c r="C384" t="s">
        <v>31</v>
      </c>
      <c r="D384">
        <v>5.734</v>
      </c>
      <c r="E384">
        <v>0.7</v>
      </c>
      <c r="F384">
        <v>3.9E-2</v>
      </c>
      <c r="H384" s="4" t="str">
        <f t="array" aca="1" ref="H384" ca="1">SUBSTITUTE(SUBSTITUTE(_xlfn.TEXTJOIN("",TRUE,IF(ISERR(MID(C384,ROW(INDIRECT("1:100")),1)+0),MID(C384,ROW(INDIRECT("1:100")),1),"")),")",""),"(","")</f>
        <v>Recreation</v>
      </c>
    </row>
    <row r="385" spans="1:8" x14ac:dyDescent="0.25">
      <c r="A385">
        <v>2016</v>
      </c>
      <c r="B385">
        <v>1</v>
      </c>
      <c r="C385" t="s">
        <v>6</v>
      </c>
      <c r="D385">
        <v>14.973000000000001</v>
      </c>
      <c r="E385">
        <v>0.9</v>
      </c>
      <c r="F385">
        <v>0.13300000000000001</v>
      </c>
      <c r="H385" s="4" t="str">
        <f t="array" aca="1" ref="H385" ca="1">SUBSTITUTE(SUBSTITUTE(_xlfn.TEXTJOIN("",TRUE,IF(ISERR(MID(C385,ROW(INDIRECT("1:100")),1)+0),MID(C385,ROW(INDIRECT("1:100")),1),"")),")",""),"(","")</f>
        <v>Food and beverages</v>
      </c>
    </row>
    <row r="386" spans="1:8" x14ac:dyDescent="0.25">
      <c r="A386">
        <v>2016</v>
      </c>
      <c r="B386">
        <v>1</v>
      </c>
      <c r="C386" t="s">
        <v>32</v>
      </c>
      <c r="D386">
        <v>11.954000000000001</v>
      </c>
      <c r="E386">
        <v>2.1</v>
      </c>
      <c r="F386">
        <v>0.251</v>
      </c>
      <c r="H386" s="4" t="str">
        <f t="array" aca="1" ref="H386" ca="1">SUBSTITUTE(SUBSTITUTE(_xlfn.TEXTJOIN("",TRUE,IF(ISERR(MID(C386,ROW(INDIRECT("1:100")),1)+0),MID(C386,ROW(INDIRECT("1:100")),1),"")),")",""),"(","")</f>
        <v>Other services</v>
      </c>
    </row>
    <row r="387" spans="1:8" x14ac:dyDescent="0.25">
      <c r="A387">
        <v>2016</v>
      </c>
      <c r="B387">
        <v>1</v>
      </c>
      <c r="C387" t="s">
        <v>33</v>
      </c>
      <c r="D387">
        <v>2.4049999999999998</v>
      </c>
      <c r="E387">
        <v>-0.8</v>
      </c>
      <c r="F387">
        <v>-1.7999999999999999E-2</v>
      </c>
      <c r="H387" s="4" t="str">
        <f t="array" aca="1" ref="H387" ca="1">SUBSTITUTE(SUBSTITUTE(_xlfn.TEXTJOIN("",TRUE,IF(ISERR(MID(C387,ROW(INDIRECT("1:100")),1)+0),MID(C387,ROW(INDIRECT("1:100")),1),"")),")",""),"(","")</f>
        <v>Apparel less footwear</v>
      </c>
    </row>
    <row r="388" spans="1:8" x14ac:dyDescent="0.25">
      <c r="A388">
        <v>2016</v>
      </c>
      <c r="B388">
        <v>1</v>
      </c>
      <c r="C388" t="s">
        <v>34</v>
      </c>
      <c r="D388">
        <v>4.9249999999999998</v>
      </c>
      <c r="E388">
        <v>-3.3</v>
      </c>
      <c r="F388">
        <v>-0.17899999999999999</v>
      </c>
      <c r="H388" s="4" t="str">
        <f t="array" aca="1" ref="H388" ca="1">SUBSTITUTE(SUBSTITUTE(_xlfn.TEXTJOIN("",TRUE,IF(ISERR(MID(C388,ROW(INDIRECT("1:100")),1)+0),MID(C388,ROW(INDIRECT("1:100")),1),"")),")",""),"(","")</f>
        <v>Fuels and utilities</v>
      </c>
    </row>
    <row r="389" spans="1:8" x14ac:dyDescent="0.25">
      <c r="A389">
        <v>2016</v>
      </c>
      <c r="B389">
        <v>1</v>
      </c>
      <c r="C389" t="s">
        <v>11</v>
      </c>
      <c r="D389">
        <v>8.375</v>
      </c>
      <c r="E389">
        <v>3</v>
      </c>
      <c r="F389">
        <v>0.23599999999999999</v>
      </c>
      <c r="H389" s="4" t="str">
        <f t="array" aca="1" ref="H389" ca="1">SUBSTITUTE(SUBSTITUTE(_xlfn.TEXTJOIN("",TRUE,IF(ISERR(MID(C389,ROW(INDIRECT("1:100")),1)+0),MID(C389,ROW(INDIRECT("1:100")),1),"")),")",""),"(","")</f>
        <v>Medical care</v>
      </c>
    </row>
    <row r="390" spans="1:8" x14ac:dyDescent="0.25">
      <c r="A390">
        <v>2016</v>
      </c>
      <c r="B390">
        <v>1</v>
      </c>
      <c r="C390" t="s">
        <v>7</v>
      </c>
      <c r="D390">
        <v>15.259</v>
      </c>
      <c r="E390">
        <v>-0.4</v>
      </c>
      <c r="F390">
        <v>-0.06</v>
      </c>
      <c r="H390" s="4" t="str">
        <f t="array" aca="1" ref="H390" ca="1">SUBSTITUTE(SUBSTITUTE(_xlfn.TEXTJOIN("",TRUE,IF(ISERR(MID(C390,ROW(INDIRECT("1:100")),1)+0),MID(C390,ROW(INDIRECT("1:100")),1),"")),")",""),"(","")</f>
        <v>Transportation</v>
      </c>
    </row>
    <row r="391" spans="1:8" x14ac:dyDescent="0.25">
      <c r="A391">
        <v>2016</v>
      </c>
      <c r="B391">
        <v>1</v>
      </c>
      <c r="C391" t="s">
        <v>35</v>
      </c>
      <c r="D391">
        <v>9.9649999999999999</v>
      </c>
      <c r="E391">
        <v>-0.9</v>
      </c>
      <c r="F391">
        <v>-8.6999999999999994E-2</v>
      </c>
      <c r="H391" s="4" t="str">
        <f t="array" aca="1" ref="H391" ca="1">SUBSTITUTE(SUBSTITUTE(_xlfn.TEXTJOIN("",TRUE,IF(ISERR(MID(C391,ROW(INDIRECT("1:100")),1)+0),MID(C391,ROW(INDIRECT("1:100")),1),"")),")",""),"(","")</f>
        <v>Utilities and public transportation</v>
      </c>
    </row>
    <row r="392" spans="1:8" x14ac:dyDescent="0.25">
      <c r="A392">
        <v>2016</v>
      </c>
      <c r="B392">
        <v>1</v>
      </c>
      <c r="C392" t="s">
        <v>36</v>
      </c>
      <c r="D392">
        <v>4.16</v>
      </c>
      <c r="E392">
        <v>0</v>
      </c>
      <c r="F392">
        <v>0</v>
      </c>
      <c r="H392" s="4" t="str">
        <f t="array" aca="1" ref="H392" ca="1">SUBSTITUTE(SUBSTITUTE(_xlfn.TEXTJOIN("",TRUE,IF(ISERR(MID(C392,ROW(INDIRECT("1:100")),1)+0),MID(C392,ROW(INDIRECT("1:100")),1),"")),")",""),"(","")</f>
        <v>Household furnishings and operations</v>
      </c>
    </row>
    <row r="393" spans="1:8" x14ac:dyDescent="0.25">
      <c r="A393">
        <v>2016</v>
      </c>
      <c r="B393">
        <v>1</v>
      </c>
      <c r="C393" t="s">
        <v>12</v>
      </c>
      <c r="D393">
        <v>3.177</v>
      </c>
      <c r="E393">
        <v>1.6</v>
      </c>
      <c r="F393">
        <v>5.3999999999999999E-2</v>
      </c>
      <c r="H393" s="4" t="str">
        <f t="array" aca="1" ref="H393" ca="1">SUBSTITUTE(SUBSTITUTE(_xlfn.TEXTJOIN("",TRUE,IF(ISERR(MID(C393,ROW(INDIRECT("1:100")),1)+0),MID(C393,ROW(INDIRECT("1:100")),1),"")),")",""),"(","")</f>
        <v>Other goods and services</v>
      </c>
    </row>
    <row r="394" spans="1:8" x14ac:dyDescent="0.25">
      <c r="A394">
        <v>2016</v>
      </c>
      <c r="B394">
        <v>2</v>
      </c>
      <c r="C394" t="s">
        <v>14</v>
      </c>
      <c r="D394">
        <v>100</v>
      </c>
      <c r="E394">
        <v>1</v>
      </c>
      <c r="H394" s="4" t="str">
        <f t="array" aca="1" ref="H394" ca="1">SUBSTITUTE(SUBSTITUTE(_xlfn.TEXTJOIN("",TRUE,IF(ISERR(MID(C394,ROW(INDIRECT("1:100")),1)+0),MID(C394,ROW(INDIRECT("1:100")),1),"")),")",""),"(","")</f>
        <v>All items</v>
      </c>
    </row>
    <row r="395" spans="1:8" x14ac:dyDescent="0.25">
      <c r="A395">
        <v>2016</v>
      </c>
      <c r="B395">
        <v>2</v>
      </c>
      <c r="C395" t="s">
        <v>15</v>
      </c>
      <c r="D395">
        <v>14.032999999999999</v>
      </c>
      <c r="E395">
        <v>0.9</v>
      </c>
      <c r="F395">
        <v>0.122</v>
      </c>
      <c r="H395" s="4" t="str">
        <f t="array" aca="1" ref="H395" ca="1">SUBSTITUTE(SUBSTITUTE(_xlfn.TEXTJOIN("",TRUE,IF(ISERR(MID(C395,ROW(INDIRECT("1:100")),1)+0),MID(C395,ROW(INDIRECT("1:100")),1),"")),")",""),"(","")</f>
        <v>Food</v>
      </c>
    </row>
    <row r="396" spans="1:8" x14ac:dyDescent="0.25">
      <c r="A396">
        <v>2016</v>
      </c>
      <c r="B396">
        <v>2</v>
      </c>
      <c r="C396" t="s">
        <v>16</v>
      </c>
      <c r="D396">
        <v>6.6859999999999999</v>
      </c>
      <c r="E396">
        <v>-12.5</v>
      </c>
      <c r="F396">
        <v>-0.93</v>
      </c>
      <c r="H396" s="4" t="str">
        <f t="array" aca="1" ref="H396" ca="1">SUBSTITUTE(SUBSTITUTE(_xlfn.TEXTJOIN("",TRUE,IF(ISERR(MID(C396,ROW(INDIRECT("1:100")),1)+0),MID(C396,ROW(INDIRECT("1:100")),1),"")),")",""),"(","")</f>
        <v>Energy</v>
      </c>
    </row>
    <row r="397" spans="1:8" x14ac:dyDescent="0.25">
      <c r="A397">
        <v>2016</v>
      </c>
      <c r="B397">
        <v>2</v>
      </c>
      <c r="C397" t="s">
        <v>17</v>
      </c>
      <c r="D397">
        <v>79.281000000000006</v>
      </c>
      <c r="E397">
        <v>2.2999999999999998</v>
      </c>
      <c r="F397">
        <v>1.8260000000000001</v>
      </c>
      <c r="H397" s="4" t="str">
        <f t="array" aca="1" ref="H397" ca="1">SUBSTITUTE(SUBSTITUTE(_xlfn.TEXTJOIN("",TRUE,IF(ISERR(MID(C397,ROW(INDIRECT("1:100")),1)+0),MID(C397,ROW(INDIRECT("1:100")),1),"")),")",""),"(","")</f>
        <v>All items less food and energy</v>
      </c>
    </row>
    <row r="398" spans="1:8" x14ac:dyDescent="0.25">
      <c r="A398">
        <v>2016</v>
      </c>
      <c r="B398">
        <v>2</v>
      </c>
      <c r="C398" t="s">
        <v>18</v>
      </c>
      <c r="H398" s="4" t="str">
        <f t="array" aca="1" ref="H398" ca="1">SUBSTITUTE(SUBSTITUTE(_xlfn.TEXTJOIN("",TRUE,IF(ISERR(MID(C398,ROW(INDIRECT("1:100")),1)+0),MID(C398,ROW(INDIRECT("1:100")),1),"")),")",""),"(","")</f>
        <v>Special aggregate indexes</v>
      </c>
    </row>
    <row r="399" spans="1:8" x14ac:dyDescent="0.25">
      <c r="A399">
        <v>2016</v>
      </c>
      <c r="B399">
        <v>2</v>
      </c>
      <c r="C399" t="s">
        <v>19</v>
      </c>
      <c r="D399">
        <v>85.966999999999999</v>
      </c>
      <c r="E399">
        <v>1</v>
      </c>
      <c r="F399">
        <v>0.89600000000000002</v>
      </c>
      <c r="H399" s="4" t="str">
        <f t="array" aca="1" ref="H399" ca="1">SUBSTITUTE(SUBSTITUTE(_xlfn.TEXTJOIN("",TRUE,IF(ISERR(MID(C399,ROW(INDIRECT("1:100")),1)+0),MID(C399,ROW(INDIRECT("1:100")),1),"")),")",""),"(","")</f>
        <v>All items less food</v>
      </c>
    </row>
    <row r="400" spans="1:8" x14ac:dyDescent="0.25">
      <c r="A400">
        <v>2016</v>
      </c>
      <c r="B400">
        <v>2</v>
      </c>
      <c r="C400" t="s">
        <v>20</v>
      </c>
      <c r="D400">
        <v>66.775000000000006</v>
      </c>
      <c r="E400">
        <v>-0.1</v>
      </c>
      <c r="F400">
        <v>-6.0999999999999999E-2</v>
      </c>
      <c r="H400" s="4" t="str">
        <f t="array" aca="1" ref="H400" ca="1">SUBSTITUTE(SUBSTITUTE(_xlfn.TEXTJOIN("",TRUE,IF(ISERR(MID(C400,ROW(INDIRECT("1:100")),1)+0),MID(C400,ROW(INDIRECT("1:100")),1),"")),")",""),"(","")</f>
        <v>All items less shelter</v>
      </c>
    </row>
    <row r="401" spans="1:8" x14ac:dyDescent="0.25">
      <c r="A401">
        <v>2016</v>
      </c>
      <c r="B401">
        <v>2</v>
      </c>
      <c r="C401" t="s">
        <v>21</v>
      </c>
      <c r="D401">
        <v>52.741999999999997</v>
      </c>
      <c r="E401">
        <v>-0.3</v>
      </c>
      <c r="F401">
        <v>-0.183</v>
      </c>
      <c r="H401" s="4" t="str">
        <f t="array" aca="1" ref="H401" ca="1">SUBSTITUTE(SUBSTITUTE(_xlfn.TEXTJOIN("",TRUE,IF(ISERR(MID(C401,ROW(INDIRECT("1:100")),1)+0),MID(C401,ROW(INDIRECT("1:100")),1),"")),")",""),"(","")</f>
        <v>All items less food and shelter</v>
      </c>
    </row>
    <row r="402" spans="1:8" x14ac:dyDescent="0.25">
      <c r="A402">
        <v>2016</v>
      </c>
      <c r="B402">
        <v>2</v>
      </c>
      <c r="C402" t="s">
        <v>22</v>
      </c>
      <c r="D402">
        <v>46.055999999999997</v>
      </c>
      <c r="E402">
        <v>1.6</v>
      </c>
      <c r="F402">
        <v>0.747</v>
      </c>
      <c r="H402" s="4" t="str">
        <f t="array" aca="1" ref="H402" ca="1">SUBSTITUTE(SUBSTITUTE(_xlfn.TEXTJOIN("",TRUE,IF(ISERR(MID(C402,ROW(INDIRECT("1:100")),1)+0),MID(C402,ROW(INDIRECT("1:100")),1),"")),")",""),"(","")</f>
        <v>All items less food, shelter, and energy</v>
      </c>
    </row>
    <row r="403" spans="1:8" x14ac:dyDescent="0.25">
      <c r="A403">
        <v>2016</v>
      </c>
      <c r="B403">
        <v>2</v>
      </c>
      <c r="C403" t="s">
        <v>23</v>
      </c>
      <c r="D403">
        <v>43.956000000000003</v>
      </c>
      <c r="E403">
        <v>1.7</v>
      </c>
      <c r="F403">
        <v>0.73399999999999999</v>
      </c>
      <c r="H403" s="4" t="str">
        <f t="array" aca="1" ref="H403" ca="1">SUBSTITUTE(SUBSTITUTE(_xlfn.TEXTJOIN("",TRUE,IF(ISERR(MID(C403,ROW(INDIRECT("1:100")),1)+0),MID(C403,ROW(INDIRECT("1:100")),1),"")),")",""),"(","")</f>
        <v>All items less food, shelter, energy, and used cars and trucks</v>
      </c>
    </row>
    <row r="404" spans="1:8" x14ac:dyDescent="0.25">
      <c r="A404">
        <v>2016</v>
      </c>
      <c r="B404">
        <v>2</v>
      </c>
      <c r="C404" t="s">
        <v>24</v>
      </c>
      <c r="D404">
        <v>91.581000000000003</v>
      </c>
      <c r="E404">
        <v>0.8</v>
      </c>
      <c r="F404">
        <v>0.73699999999999999</v>
      </c>
      <c r="H404" s="4" t="str">
        <f t="array" aca="1" ref="H404" ca="1">SUBSTITUTE(SUBSTITUTE(_xlfn.TEXTJOIN("",TRUE,IF(ISERR(MID(C404,ROW(INDIRECT("1:100")),1)+0),MID(C404,ROW(INDIRECT("1:100")),1),"")),")",""),"(","")</f>
        <v>All items less medical care</v>
      </c>
    </row>
    <row r="405" spans="1:8" x14ac:dyDescent="0.25">
      <c r="A405">
        <v>2016</v>
      </c>
      <c r="B405">
        <v>2</v>
      </c>
      <c r="C405" t="s">
        <v>25</v>
      </c>
      <c r="D405">
        <v>93.313999999999993</v>
      </c>
      <c r="E405">
        <v>2.1</v>
      </c>
      <c r="F405">
        <v>1.948</v>
      </c>
      <c r="H405" s="4" t="str">
        <f t="array" aca="1" ref="H405" ca="1">SUBSTITUTE(SUBSTITUTE(_xlfn.TEXTJOIN("",TRUE,IF(ISERR(MID(C405,ROW(INDIRECT("1:100")),1)+0),MID(C405,ROW(INDIRECT("1:100")),1),"")),")",""),"(","")</f>
        <v>All items less energy</v>
      </c>
    </row>
    <row r="406" spans="1:8" x14ac:dyDescent="0.25">
      <c r="A406">
        <v>2016</v>
      </c>
      <c r="B406">
        <v>2</v>
      </c>
      <c r="C406" t="s">
        <v>26</v>
      </c>
      <c r="D406">
        <v>36.722000000000001</v>
      </c>
      <c r="E406">
        <v>-1.6</v>
      </c>
      <c r="F406">
        <v>-0.61599999999999999</v>
      </c>
      <c r="H406" s="4" t="str">
        <f t="array" aca="1" ref="H406" ca="1">SUBSTITUTE(SUBSTITUTE(_xlfn.TEXTJOIN("",TRUE,IF(ISERR(MID(C406,ROW(INDIRECT("1:100")),1)+0),MID(C406,ROW(INDIRECT("1:100")),1),"")),")",""),"(","")</f>
        <v>Commodities</v>
      </c>
    </row>
    <row r="407" spans="1:8" x14ac:dyDescent="0.25">
      <c r="A407">
        <v>2016</v>
      </c>
      <c r="B407">
        <v>2</v>
      </c>
      <c r="C407" t="s">
        <v>27</v>
      </c>
      <c r="D407">
        <v>63.277999999999999</v>
      </c>
      <c r="E407">
        <v>2.6</v>
      </c>
      <c r="F407">
        <v>1.6339999999999999</v>
      </c>
      <c r="H407" s="4" t="str">
        <f t="array" aca="1" ref="H407" ca="1">SUBSTITUTE(SUBSTITUTE(_xlfn.TEXTJOIN("",TRUE,IF(ISERR(MID(C407,ROW(INDIRECT("1:100")),1)+0),MID(C407,ROW(INDIRECT("1:100")),1),"")),")",""),"(","")</f>
        <v>Services</v>
      </c>
    </row>
    <row r="408" spans="1:8" x14ac:dyDescent="0.25">
      <c r="A408">
        <v>2016</v>
      </c>
      <c r="B408">
        <v>2</v>
      </c>
      <c r="C408" t="s">
        <v>28</v>
      </c>
      <c r="D408">
        <v>9.6539999999999999</v>
      </c>
      <c r="E408">
        <v>-0.7</v>
      </c>
      <c r="F408">
        <v>-6.2E-2</v>
      </c>
      <c r="H408" s="4" t="str">
        <f t="array" aca="1" ref="H408" ca="1">SUBSTITUTE(SUBSTITUTE(_xlfn.TEXTJOIN("",TRUE,IF(ISERR(MID(C408,ROW(INDIRECT("1:100")),1)+0),MID(C408,ROW(INDIRECT("1:100")),1),"")),")",""),"(","")</f>
        <v>Durables</v>
      </c>
    </row>
    <row r="409" spans="1:8" x14ac:dyDescent="0.25">
      <c r="A409">
        <v>2016</v>
      </c>
      <c r="B409">
        <v>2</v>
      </c>
      <c r="C409" t="s">
        <v>29</v>
      </c>
      <c r="D409">
        <v>27.067</v>
      </c>
      <c r="E409">
        <v>-2</v>
      </c>
      <c r="F409">
        <v>-0.55400000000000005</v>
      </c>
      <c r="H409" s="4" t="str">
        <f t="array" aca="1" ref="H409" ca="1">SUBSTITUTE(SUBSTITUTE(_xlfn.TEXTJOIN("",TRUE,IF(ISERR(MID(C409,ROW(INDIRECT("1:100")),1)+0),MID(C409,ROW(INDIRECT("1:100")),1),"")),")",""),"(","")</f>
        <v>Nondurables</v>
      </c>
    </row>
    <row r="410" spans="1:8" x14ac:dyDescent="0.25">
      <c r="A410">
        <v>2016</v>
      </c>
      <c r="B410">
        <v>2</v>
      </c>
      <c r="C410" t="s">
        <v>8</v>
      </c>
      <c r="D410">
        <v>42.325000000000003</v>
      </c>
      <c r="E410">
        <v>2.1</v>
      </c>
      <c r="F410">
        <v>0.89600000000000002</v>
      </c>
      <c r="H410" s="4" t="str">
        <f t="array" aca="1" ref="H410" ca="1">SUBSTITUTE(SUBSTITUTE(_xlfn.TEXTJOIN("",TRUE,IF(ISERR(MID(C410,ROW(INDIRECT("1:100")),1)+0),MID(C410,ROW(INDIRECT("1:100")),1),"")),")",""),"(","")</f>
        <v>Housing</v>
      </c>
    </row>
    <row r="411" spans="1:8" x14ac:dyDescent="0.25">
      <c r="A411">
        <v>2016</v>
      </c>
      <c r="B411">
        <v>2</v>
      </c>
      <c r="C411" t="s">
        <v>30</v>
      </c>
      <c r="D411">
        <v>7.1379999999999999</v>
      </c>
      <c r="E411">
        <v>1.2</v>
      </c>
      <c r="F411">
        <v>8.5999999999999993E-2</v>
      </c>
      <c r="H411" s="4" t="str">
        <f t="array" aca="1" ref="H411" ca="1">SUBSTITUTE(SUBSTITUTE(_xlfn.TEXTJOIN("",TRUE,IF(ISERR(MID(C411,ROW(INDIRECT("1:100")),1)+0),MID(C411,ROW(INDIRECT("1:100")),1),"")),")",""),"(","")</f>
        <v>Education and communication</v>
      </c>
    </row>
    <row r="412" spans="1:8" x14ac:dyDescent="0.25">
      <c r="A412">
        <v>2016</v>
      </c>
      <c r="B412">
        <v>2</v>
      </c>
      <c r="C412" t="s">
        <v>31</v>
      </c>
      <c r="D412">
        <v>5.7460000000000004</v>
      </c>
      <c r="E412">
        <v>0.9</v>
      </c>
      <c r="F412">
        <v>5.1999999999999998E-2</v>
      </c>
      <c r="H412" s="4" t="str">
        <f t="array" aca="1" ref="H412" ca="1">SUBSTITUTE(SUBSTITUTE(_xlfn.TEXTJOIN("",TRUE,IF(ISERR(MID(C412,ROW(INDIRECT("1:100")),1)+0),MID(C412,ROW(INDIRECT("1:100")),1),"")),")",""),"(","")</f>
        <v>Recreation</v>
      </c>
    </row>
    <row r="413" spans="1:8" x14ac:dyDescent="0.25">
      <c r="A413">
        <v>2016</v>
      </c>
      <c r="B413">
        <v>2</v>
      </c>
      <c r="C413" t="s">
        <v>6</v>
      </c>
      <c r="D413">
        <v>14.994999999999999</v>
      </c>
      <c r="E413">
        <v>0.9</v>
      </c>
      <c r="F413">
        <v>0.13500000000000001</v>
      </c>
      <c r="H413" s="4" t="str">
        <f t="array" aca="1" ref="H413" ca="1">SUBSTITUTE(SUBSTITUTE(_xlfn.TEXTJOIN("",TRUE,IF(ISERR(MID(C413,ROW(INDIRECT("1:100")),1)+0),MID(C413,ROW(INDIRECT("1:100")),1),"")),")",""),"(","")</f>
        <v>Food and beverages</v>
      </c>
    </row>
    <row r="414" spans="1:8" x14ac:dyDescent="0.25">
      <c r="A414">
        <v>2016</v>
      </c>
      <c r="B414">
        <v>2</v>
      </c>
      <c r="C414" t="s">
        <v>32</v>
      </c>
      <c r="D414">
        <v>11.962999999999999</v>
      </c>
      <c r="E414">
        <v>2.2000000000000002</v>
      </c>
      <c r="F414">
        <v>0.26700000000000002</v>
      </c>
      <c r="H414" s="4" t="str">
        <f t="array" aca="1" ref="H414" ca="1">SUBSTITUTE(SUBSTITUTE(_xlfn.TEXTJOIN("",TRUE,IF(ISERR(MID(C414,ROW(INDIRECT("1:100")),1)+0),MID(C414,ROW(INDIRECT("1:100")),1),"")),")",""),"(","")</f>
        <v>Other services</v>
      </c>
    </row>
    <row r="415" spans="1:8" x14ac:dyDescent="0.25">
      <c r="A415">
        <v>2016</v>
      </c>
      <c r="B415">
        <v>2</v>
      </c>
      <c r="C415" t="s">
        <v>33</v>
      </c>
      <c r="D415">
        <v>2.3809999999999998</v>
      </c>
      <c r="E415">
        <v>0.6</v>
      </c>
      <c r="F415">
        <v>1.2999999999999999E-2</v>
      </c>
      <c r="H415" s="4" t="str">
        <f t="array" aca="1" ref="H415" ca="1">SUBSTITUTE(SUBSTITUTE(_xlfn.TEXTJOIN("",TRUE,IF(ISERR(MID(C415,ROW(INDIRECT("1:100")),1)+0),MID(C415,ROW(INDIRECT("1:100")),1),"")),")",""),"(","")</f>
        <v>Apparel less footwear</v>
      </c>
    </row>
    <row r="416" spans="1:8" x14ac:dyDescent="0.25">
      <c r="A416">
        <v>2016</v>
      </c>
      <c r="B416">
        <v>2</v>
      </c>
      <c r="C416" t="s">
        <v>34</v>
      </c>
      <c r="D416">
        <v>4.9390000000000001</v>
      </c>
      <c r="E416">
        <v>-3.4</v>
      </c>
      <c r="F416">
        <v>-0.17899999999999999</v>
      </c>
      <c r="H416" s="4" t="str">
        <f t="array" aca="1" ref="H416" ca="1">SUBSTITUTE(SUBSTITUTE(_xlfn.TEXTJOIN("",TRUE,IF(ISERR(MID(C416,ROW(INDIRECT("1:100")),1)+0),MID(C416,ROW(INDIRECT("1:100")),1),"")),")",""),"(","")</f>
        <v>Fuels and utilities</v>
      </c>
    </row>
    <row r="417" spans="1:8" x14ac:dyDescent="0.25">
      <c r="A417">
        <v>2016</v>
      </c>
      <c r="B417">
        <v>2</v>
      </c>
      <c r="C417" t="s">
        <v>11</v>
      </c>
      <c r="D417">
        <v>8.4190000000000005</v>
      </c>
      <c r="E417">
        <v>3.5</v>
      </c>
      <c r="F417">
        <v>0.28100000000000003</v>
      </c>
      <c r="H417" s="4" t="str">
        <f t="array" aca="1" ref="H417" ca="1">SUBSTITUTE(SUBSTITUTE(_xlfn.TEXTJOIN("",TRUE,IF(ISERR(MID(C417,ROW(INDIRECT("1:100")),1)+0),MID(C417,ROW(INDIRECT("1:100")),1),"")),")",""),"(","")</f>
        <v>Medical care</v>
      </c>
    </row>
    <row r="418" spans="1:8" x14ac:dyDescent="0.25">
      <c r="A418">
        <v>2016</v>
      </c>
      <c r="B418">
        <v>2</v>
      </c>
      <c r="C418" t="s">
        <v>7</v>
      </c>
      <c r="D418">
        <v>15.125999999999999</v>
      </c>
      <c r="E418">
        <v>-3.4</v>
      </c>
      <c r="F418">
        <v>-0.52100000000000002</v>
      </c>
      <c r="H418" s="4" t="str">
        <f t="array" aca="1" ref="H418" ca="1">SUBSTITUTE(SUBSTITUTE(_xlfn.TEXTJOIN("",TRUE,IF(ISERR(MID(C418,ROW(INDIRECT("1:100")),1)+0),MID(C418,ROW(INDIRECT("1:100")),1),"")),")",""),"(","")</f>
        <v>Transportation</v>
      </c>
    </row>
    <row r="419" spans="1:8" x14ac:dyDescent="0.25">
      <c r="A419">
        <v>2016</v>
      </c>
      <c r="B419">
        <v>2</v>
      </c>
      <c r="C419" t="s">
        <v>35</v>
      </c>
      <c r="D419">
        <v>9.9809999999999999</v>
      </c>
      <c r="E419">
        <v>-0.8</v>
      </c>
      <c r="F419">
        <v>-8.5000000000000006E-2</v>
      </c>
      <c r="H419" s="4" t="str">
        <f t="array" aca="1" ref="H419" ca="1">SUBSTITUTE(SUBSTITUTE(_xlfn.TEXTJOIN("",TRUE,IF(ISERR(MID(C419,ROW(INDIRECT("1:100")),1)+0),MID(C419,ROW(INDIRECT("1:100")),1),"")),")",""),"(","")</f>
        <v>Utilities and public transportation</v>
      </c>
    </row>
    <row r="420" spans="1:8" x14ac:dyDescent="0.25">
      <c r="A420">
        <v>2016</v>
      </c>
      <c r="B420">
        <v>2</v>
      </c>
      <c r="C420" t="s">
        <v>36</v>
      </c>
      <c r="D420">
        <v>4.1609999999999996</v>
      </c>
      <c r="E420">
        <v>-0.1</v>
      </c>
      <c r="F420">
        <v>-4.0000000000000001E-3</v>
      </c>
      <c r="H420" s="4" t="str">
        <f t="array" aca="1" ref="H420" ca="1">SUBSTITUTE(SUBSTITUTE(_xlfn.TEXTJOIN("",TRUE,IF(ISERR(MID(C420,ROW(INDIRECT("1:100")),1)+0),MID(C420,ROW(INDIRECT("1:100")),1),"")),")",""),"(","")</f>
        <v>Household furnishings and operations</v>
      </c>
    </row>
    <row r="421" spans="1:8" x14ac:dyDescent="0.25">
      <c r="A421">
        <v>2016</v>
      </c>
      <c r="B421">
        <v>2</v>
      </c>
      <c r="C421" t="s">
        <v>12</v>
      </c>
      <c r="D421">
        <v>3.177</v>
      </c>
      <c r="E421">
        <v>1.9</v>
      </c>
      <c r="F421">
        <v>6.4000000000000001E-2</v>
      </c>
      <c r="H421" s="4" t="str">
        <f t="array" aca="1" ref="H421" ca="1">SUBSTITUTE(SUBSTITUTE(_xlfn.TEXTJOIN("",TRUE,IF(ISERR(MID(C421,ROW(INDIRECT("1:100")),1)+0),MID(C421,ROW(INDIRECT("1:100")),1),"")),")",""),"(","")</f>
        <v>Other goods and services</v>
      </c>
    </row>
    <row r="422" spans="1:8" x14ac:dyDescent="0.25">
      <c r="A422">
        <v>2016</v>
      </c>
      <c r="B422">
        <v>3</v>
      </c>
      <c r="C422" t="s">
        <v>14</v>
      </c>
      <c r="D422">
        <v>100</v>
      </c>
      <c r="E422">
        <v>0.9</v>
      </c>
      <c r="H422" s="4" t="str">
        <f t="array" aca="1" ref="H422" ca="1">SUBSTITUTE(SUBSTITUTE(_xlfn.TEXTJOIN("",TRUE,IF(ISERR(MID(C422,ROW(INDIRECT("1:100")),1)+0),MID(C422,ROW(INDIRECT("1:100")),1),"")),")",""),"(","")</f>
        <v>All items</v>
      </c>
    </row>
    <row r="423" spans="1:8" x14ac:dyDescent="0.25">
      <c r="A423">
        <v>2016</v>
      </c>
      <c r="B423">
        <v>3</v>
      </c>
      <c r="C423" t="s">
        <v>15</v>
      </c>
      <c r="D423">
        <v>14.031000000000001</v>
      </c>
      <c r="E423">
        <v>0.8</v>
      </c>
      <c r="F423">
        <v>0.111</v>
      </c>
      <c r="H423" s="4" t="str">
        <f t="array" aca="1" ref="H423" ca="1">SUBSTITUTE(SUBSTITUTE(_xlfn.TEXTJOIN("",TRUE,IF(ISERR(MID(C423,ROW(INDIRECT("1:100")),1)+0),MID(C423,ROW(INDIRECT("1:100")),1),"")),")",""),"(","")</f>
        <v>Food</v>
      </c>
    </row>
    <row r="424" spans="1:8" x14ac:dyDescent="0.25">
      <c r="A424">
        <v>2016</v>
      </c>
      <c r="B424">
        <v>3</v>
      </c>
      <c r="C424" t="s">
        <v>16</v>
      </c>
      <c r="D424">
        <v>6.3789999999999996</v>
      </c>
      <c r="E424">
        <v>-12.6</v>
      </c>
      <c r="F424">
        <v>-0.97499999999999998</v>
      </c>
      <c r="H424" s="4" t="str">
        <f t="array" aca="1" ref="H424" ca="1">SUBSTITUTE(SUBSTITUTE(_xlfn.TEXTJOIN("",TRUE,IF(ISERR(MID(C424,ROW(INDIRECT("1:100")),1)+0),MID(C424,ROW(INDIRECT("1:100")),1),"")),")",""),"(","")</f>
        <v>Energy</v>
      </c>
    </row>
    <row r="425" spans="1:8" x14ac:dyDescent="0.25">
      <c r="A425">
        <v>2016</v>
      </c>
      <c r="B425">
        <v>3</v>
      </c>
      <c r="C425" t="s">
        <v>17</v>
      </c>
      <c r="D425">
        <v>79.588999999999999</v>
      </c>
      <c r="E425">
        <v>2.2000000000000002</v>
      </c>
      <c r="F425">
        <v>1.7170000000000001</v>
      </c>
      <c r="H425" s="4" t="str">
        <f t="array" aca="1" ref="H425" ca="1">SUBSTITUTE(SUBSTITUTE(_xlfn.TEXTJOIN("",TRUE,IF(ISERR(MID(C425,ROW(INDIRECT("1:100")),1)+0),MID(C425,ROW(INDIRECT("1:100")),1),"")),")",""),"(","")</f>
        <v>All items less food and energy</v>
      </c>
    </row>
    <row r="426" spans="1:8" x14ac:dyDescent="0.25">
      <c r="A426">
        <v>2016</v>
      </c>
      <c r="B426">
        <v>3</v>
      </c>
      <c r="C426" t="s">
        <v>18</v>
      </c>
      <c r="H426" s="4" t="str">
        <f t="array" aca="1" ref="H426" ca="1">SUBSTITUTE(SUBSTITUTE(_xlfn.TEXTJOIN("",TRUE,IF(ISERR(MID(C426,ROW(INDIRECT("1:100")),1)+0),MID(C426,ROW(INDIRECT("1:100")),1),"")),")",""),"(","")</f>
        <v>Special aggregate indexes</v>
      </c>
    </row>
    <row r="427" spans="1:8" x14ac:dyDescent="0.25">
      <c r="A427">
        <v>2016</v>
      </c>
      <c r="B427">
        <v>3</v>
      </c>
      <c r="C427" t="s">
        <v>19</v>
      </c>
      <c r="D427">
        <v>85.968999999999994</v>
      </c>
      <c r="E427">
        <v>0.9</v>
      </c>
      <c r="F427">
        <v>0.74199999999999999</v>
      </c>
      <c r="H427" s="4" t="str">
        <f t="array" aca="1" ref="H427" ca="1">SUBSTITUTE(SUBSTITUTE(_xlfn.TEXTJOIN("",TRUE,IF(ISERR(MID(C427,ROW(INDIRECT("1:100")),1)+0),MID(C427,ROW(INDIRECT("1:100")),1),"")),")",""),"(","")</f>
        <v>All items less food</v>
      </c>
    </row>
    <row r="428" spans="1:8" x14ac:dyDescent="0.25">
      <c r="A428">
        <v>2016</v>
      </c>
      <c r="B428">
        <v>3</v>
      </c>
      <c r="C428" t="s">
        <v>20</v>
      </c>
      <c r="D428">
        <v>66.691999999999993</v>
      </c>
      <c r="E428">
        <v>-0.3</v>
      </c>
      <c r="F428">
        <v>-0.19400000000000001</v>
      </c>
      <c r="H428" s="4" t="str">
        <f t="array" aca="1" ref="H428" ca="1">SUBSTITUTE(SUBSTITUTE(_xlfn.TEXTJOIN("",TRUE,IF(ISERR(MID(C428,ROW(INDIRECT("1:100")),1)+0),MID(C428,ROW(INDIRECT("1:100")),1),"")),")",""),"(","")</f>
        <v>All items less shelter</v>
      </c>
    </row>
    <row r="429" spans="1:8" x14ac:dyDescent="0.25">
      <c r="A429">
        <v>2016</v>
      </c>
      <c r="B429">
        <v>3</v>
      </c>
      <c r="C429" t="s">
        <v>21</v>
      </c>
      <c r="D429">
        <v>52.661000000000001</v>
      </c>
      <c r="E429">
        <v>-0.6</v>
      </c>
      <c r="F429">
        <v>-0.30499999999999999</v>
      </c>
      <c r="H429" s="4" t="str">
        <f t="array" aca="1" ref="H429" ca="1">SUBSTITUTE(SUBSTITUTE(_xlfn.TEXTJOIN("",TRUE,IF(ISERR(MID(C429,ROW(INDIRECT("1:100")),1)+0),MID(C429,ROW(INDIRECT("1:100")),1),"")),")",""),"(","")</f>
        <v>All items less food and shelter</v>
      </c>
    </row>
    <row r="430" spans="1:8" x14ac:dyDescent="0.25">
      <c r="A430">
        <v>2016</v>
      </c>
      <c r="B430">
        <v>3</v>
      </c>
      <c r="C430" t="s">
        <v>22</v>
      </c>
      <c r="D430">
        <v>46.281999999999996</v>
      </c>
      <c r="E430">
        <v>1.5</v>
      </c>
      <c r="F430">
        <v>0.67</v>
      </c>
      <c r="H430" s="4" t="str">
        <f t="array" aca="1" ref="H430" ca="1">SUBSTITUTE(SUBSTITUTE(_xlfn.TEXTJOIN("",TRUE,IF(ISERR(MID(C430,ROW(INDIRECT("1:100")),1)+0),MID(C430,ROW(INDIRECT("1:100")),1),"")),")",""),"(","")</f>
        <v>All items less food, shelter, and energy</v>
      </c>
    </row>
    <row r="431" spans="1:8" x14ac:dyDescent="0.25">
      <c r="A431">
        <v>2016</v>
      </c>
      <c r="B431">
        <v>3</v>
      </c>
      <c r="C431" t="s">
        <v>23</v>
      </c>
      <c r="D431">
        <v>44.162999999999997</v>
      </c>
      <c r="E431">
        <v>1.5</v>
      </c>
      <c r="F431">
        <v>0.66600000000000004</v>
      </c>
      <c r="H431" s="4" t="str">
        <f t="array" aca="1" ref="H431" ca="1">SUBSTITUTE(SUBSTITUTE(_xlfn.TEXTJOIN("",TRUE,IF(ISERR(MID(C431,ROW(INDIRECT("1:100")),1)+0),MID(C431,ROW(INDIRECT("1:100")),1),"")),")",""),"(","")</f>
        <v>All items less food, shelter, energy, and used cars and trucks</v>
      </c>
    </row>
    <row r="432" spans="1:8" x14ac:dyDescent="0.25">
      <c r="A432">
        <v>2016</v>
      </c>
      <c r="B432">
        <v>3</v>
      </c>
      <c r="C432" t="s">
        <v>24</v>
      </c>
      <c r="D432">
        <v>91.512</v>
      </c>
      <c r="E432">
        <v>0.6</v>
      </c>
      <c r="F432">
        <v>0.58899999999999997</v>
      </c>
      <c r="H432" s="4" t="str">
        <f t="array" aca="1" ref="H432" ca="1">SUBSTITUTE(SUBSTITUTE(_xlfn.TEXTJOIN("",TRUE,IF(ISERR(MID(C432,ROW(INDIRECT("1:100")),1)+0),MID(C432,ROW(INDIRECT("1:100")),1),"")),")",""),"(","")</f>
        <v>All items less medical care</v>
      </c>
    </row>
    <row r="433" spans="1:8" x14ac:dyDescent="0.25">
      <c r="A433">
        <v>2016</v>
      </c>
      <c r="B433">
        <v>3</v>
      </c>
      <c r="C433" t="s">
        <v>25</v>
      </c>
      <c r="D433">
        <v>93.620999999999995</v>
      </c>
      <c r="E433">
        <v>2</v>
      </c>
      <c r="F433">
        <v>1.8280000000000001</v>
      </c>
      <c r="H433" s="4" t="str">
        <f t="array" aca="1" ref="H433" ca="1">SUBSTITUTE(SUBSTITUTE(_xlfn.TEXTJOIN("",TRUE,IF(ISERR(MID(C433,ROW(INDIRECT("1:100")),1)+0),MID(C433,ROW(INDIRECT("1:100")),1),"")),")",""),"(","")</f>
        <v>All items less energy</v>
      </c>
    </row>
    <row r="434" spans="1:8" x14ac:dyDescent="0.25">
      <c r="A434">
        <v>2016</v>
      </c>
      <c r="B434">
        <v>3</v>
      </c>
      <c r="C434" t="s">
        <v>26</v>
      </c>
      <c r="D434">
        <v>36.564999999999998</v>
      </c>
      <c r="E434">
        <v>-2.1</v>
      </c>
      <c r="F434">
        <v>-0.80300000000000005</v>
      </c>
      <c r="H434" s="4" t="str">
        <f t="array" aca="1" ref="H434" ca="1">SUBSTITUTE(SUBSTITUTE(_xlfn.TEXTJOIN("",TRUE,IF(ISERR(MID(C434,ROW(INDIRECT("1:100")),1)+0),MID(C434,ROW(INDIRECT("1:100")),1),"")),")",""),"(","")</f>
        <v>Commodities</v>
      </c>
    </row>
    <row r="435" spans="1:8" x14ac:dyDescent="0.25">
      <c r="A435">
        <v>2016</v>
      </c>
      <c r="B435">
        <v>3</v>
      </c>
      <c r="C435" t="s">
        <v>27</v>
      </c>
      <c r="D435">
        <v>63.435000000000002</v>
      </c>
      <c r="E435">
        <v>2.7</v>
      </c>
      <c r="F435">
        <v>1.6559999999999999</v>
      </c>
      <c r="H435" s="4" t="str">
        <f t="array" aca="1" ref="H435" ca="1">SUBSTITUTE(SUBSTITUTE(_xlfn.TEXTJOIN("",TRUE,IF(ISERR(MID(C435,ROW(INDIRECT("1:100")),1)+0),MID(C435,ROW(INDIRECT("1:100")),1),"")),")",""),"(","")</f>
        <v>Services</v>
      </c>
    </row>
    <row r="436" spans="1:8" x14ac:dyDescent="0.25">
      <c r="A436">
        <v>2016</v>
      </c>
      <c r="B436">
        <v>3</v>
      </c>
      <c r="C436" t="s">
        <v>28</v>
      </c>
      <c r="D436">
        <v>9.6809999999999992</v>
      </c>
      <c r="E436">
        <v>-1</v>
      </c>
      <c r="F436">
        <v>-0.08</v>
      </c>
      <c r="H436" s="4" t="str">
        <f t="array" aca="1" ref="H436" ca="1">SUBSTITUTE(SUBSTITUTE(_xlfn.TEXTJOIN("",TRUE,IF(ISERR(MID(C436,ROW(INDIRECT("1:100")),1)+0),MID(C436,ROW(INDIRECT("1:100")),1),"")),")",""),"(","")</f>
        <v>Durables</v>
      </c>
    </row>
    <row r="437" spans="1:8" x14ac:dyDescent="0.25">
      <c r="A437">
        <v>2016</v>
      </c>
      <c r="B437">
        <v>3</v>
      </c>
      <c r="C437" t="s">
        <v>29</v>
      </c>
      <c r="D437">
        <v>26.884</v>
      </c>
      <c r="E437">
        <v>-2.5</v>
      </c>
      <c r="F437">
        <v>-0.72399999999999998</v>
      </c>
      <c r="H437" s="4" t="str">
        <f t="array" aca="1" ref="H437" ca="1">SUBSTITUTE(SUBSTITUTE(_xlfn.TEXTJOIN("",TRUE,IF(ISERR(MID(C437,ROW(INDIRECT("1:100")),1)+0),MID(C437,ROW(INDIRECT("1:100")),1),"")),")",""),"(","")</f>
        <v>Nondurables</v>
      </c>
    </row>
    <row r="438" spans="1:8" x14ac:dyDescent="0.25">
      <c r="A438">
        <v>2016</v>
      </c>
      <c r="B438">
        <v>3</v>
      </c>
      <c r="C438" t="s">
        <v>8</v>
      </c>
      <c r="D438">
        <v>42.393999999999998</v>
      </c>
      <c r="E438">
        <v>2.1</v>
      </c>
      <c r="F438">
        <v>0.89800000000000002</v>
      </c>
      <c r="H438" s="4" t="str">
        <f t="array" aca="1" ref="H438" ca="1">SUBSTITUTE(SUBSTITUTE(_xlfn.TEXTJOIN("",TRUE,IF(ISERR(MID(C438,ROW(INDIRECT("1:100")),1)+0),MID(C438,ROW(INDIRECT("1:100")),1),"")),")",""),"(","")</f>
        <v>Housing</v>
      </c>
    </row>
    <row r="439" spans="1:8" x14ac:dyDescent="0.25">
      <c r="A439">
        <v>2016</v>
      </c>
      <c r="B439">
        <v>3</v>
      </c>
      <c r="C439" t="s">
        <v>30</v>
      </c>
      <c r="D439">
        <v>7.12</v>
      </c>
      <c r="E439">
        <v>1.2</v>
      </c>
      <c r="F439">
        <v>8.7999999999999995E-2</v>
      </c>
      <c r="H439" s="4" t="str">
        <f t="array" aca="1" ref="H439" ca="1">SUBSTITUTE(SUBSTITUTE(_xlfn.TEXTJOIN("",TRUE,IF(ISERR(MID(C439,ROW(INDIRECT("1:100")),1)+0),MID(C439,ROW(INDIRECT("1:100")),1),"")),")",""),"(","")</f>
        <v>Education and communication</v>
      </c>
    </row>
    <row r="440" spans="1:8" x14ac:dyDescent="0.25">
      <c r="A440">
        <v>2016</v>
      </c>
      <c r="B440">
        <v>3</v>
      </c>
      <c r="C440" t="s">
        <v>31</v>
      </c>
      <c r="D440">
        <v>5.77</v>
      </c>
      <c r="E440">
        <v>1.1000000000000001</v>
      </c>
      <c r="F440">
        <v>6.0999999999999999E-2</v>
      </c>
      <c r="H440" s="4" t="str">
        <f t="array" aca="1" ref="H440" ca="1">SUBSTITUTE(SUBSTITUTE(_xlfn.TEXTJOIN("",TRUE,IF(ISERR(MID(C440,ROW(INDIRECT("1:100")),1)+0),MID(C440,ROW(INDIRECT("1:100")),1),"")),")",""),"(","")</f>
        <v>Recreation</v>
      </c>
    </row>
    <row r="441" spans="1:8" x14ac:dyDescent="0.25">
      <c r="A441">
        <v>2016</v>
      </c>
      <c r="B441">
        <v>3</v>
      </c>
      <c r="C441" t="s">
        <v>6</v>
      </c>
      <c r="D441">
        <v>14.996</v>
      </c>
      <c r="E441">
        <v>0.8</v>
      </c>
      <c r="F441">
        <v>0.123</v>
      </c>
      <c r="H441" s="4" t="str">
        <f t="array" aca="1" ref="H441" ca="1">SUBSTITUTE(SUBSTITUTE(_xlfn.TEXTJOIN("",TRUE,IF(ISERR(MID(C441,ROW(INDIRECT("1:100")),1)+0),MID(C441,ROW(INDIRECT("1:100")),1),"")),")",""),"(","")</f>
        <v>Food and beverages</v>
      </c>
    </row>
    <row r="442" spans="1:8" x14ac:dyDescent="0.25">
      <c r="A442">
        <v>2016</v>
      </c>
      <c r="B442">
        <v>3</v>
      </c>
      <c r="C442" t="s">
        <v>32</v>
      </c>
      <c r="D442">
        <v>11.978</v>
      </c>
      <c r="E442">
        <v>2.4</v>
      </c>
      <c r="F442">
        <v>0.28199999999999997</v>
      </c>
      <c r="H442" s="4" t="str">
        <f t="array" aca="1" ref="H442" ca="1">SUBSTITUTE(SUBSTITUTE(_xlfn.TEXTJOIN("",TRUE,IF(ISERR(MID(C442,ROW(INDIRECT("1:100")),1)+0),MID(C442,ROW(INDIRECT("1:100")),1),"")),")",""),"(","")</f>
        <v>Other services</v>
      </c>
    </row>
    <row r="443" spans="1:8" x14ac:dyDescent="0.25">
      <c r="A443">
        <v>2016</v>
      </c>
      <c r="B443">
        <v>3</v>
      </c>
      <c r="C443" t="s">
        <v>33</v>
      </c>
      <c r="D443">
        <v>2.4580000000000002</v>
      </c>
      <c r="E443">
        <v>-0.9</v>
      </c>
      <c r="F443">
        <v>-3.2000000000000001E-2</v>
      </c>
      <c r="H443" s="4" t="str">
        <f t="array" aca="1" ref="H443" ca="1">SUBSTITUTE(SUBSTITUTE(_xlfn.TEXTJOIN("",TRUE,IF(ISERR(MID(C443,ROW(INDIRECT("1:100")),1)+0),MID(C443,ROW(INDIRECT("1:100")),1),"")),")",""),"(","")</f>
        <v>Apparel less footwear</v>
      </c>
    </row>
    <row r="444" spans="1:8" x14ac:dyDescent="0.25">
      <c r="A444">
        <v>2016</v>
      </c>
      <c r="B444">
        <v>3</v>
      </c>
      <c r="C444" t="s">
        <v>34</v>
      </c>
      <c r="D444">
        <v>4.9249999999999998</v>
      </c>
      <c r="E444">
        <v>-2.6</v>
      </c>
      <c r="F444">
        <v>-0.13400000000000001</v>
      </c>
      <c r="H444" s="4" t="str">
        <f t="array" aca="1" ref="H444" ca="1">SUBSTITUTE(SUBSTITUTE(_xlfn.TEXTJOIN("",TRUE,IF(ISERR(MID(C444,ROW(INDIRECT("1:100")),1)+0),MID(C444,ROW(INDIRECT("1:100")),1),"")),")",""),"(","")</f>
        <v>Fuels and utilities</v>
      </c>
    </row>
    <row r="445" spans="1:8" x14ac:dyDescent="0.25">
      <c r="A445">
        <v>2016</v>
      </c>
      <c r="B445">
        <v>3</v>
      </c>
      <c r="C445" t="s">
        <v>11</v>
      </c>
      <c r="D445">
        <v>8.4879999999999995</v>
      </c>
      <c r="E445">
        <v>3.3</v>
      </c>
      <c r="F445">
        <v>0.26300000000000001</v>
      </c>
      <c r="H445" s="4" t="str">
        <f t="array" aca="1" ref="H445" ca="1">SUBSTITUTE(SUBSTITUTE(_xlfn.TEXTJOIN("",TRUE,IF(ISERR(MID(C445,ROW(INDIRECT("1:100")),1)+0),MID(C445,ROW(INDIRECT("1:100")),1),"")),")",""),"(","")</f>
        <v>Medical care</v>
      </c>
    </row>
    <row r="446" spans="1:8" x14ac:dyDescent="0.25">
      <c r="A446">
        <v>2016</v>
      </c>
      <c r="B446">
        <v>3</v>
      </c>
      <c r="C446" t="s">
        <v>7</v>
      </c>
      <c r="D446">
        <v>14.888999999999999</v>
      </c>
      <c r="E446">
        <v>-4.0999999999999996</v>
      </c>
      <c r="F446">
        <v>-0.61799999999999999</v>
      </c>
      <c r="H446" s="4" t="str">
        <f t="array" aca="1" ref="H446" ca="1">SUBSTITUTE(SUBSTITUTE(_xlfn.TEXTJOIN("",TRUE,IF(ISERR(MID(C446,ROW(INDIRECT("1:100")),1)+0),MID(C446,ROW(INDIRECT("1:100")),1),"")),")",""),"(","")</f>
        <v>Transportation</v>
      </c>
    </row>
    <row r="447" spans="1:8" x14ac:dyDescent="0.25">
      <c r="A447">
        <v>2016</v>
      </c>
      <c r="B447">
        <v>3</v>
      </c>
      <c r="C447" t="s">
        <v>35</v>
      </c>
      <c r="D447">
        <v>9.9830000000000005</v>
      </c>
      <c r="E447">
        <v>-0.1</v>
      </c>
      <c r="F447">
        <v>-7.0000000000000001E-3</v>
      </c>
      <c r="H447" s="4" t="str">
        <f t="array" aca="1" ref="H447" ca="1">SUBSTITUTE(SUBSTITUTE(_xlfn.TEXTJOIN("",TRUE,IF(ISERR(MID(C447,ROW(INDIRECT("1:100")),1)+0),MID(C447,ROW(INDIRECT("1:100")),1),"")),")",""),"(","")</f>
        <v>Utilities and public transportation</v>
      </c>
    </row>
    <row r="448" spans="1:8" x14ac:dyDescent="0.25">
      <c r="A448">
        <v>2016</v>
      </c>
      <c r="B448">
        <v>3</v>
      </c>
      <c r="C448" t="s">
        <v>36</v>
      </c>
      <c r="D448">
        <v>4.1619999999999999</v>
      </c>
      <c r="E448">
        <v>-0.3</v>
      </c>
      <c r="F448">
        <v>-1.4E-2</v>
      </c>
      <c r="H448" s="4" t="str">
        <f t="array" aca="1" ref="H448" ca="1">SUBSTITUTE(SUBSTITUTE(_xlfn.TEXTJOIN("",TRUE,IF(ISERR(MID(C448,ROW(INDIRECT("1:100")),1)+0),MID(C448,ROW(INDIRECT("1:100")),1),"")),")",""),"(","")</f>
        <v>Household furnishings and operations</v>
      </c>
    </row>
    <row r="449" spans="1:8" x14ac:dyDescent="0.25">
      <c r="A449">
        <v>2016</v>
      </c>
      <c r="B449">
        <v>3</v>
      </c>
      <c r="C449" t="s">
        <v>12</v>
      </c>
      <c r="D449">
        <v>3.1789999999999998</v>
      </c>
      <c r="E449">
        <v>2</v>
      </c>
      <c r="F449">
        <v>6.6000000000000003E-2</v>
      </c>
      <c r="H449" s="4" t="str">
        <f t="array" aca="1" ref="H449" ca="1">SUBSTITUTE(SUBSTITUTE(_xlfn.TEXTJOIN("",TRUE,IF(ISERR(MID(C449,ROW(INDIRECT("1:100")),1)+0),MID(C449,ROW(INDIRECT("1:100")),1),"")),")",""),"(","")</f>
        <v>Other goods and services</v>
      </c>
    </row>
    <row r="450" spans="1:8" x14ac:dyDescent="0.25">
      <c r="A450">
        <v>2016</v>
      </c>
      <c r="B450">
        <v>4</v>
      </c>
      <c r="C450" t="s">
        <v>14</v>
      </c>
      <c r="D450">
        <v>100</v>
      </c>
      <c r="E450">
        <v>1.1000000000000001</v>
      </c>
      <c r="H450" s="4" t="str">
        <f t="array" aca="1" ref="H450" ca="1">SUBSTITUTE(SUBSTITUTE(_xlfn.TEXTJOIN("",TRUE,IF(ISERR(MID(C450,ROW(INDIRECT("1:100")),1)+0),MID(C450,ROW(INDIRECT("1:100")),1),"")),")",""),"(","")</f>
        <v>All items</v>
      </c>
    </row>
    <row r="451" spans="1:8" x14ac:dyDescent="0.25">
      <c r="A451">
        <v>2016</v>
      </c>
      <c r="B451">
        <v>4</v>
      </c>
      <c r="C451" t="s">
        <v>15</v>
      </c>
      <c r="D451">
        <v>13.925000000000001</v>
      </c>
      <c r="E451">
        <v>0.9</v>
      </c>
      <c r="F451">
        <v>0.13100000000000001</v>
      </c>
      <c r="H451" s="4" t="str">
        <f t="array" aca="1" ref="H451" ca="1">SUBSTITUTE(SUBSTITUTE(_xlfn.TEXTJOIN("",TRUE,IF(ISERR(MID(C451,ROW(INDIRECT("1:100")),1)+0),MID(C451,ROW(INDIRECT("1:100")),1),"")),")",""),"(","")</f>
        <v>Food</v>
      </c>
    </row>
    <row r="452" spans="1:8" x14ac:dyDescent="0.25">
      <c r="A452">
        <v>2016</v>
      </c>
      <c r="B452">
        <v>4</v>
      </c>
      <c r="C452" t="s">
        <v>16</v>
      </c>
      <c r="D452">
        <v>6.609</v>
      </c>
      <c r="E452">
        <v>-8.9</v>
      </c>
      <c r="F452">
        <v>-0.68799999999999994</v>
      </c>
      <c r="H452" s="4" t="str">
        <f t="array" aca="1" ref="H452" ca="1">SUBSTITUTE(SUBSTITUTE(_xlfn.TEXTJOIN("",TRUE,IF(ISERR(MID(C452,ROW(INDIRECT("1:100")),1)+0),MID(C452,ROW(INDIRECT("1:100")),1),"")),")",""),"(","")</f>
        <v>Energy</v>
      </c>
    </row>
    <row r="453" spans="1:8" x14ac:dyDescent="0.25">
      <c r="A453">
        <v>2016</v>
      </c>
      <c r="B453">
        <v>4</v>
      </c>
      <c r="C453" t="s">
        <v>17</v>
      </c>
      <c r="D453">
        <v>79.465999999999994</v>
      </c>
      <c r="E453">
        <v>2.1</v>
      </c>
      <c r="F453">
        <v>1.6819999999999999</v>
      </c>
      <c r="H453" s="4" t="str">
        <f t="array" aca="1" ref="H453" ca="1">SUBSTITUTE(SUBSTITUTE(_xlfn.TEXTJOIN("",TRUE,IF(ISERR(MID(C453,ROW(INDIRECT("1:100")),1)+0),MID(C453,ROW(INDIRECT("1:100")),1),"")),")",""),"(","")</f>
        <v>All items less food and energy</v>
      </c>
    </row>
    <row r="454" spans="1:8" x14ac:dyDescent="0.25">
      <c r="A454">
        <v>2016</v>
      </c>
      <c r="B454">
        <v>4</v>
      </c>
      <c r="C454" t="s">
        <v>18</v>
      </c>
      <c r="H454" s="4" t="str">
        <f t="array" aca="1" ref="H454" ca="1">SUBSTITUTE(SUBSTITUTE(_xlfn.TEXTJOIN("",TRUE,IF(ISERR(MID(C454,ROW(INDIRECT("1:100")),1)+0),MID(C454,ROW(INDIRECT("1:100")),1),"")),")",""),"(","")</f>
        <v>Special aggregate indexes</v>
      </c>
    </row>
    <row r="455" spans="1:8" x14ac:dyDescent="0.25">
      <c r="A455">
        <v>2016</v>
      </c>
      <c r="B455">
        <v>4</v>
      </c>
      <c r="C455" t="s">
        <v>19</v>
      </c>
      <c r="D455">
        <v>86.075000000000003</v>
      </c>
      <c r="E455">
        <v>1.2</v>
      </c>
      <c r="F455">
        <v>0.99399999999999999</v>
      </c>
      <c r="H455" s="4" t="str">
        <f t="array" aca="1" ref="H455" ca="1">SUBSTITUTE(SUBSTITUTE(_xlfn.TEXTJOIN("",TRUE,IF(ISERR(MID(C455,ROW(INDIRECT("1:100")),1)+0),MID(C455,ROW(INDIRECT("1:100")),1),"")),")",""),"(","")</f>
        <v>All items less food</v>
      </c>
    </row>
    <row r="456" spans="1:8" x14ac:dyDescent="0.25">
      <c r="A456">
        <v>2016</v>
      </c>
      <c r="B456">
        <v>4</v>
      </c>
      <c r="C456" t="s">
        <v>20</v>
      </c>
      <c r="D456">
        <v>66.747</v>
      </c>
      <c r="E456">
        <v>0.1</v>
      </c>
      <c r="F456">
        <v>7.8E-2</v>
      </c>
      <c r="H456" s="4" t="str">
        <f t="array" aca="1" ref="H456" ca="1">SUBSTITUTE(SUBSTITUTE(_xlfn.TEXTJOIN("",TRUE,IF(ISERR(MID(C456,ROW(INDIRECT("1:100")),1)+0),MID(C456,ROW(INDIRECT("1:100")),1),"")),")",""),"(","")</f>
        <v>All items less shelter</v>
      </c>
    </row>
    <row r="457" spans="1:8" x14ac:dyDescent="0.25">
      <c r="A457">
        <v>2016</v>
      </c>
      <c r="B457">
        <v>4</v>
      </c>
      <c r="C457" t="s">
        <v>21</v>
      </c>
      <c r="D457">
        <v>52.822000000000003</v>
      </c>
      <c r="E457">
        <v>-0.1</v>
      </c>
      <c r="F457">
        <v>-5.2999999999999999E-2</v>
      </c>
      <c r="H457" s="4" t="str">
        <f t="array" aca="1" ref="H457" ca="1">SUBSTITUTE(SUBSTITUTE(_xlfn.TEXTJOIN("",TRUE,IF(ISERR(MID(C457,ROW(INDIRECT("1:100")),1)+0),MID(C457,ROW(INDIRECT("1:100")),1),"")),")",""),"(","")</f>
        <v>All items less food and shelter</v>
      </c>
    </row>
    <row r="458" spans="1:8" x14ac:dyDescent="0.25">
      <c r="A458">
        <v>2016</v>
      </c>
      <c r="B458">
        <v>4</v>
      </c>
      <c r="C458" t="s">
        <v>22</v>
      </c>
      <c r="D458">
        <v>46.213000000000001</v>
      </c>
      <c r="E458">
        <v>1.4</v>
      </c>
      <c r="F458">
        <v>0.63500000000000001</v>
      </c>
      <c r="H458" s="4" t="str">
        <f t="array" aca="1" ref="H458" ca="1">SUBSTITUTE(SUBSTITUTE(_xlfn.TEXTJOIN("",TRUE,IF(ISERR(MID(C458,ROW(INDIRECT("1:100")),1)+0),MID(C458,ROW(INDIRECT("1:100")),1),"")),")",""),"(","")</f>
        <v>All items less food, shelter, and energy</v>
      </c>
    </row>
    <row r="459" spans="1:8" x14ac:dyDescent="0.25">
      <c r="A459">
        <v>2016</v>
      </c>
      <c r="B459">
        <v>4</v>
      </c>
      <c r="C459" t="s">
        <v>23</v>
      </c>
      <c r="D459">
        <v>44.072000000000003</v>
      </c>
      <c r="E459">
        <v>1.5</v>
      </c>
      <c r="F459">
        <v>0.64300000000000002</v>
      </c>
      <c r="H459" s="4" t="str">
        <f t="array" aca="1" ref="H459" ca="1">SUBSTITUTE(SUBSTITUTE(_xlfn.TEXTJOIN("",TRUE,IF(ISERR(MID(C459,ROW(INDIRECT("1:100")),1)+0),MID(C459,ROW(INDIRECT("1:100")),1),"")),")",""),"(","")</f>
        <v>All items less food, shelter, energy, and used cars and trucks</v>
      </c>
    </row>
    <row r="460" spans="1:8" x14ac:dyDescent="0.25">
      <c r="A460">
        <v>2016</v>
      </c>
      <c r="B460">
        <v>4</v>
      </c>
      <c r="C460" t="s">
        <v>24</v>
      </c>
      <c r="D460">
        <v>91.542000000000002</v>
      </c>
      <c r="E460">
        <v>1</v>
      </c>
      <c r="F460">
        <v>0.88300000000000001</v>
      </c>
      <c r="H460" s="4" t="str">
        <f t="array" aca="1" ref="H460" ca="1">SUBSTITUTE(SUBSTITUTE(_xlfn.TEXTJOIN("",TRUE,IF(ISERR(MID(C460,ROW(INDIRECT("1:100")),1)+0),MID(C460,ROW(INDIRECT("1:100")),1),"")),")",""),"(","")</f>
        <v>All items less medical care</v>
      </c>
    </row>
    <row r="461" spans="1:8" x14ac:dyDescent="0.25">
      <c r="A461">
        <v>2016</v>
      </c>
      <c r="B461">
        <v>4</v>
      </c>
      <c r="C461" t="s">
        <v>25</v>
      </c>
      <c r="D461">
        <v>93.391000000000005</v>
      </c>
      <c r="E461">
        <v>2</v>
      </c>
      <c r="F461">
        <v>1.8129999999999999</v>
      </c>
      <c r="H461" s="4" t="str">
        <f t="array" aca="1" ref="H461" ca="1">SUBSTITUTE(SUBSTITUTE(_xlfn.TEXTJOIN("",TRUE,IF(ISERR(MID(C461,ROW(INDIRECT("1:100")),1)+0),MID(C461,ROW(INDIRECT("1:100")),1),"")),")",""),"(","")</f>
        <v>All items less energy</v>
      </c>
    </row>
    <row r="462" spans="1:8" x14ac:dyDescent="0.25">
      <c r="A462">
        <v>2016</v>
      </c>
      <c r="B462">
        <v>4</v>
      </c>
      <c r="C462" t="s">
        <v>26</v>
      </c>
      <c r="D462">
        <v>36.694000000000003</v>
      </c>
      <c r="E462">
        <v>-1.4</v>
      </c>
      <c r="F462">
        <v>-0.53500000000000003</v>
      </c>
      <c r="H462" s="4" t="str">
        <f t="array" aca="1" ref="H462" ca="1">SUBSTITUTE(SUBSTITUTE(_xlfn.TEXTJOIN("",TRUE,IF(ISERR(MID(C462,ROW(INDIRECT("1:100")),1)+0),MID(C462,ROW(INDIRECT("1:100")),1),"")),")",""),"(","")</f>
        <v>Commodities</v>
      </c>
    </row>
    <row r="463" spans="1:8" x14ac:dyDescent="0.25">
      <c r="A463">
        <v>2016</v>
      </c>
      <c r="B463">
        <v>4</v>
      </c>
      <c r="C463" t="s">
        <v>27</v>
      </c>
      <c r="D463">
        <v>63.305999999999997</v>
      </c>
      <c r="E463">
        <v>2.7</v>
      </c>
      <c r="F463">
        <v>1.66</v>
      </c>
      <c r="H463" s="4" t="str">
        <f t="array" aca="1" ref="H463" ca="1">SUBSTITUTE(SUBSTITUTE(_xlfn.TEXTJOIN("",TRUE,IF(ISERR(MID(C463,ROW(INDIRECT("1:100")),1)+0),MID(C463,ROW(INDIRECT("1:100")),1),"")),")",""),"(","")</f>
        <v>Services</v>
      </c>
    </row>
    <row r="464" spans="1:8" x14ac:dyDescent="0.25">
      <c r="A464">
        <v>2016</v>
      </c>
      <c r="B464">
        <v>4</v>
      </c>
      <c r="C464" t="s">
        <v>28</v>
      </c>
      <c r="D464">
        <v>9.6639999999999997</v>
      </c>
      <c r="E464">
        <v>-1.4</v>
      </c>
      <c r="F464">
        <v>-0.11700000000000001</v>
      </c>
      <c r="H464" s="4" t="str">
        <f t="array" aca="1" ref="H464" ca="1">SUBSTITUTE(SUBSTITUTE(_xlfn.TEXTJOIN("",TRUE,IF(ISERR(MID(C464,ROW(INDIRECT("1:100")),1)+0),MID(C464,ROW(INDIRECT("1:100")),1),"")),")",""),"(","")</f>
        <v>Durables</v>
      </c>
    </row>
    <row r="465" spans="1:8" x14ac:dyDescent="0.25">
      <c r="A465">
        <v>2016</v>
      </c>
      <c r="B465">
        <v>4</v>
      </c>
      <c r="C465" t="s">
        <v>29</v>
      </c>
      <c r="D465">
        <v>27.03</v>
      </c>
      <c r="E465">
        <v>-1.4</v>
      </c>
      <c r="F465">
        <v>-0.41699999999999998</v>
      </c>
      <c r="H465" s="4" t="str">
        <f t="array" aca="1" ref="H465" ca="1">SUBSTITUTE(SUBSTITUTE(_xlfn.TEXTJOIN("",TRUE,IF(ISERR(MID(C465,ROW(INDIRECT("1:100")),1)+0),MID(C465,ROW(INDIRECT("1:100")),1),"")),")",""),"(","")</f>
        <v>Nondurables</v>
      </c>
    </row>
    <row r="466" spans="1:8" x14ac:dyDescent="0.25">
      <c r="A466">
        <v>2016</v>
      </c>
      <c r="B466">
        <v>4</v>
      </c>
      <c r="C466" t="s">
        <v>8</v>
      </c>
      <c r="D466">
        <v>42.295000000000002</v>
      </c>
      <c r="E466">
        <v>2.1</v>
      </c>
      <c r="F466">
        <v>0.88900000000000001</v>
      </c>
      <c r="H466" s="4" t="str">
        <f t="array" aca="1" ref="H466" ca="1">SUBSTITUTE(SUBSTITUTE(_xlfn.TEXTJOIN("",TRUE,IF(ISERR(MID(C466,ROW(INDIRECT("1:100")),1)+0),MID(C466,ROW(INDIRECT("1:100")),1),"")),")",""),"(","")</f>
        <v>Housing</v>
      </c>
    </row>
    <row r="467" spans="1:8" x14ac:dyDescent="0.25">
      <c r="A467">
        <v>2016</v>
      </c>
      <c r="B467">
        <v>4</v>
      </c>
      <c r="C467" t="s">
        <v>30</v>
      </c>
      <c r="D467">
        <v>7.0910000000000002</v>
      </c>
      <c r="E467">
        <v>1.2</v>
      </c>
      <c r="F467">
        <v>8.2000000000000003E-2</v>
      </c>
      <c r="H467" s="4" t="str">
        <f t="array" aca="1" ref="H467" ca="1">SUBSTITUTE(SUBSTITUTE(_xlfn.TEXTJOIN("",TRUE,IF(ISERR(MID(C467,ROW(INDIRECT("1:100")),1)+0),MID(C467,ROW(INDIRECT("1:100")),1),"")),")",""),"(","")</f>
        <v>Education and communication</v>
      </c>
    </row>
    <row r="468" spans="1:8" x14ac:dyDescent="0.25">
      <c r="A468">
        <v>2016</v>
      </c>
      <c r="B468">
        <v>4</v>
      </c>
      <c r="C468" t="s">
        <v>31</v>
      </c>
      <c r="D468">
        <v>5.7670000000000003</v>
      </c>
      <c r="E468">
        <v>1.3</v>
      </c>
      <c r="F468">
        <v>7.2999999999999995E-2</v>
      </c>
      <c r="H468" s="4" t="str">
        <f t="array" aca="1" ref="H468" ca="1">SUBSTITUTE(SUBSTITUTE(_xlfn.TEXTJOIN("",TRUE,IF(ISERR(MID(C468,ROW(INDIRECT("1:100")),1)+0),MID(C468,ROW(INDIRECT("1:100")),1),"")),")",""),"(","")</f>
        <v>Recreation</v>
      </c>
    </row>
    <row r="469" spans="1:8" x14ac:dyDescent="0.25">
      <c r="A469">
        <v>2016</v>
      </c>
      <c r="B469">
        <v>4</v>
      </c>
      <c r="C469" t="s">
        <v>6</v>
      </c>
      <c r="D469">
        <v>14.885</v>
      </c>
      <c r="E469">
        <v>1</v>
      </c>
      <c r="F469">
        <v>0.14399999999999999</v>
      </c>
      <c r="H469" s="4" t="str">
        <f t="array" aca="1" ref="H469" ca="1">SUBSTITUTE(SUBSTITUTE(_xlfn.TEXTJOIN("",TRUE,IF(ISERR(MID(C469,ROW(INDIRECT("1:100")),1)+0),MID(C469,ROW(INDIRECT("1:100")),1),"")),")",""),"(","")</f>
        <v>Food and beverages</v>
      </c>
    </row>
    <row r="470" spans="1:8" x14ac:dyDescent="0.25">
      <c r="A470">
        <v>2016</v>
      </c>
      <c r="B470">
        <v>4</v>
      </c>
      <c r="C470" t="s">
        <v>32</v>
      </c>
      <c r="D470">
        <v>11.965999999999999</v>
      </c>
      <c r="E470">
        <v>2.2999999999999998</v>
      </c>
      <c r="F470">
        <v>0.27600000000000002</v>
      </c>
      <c r="H470" s="4" t="str">
        <f t="array" aca="1" ref="H470" ca="1">SUBSTITUTE(SUBSTITUTE(_xlfn.TEXTJOIN("",TRUE,IF(ISERR(MID(C470,ROW(INDIRECT("1:100")),1)+0),MID(C470,ROW(INDIRECT("1:100")),1),"")),")",""),"(","")</f>
        <v>Other services</v>
      </c>
    </row>
    <row r="471" spans="1:8" x14ac:dyDescent="0.25">
      <c r="A471">
        <v>2016</v>
      </c>
      <c r="B471">
        <v>4</v>
      </c>
      <c r="C471" t="s">
        <v>33</v>
      </c>
      <c r="D471">
        <v>2.4889999999999999</v>
      </c>
      <c r="E471">
        <v>-1</v>
      </c>
      <c r="F471">
        <v>-3.4000000000000002E-2</v>
      </c>
      <c r="H471" s="4" t="str">
        <f t="array" aca="1" ref="H471" ca="1">SUBSTITUTE(SUBSTITUTE(_xlfn.TEXTJOIN("",TRUE,IF(ISERR(MID(C471,ROW(INDIRECT("1:100")),1)+0),MID(C471,ROW(INDIRECT("1:100")),1),"")),")",""),"(","")</f>
        <v>Apparel less footwear</v>
      </c>
    </row>
    <row r="472" spans="1:8" x14ac:dyDescent="0.25">
      <c r="A472">
        <v>2016</v>
      </c>
      <c r="B472">
        <v>4</v>
      </c>
      <c r="C472" t="s">
        <v>34</v>
      </c>
      <c r="D472">
        <v>4.9000000000000004</v>
      </c>
      <c r="E472">
        <v>-2.1</v>
      </c>
      <c r="F472">
        <v>-0.108</v>
      </c>
      <c r="H472" s="4" t="str">
        <f t="array" aca="1" ref="H472" ca="1">SUBSTITUTE(SUBSTITUTE(_xlfn.TEXTJOIN("",TRUE,IF(ISERR(MID(C472,ROW(INDIRECT("1:100")),1)+0),MID(C472,ROW(INDIRECT("1:100")),1),"")),")",""),"(","")</f>
        <v>Fuels and utilities</v>
      </c>
    </row>
    <row r="473" spans="1:8" x14ac:dyDescent="0.25">
      <c r="A473">
        <v>2016</v>
      </c>
      <c r="B473">
        <v>4</v>
      </c>
      <c r="C473" t="s">
        <v>11</v>
      </c>
      <c r="D473">
        <v>8.4580000000000002</v>
      </c>
      <c r="E473">
        <v>3</v>
      </c>
      <c r="F473">
        <v>0.24199999999999999</v>
      </c>
      <c r="H473" s="4" t="str">
        <f t="array" aca="1" ref="H473" ca="1">SUBSTITUTE(SUBSTITUTE(_xlfn.TEXTJOIN("",TRUE,IF(ISERR(MID(C473,ROW(INDIRECT("1:100")),1)+0),MID(C473,ROW(INDIRECT("1:100")),1),"")),")",""),"(","")</f>
        <v>Medical care</v>
      </c>
    </row>
    <row r="474" spans="1:8" x14ac:dyDescent="0.25">
      <c r="A474">
        <v>2016</v>
      </c>
      <c r="B474">
        <v>4</v>
      </c>
      <c r="C474" t="s">
        <v>7</v>
      </c>
      <c r="D474">
        <v>15.135</v>
      </c>
      <c r="E474">
        <v>-2.4</v>
      </c>
      <c r="F474">
        <v>-0.34599999999999997</v>
      </c>
      <c r="H474" s="4" t="str">
        <f t="array" aca="1" ref="H474" ca="1">SUBSTITUTE(SUBSTITUTE(_xlfn.TEXTJOIN("",TRUE,IF(ISERR(MID(C474,ROW(INDIRECT("1:100")),1)+0),MID(C474,ROW(INDIRECT("1:100")),1),"")),")",""),"(","")</f>
        <v>Transportation</v>
      </c>
    </row>
    <row r="475" spans="1:8" x14ac:dyDescent="0.25">
      <c r="A475">
        <v>2016</v>
      </c>
      <c r="B475">
        <v>4</v>
      </c>
      <c r="C475" t="s">
        <v>35</v>
      </c>
      <c r="D475">
        <v>9.9589999999999996</v>
      </c>
      <c r="E475">
        <v>0.2</v>
      </c>
      <c r="F475">
        <v>1.7000000000000001E-2</v>
      </c>
      <c r="H475" s="4" t="str">
        <f t="array" aca="1" ref="H475" ca="1">SUBSTITUTE(SUBSTITUTE(_xlfn.TEXTJOIN("",TRUE,IF(ISERR(MID(C475,ROW(INDIRECT("1:100")),1)+0),MID(C475,ROW(INDIRECT("1:100")),1),"")),")",""),"(","")</f>
        <v>Utilities and public transportation</v>
      </c>
    </row>
    <row r="476" spans="1:8" x14ac:dyDescent="0.25">
      <c r="A476">
        <v>2016</v>
      </c>
      <c r="B476">
        <v>4</v>
      </c>
      <c r="C476" t="s">
        <v>36</v>
      </c>
      <c r="D476">
        <v>4.141</v>
      </c>
      <c r="E476">
        <v>-1.2</v>
      </c>
      <c r="F476">
        <v>-4.9000000000000002E-2</v>
      </c>
      <c r="H476" s="4" t="str">
        <f t="array" aca="1" ref="H476" ca="1">SUBSTITUTE(SUBSTITUTE(_xlfn.TEXTJOIN("",TRUE,IF(ISERR(MID(C476,ROW(INDIRECT("1:100")),1)+0),MID(C476,ROW(INDIRECT("1:100")),1),"")),")",""),"(","")</f>
        <v>Household furnishings and operations</v>
      </c>
    </row>
    <row r="477" spans="1:8" x14ac:dyDescent="0.25">
      <c r="A477">
        <v>2016</v>
      </c>
      <c r="B477">
        <v>4</v>
      </c>
      <c r="C477" t="s">
        <v>12</v>
      </c>
      <c r="D477">
        <v>3.173</v>
      </c>
      <c r="E477">
        <v>2.1</v>
      </c>
      <c r="F477">
        <v>7.0000000000000007E-2</v>
      </c>
      <c r="H477" s="4" t="str">
        <f t="array" aca="1" ref="H477" ca="1">SUBSTITUTE(SUBSTITUTE(_xlfn.TEXTJOIN("",TRUE,IF(ISERR(MID(C477,ROW(INDIRECT("1:100")),1)+0),MID(C477,ROW(INDIRECT("1:100")),1),"")),")",""),"(","")</f>
        <v>Other goods and services</v>
      </c>
    </row>
    <row r="478" spans="1:8" x14ac:dyDescent="0.25">
      <c r="A478">
        <v>2016</v>
      </c>
      <c r="B478">
        <v>5</v>
      </c>
      <c r="C478" t="s">
        <v>14</v>
      </c>
      <c r="D478">
        <v>100</v>
      </c>
      <c r="E478">
        <v>1</v>
      </c>
      <c r="H478" s="4" t="str">
        <f t="array" aca="1" ref="H478" ca="1">SUBSTITUTE(SUBSTITUTE(_xlfn.TEXTJOIN("",TRUE,IF(ISERR(MID(C478,ROW(INDIRECT("1:100")),1)+0),MID(C478,ROW(INDIRECT("1:100")),1),"")),")",""),"(","")</f>
        <v>All items</v>
      </c>
    </row>
    <row r="479" spans="1:8" x14ac:dyDescent="0.25">
      <c r="A479">
        <v>2016</v>
      </c>
      <c r="B479">
        <v>5</v>
      </c>
      <c r="C479" t="s">
        <v>15</v>
      </c>
      <c r="D479">
        <v>13.882999999999999</v>
      </c>
      <c r="E479">
        <v>0.7</v>
      </c>
      <c r="F479">
        <v>9.6000000000000002E-2</v>
      </c>
      <c r="H479" s="4" t="str">
        <f t="array" aca="1" ref="H479" ca="1">SUBSTITUTE(SUBSTITUTE(_xlfn.TEXTJOIN("",TRUE,IF(ISERR(MID(C479,ROW(INDIRECT("1:100")),1)+0),MID(C479,ROW(INDIRECT("1:100")),1),"")),")",""),"(","")</f>
        <v>Food</v>
      </c>
    </row>
    <row r="480" spans="1:8" x14ac:dyDescent="0.25">
      <c r="A480">
        <v>2016</v>
      </c>
      <c r="B480">
        <v>5</v>
      </c>
      <c r="C480" t="s">
        <v>16</v>
      </c>
      <c r="D480">
        <v>6.8209999999999997</v>
      </c>
      <c r="E480">
        <v>-10.1</v>
      </c>
      <c r="F480">
        <v>-0.82599999999999996</v>
      </c>
      <c r="H480" s="4" t="str">
        <f t="array" aca="1" ref="H480" ca="1">SUBSTITUTE(SUBSTITUTE(_xlfn.TEXTJOIN("",TRUE,IF(ISERR(MID(C480,ROW(INDIRECT("1:100")),1)+0),MID(C480,ROW(INDIRECT("1:100")),1),"")),")",""),"(","")</f>
        <v>Energy</v>
      </c>
    </row>
    <row r="481" spans="1:8" x14ac:dyDescent="0.25">
      <c r="A481">
        <v>2016</v>
      </c>
      <c r="B481">
        <v>5</v>
      </c>
      <c r="C481" t="s">
        <v>17</v>
      </c>
      <c r="D481">
        <v>79.295000000000002</v>
      </c>
      <c r="E481">
        <v>2.2000000000000002</v>
      </c>
      <c r="F481">
        <v>1.7529999999999999</v>
      </c>
      <c r="H481" s="4" t="str">
        <f t="array" aca="1" ref="H481" ca="1">SUBSTITUTE(SUBSTITUTE(_xlfn.TEXTJOIN("",TRUE,IF(ISERR(MID(C481,ROW(INDIRECT("1:100")),1)+0),MID(C481,ROW(INDIRECT("1:100")),1),"")),")",""),"(","")</f>
        <v>All items less food and energy</v>
      </c>
    </row>
    <row r="482" spans="1:8" x14ac:dyDescent="0.25">
      <c r="A482">
        <v>2016</v>
      </c>
      <c r="B482">
        <v>5</v>
      </c>
      <c r="C482" t="s">
        <v>18</v>
      </c>
      <c r="H482" s="4" t="str">
        <f t="array" aca="1" ref="H482" ca="1">SUBSTITUTE(SUBSTITUTE(_xlfn.TEXTJOIN("",TRUE,IF(ISERR(MID(C482,ROW(INDIRECT("1:100")),1)+0),MID(C482,ROW(INDIRECT("1:100")),1),"")),")",""),"(","")</f>
        <v>Special aggregate indexes</v>
      </c>
    </row>
    <row r="483" spans="1:8" x14ac:dyDescent="0.25">
      <c r="A483">
        <v>2016</v>
      </c>
      <c r="B483">
        <v>5</v>
      </c>
      <c r="C483" t="s">
        <v>19</v>
      </c>
      <c r="D483">
        <v>86.117000000000004</v>
      </c>
      <c r="E483">
        <v>1.1000000000000001</v>
      </c>
      <c r="F483">
        <v>0.92700000000000005</v>
      </c>
      <c r="H483" s="4" t="str">
        <f t="array" aca="1" ref="H483" ca="1">SUBSTITUTE(SUBSTITUTE(_xlfn.TEXTJOIN("",TRUE,IF(ISERR(MID(C483,ROW(INDIRECT("1:100")),1)+0),MID(C483,ROW(INDIRECT("1:100")),1),"")),")",""),"(","")</f>
        <v>All items less food</v>
      </c>
    </row>
    <row r="484" spans="1:8" x14ac:dyDescent="0.25">
      <c r="A484">
        <v>2016</v>
      </c>
      <c r="B484">
        <v>5</v>
      </c>
      <c r="C484" t="s">
        <v>20</v>
      </c>
      <c r="D484">
        <v>66.828999999999994</v>
      </c>
      <c r="E484">
        <v>-0.1</v>
      </c>
      <c r="F484">
        <v>-7.6999999999999999E-2</v>
      </c>
      <c r="H484" s="4" t="str">
        <f t="array" aca="1" ref="H484" ca="1">SUBSTITUTE(SUBSTITUTE(_xlfn.TEXTJOIN("",TRUE,IF(ISERR(MID(C484,ROW(INDIRECT("1:100")),1)+0),MID(C484,ROW(INDIRECT("1:100")),1),"")),")",""),"(","")</f>
        <v>All items less shelter</v>
      </c>
    </row>
    <row r="485" spans="1:8" x14ac:dyDescent="0.25">
      <c r="A485">
        <v>2016</v>
      </c>
      <c r="B485">
        <v>5</v>
      </c>
      <c r="C485" t="s">
        <v>21</v>
      </c>
      <c r="D485">
        <v>52.945999999999998</v>
      </c>
      <c r="E485">
        <v>-0.3</v>
      </c>
      <c r="F485">
        <v>-0.17199999999999999</v>
      </c>
      <c r="H485" s="4" t="str">
        <f t="array" aca="1" ref="H485" ca="1">SUBSTITUTE(SUBSTITUTE(_xlfn.TEXTJOIN("",TRUE,IF(ISERR(MID(C485,ROW(INDIRECT("1:100")),1)+0),MID(C485,ROW(INDIRECT("1:100")),1),"")),")",""),"(","")</f>
        <v>All items less food and shelter</v>
      </c>
    </row>
    <row r="486" spans="1:8" x14ac:dyDescent="0.25">
      <c r="A486">
        <v>2016</v>
      </c>
      <c r="B486">
        <v>5</v>
      </c>
      <c r="C486" t="s">
        <v>22</v>
      </c>
      <c r="D486">
        <v>46.124000000000002</v>
      </c>
      <c r="E486">
        <v>1.4</v>
      </c>
      <c r="F486">
        <v>0.65400000000000003</v>
      </c>
      <c r="H486" s="4" t="str">
        <f t="array" aca="1" ref="H486" ca="1">SUBSTITUTE(SUBSTITUTE(_xlfn.TEXTJOIN("",TRUE,IF(ISERR(MID(C486,ROW(INDIRECT("1:100")),1)+0),MID(C486,ROW(INDIRECT("1:100")),1),"")),")",""),"(","")</f>
        <v>All items less food, shelter, and energy</v>
      </c>
    </row>
    <row r="487" spans="1:8" x14ac:dyDescent="0.25">
      <c r="A487">
        <v>2016</v>
      </c>
      <c r="B487">
        <v>5</v>
      </c>
      <c r="C487" t="s">
        <v>23</v>
      </c>
      <c r="D487">
        <v>43.973999999999997</v>
      </c>
      <c r="E487">
        <v>1.5</v>
      </c>
      <c r="F487">
        <v>0.67500000000000004</v>
      </c>
      <c r="H487" s="4" t="str">
        <f t="array" aca="1" ref="H487" ca="1">SUBSTITUTE(SUBSTITUTE(_xlfn.TEXTJOIN("",TRUE,IF(ISERR(MID(C487,ROW(INDIRECT("1:100")),1)+0),MID(C487,ROW(INDIRECT("1:100")),1),"")),")",""),"(","")</f>
        <v>All items less food, shelter, energy, and used cars and trucks</v>
      </c>
    </row>
    <row r="488" spans="1:8" x14ac:dyDescent="0.25">
      <c r="A488">
        <v>2016</v>
      </c>
      <c r="B488">
        <v>5</v>
      </c>
      <c r="C488" t="s">
        <v>24</v>
      </c>
      <c r="D488">
        <v>91.557000000000002</v>
      </c>
      <c r="E488">
        <v>0.8</v>
      </c>
      <c r="F488">
        <v>0.76500000000000001</v>
      </c>
      <c r="H488" s="4" t="str">
        <f t="array" aca="1" ref="H488" ca="1">SUBSTITUTE(SUBSTITUTE(_xlfn.TEXTJOIN("",TRUE,IF(ISERR(MID(C488,ROW(INDIRECT("1:100")),1)+0),MID(C488,ROW(INDIRECT("1:100")),1),"")),")",""),"(","")</f>
        <v>All items less medical care</v>
      </c>
    </row>
    <row r="489" spans="1:8" x14ac:dyDescent="0.25">
      <c r="A489">
        <v>2016</v>
      </c>
      <c r="B489">
        <v>5</v>
      </c>
      <c r="C489" t="s">
        <v>25</v>
      </c>
      <c r="D489">
        <v>93.179000000000002</v>
      </c>
      <c r="E489">
        <v>2</v>
      </c>
      <c r="F489">
        <v>1.849</v>
      </c>
      <c r="H489" s="4" t="str">
        <f t="array" aca="1" ref="H489" ca="1">SUBSTITUTE(SUBSTITUTE(_xlfn.TEXTJOIN("",TRUE,IF(ISERR(MID(C489,ROW(INDIRECT("1:100")),1)+0),MID(C489,ROW(INDIRECT("1:100")),1),"")),")",""),"(","")</f>
        <v>All items less energy</v>
      </c>
    </row>
    <row r="490" spans="1:8" x14ac:dyDescent="0.25">
      <c r="A490">
        <v>2016</v>
      </c>
      <c r="B490">
        <v>5</v>
      </c>
      <c r="C490" t="s">
        <v>26</v>
      </c>
      <c r="D490">
        <v>36.829000000000001</v>
      </c>
      <c r="E490">
        <v>-2</v>
      </c>
      <c r="F490">
        <v>-0.751</v>
      </c>
      <c r="H490" s="4" t="str">
        <f t="array" aca="1" ref="H490" ca="1">SUBSTITUTE(SUBSTITUTE(_xlfn.TEXTJOIN("",TRUE,IF(ISERR(MID(C490,ROW(INDIRECT("1:100")),1)+0),MID(C490,ROW(INDIRECT("1:100")),1),"")),")",""),"(","")</f>
        <v>Commodities</v>
      </c>
    </row>
    <row r="491" spans="1:8" x14ac:dyDescent="0.25">
      <c r="A491">
        <v>2016</v>
      </c>
      <c r="B491">
        <v>5</v>
      </c>
      <c r="C491" t="s">
        <v>27</v>
      </c>
      <c r="D491">
        <v>63.170999999999999</v>
      </c>
      <c r="E491">
        <v>2.9</v>
      </c>
      <c r="F491">
        <v>1.774</v>
      </c>
      <c r="H491" s="4" t="str">
        <f t="array" aca="1" ref="H491" ca="1">SUBSTITUTE(SUBSTITUTE(_xlfn.TEXTJOIN("",TRUE,IF(ISERR(MID(C491,ROW(INDIRECT("1:100")),1)+0),MID(C491,ROW(INDIRECT("1:100")),1),"")),")",""),"(","")</f>
        <v>Services</v>
      </c>
    </row>
    <row r="492" spans="1:8" x14ac:dyDescent="0.25">
      <c r="A492">
        <v>2016</v>
      </c>
      <c r="B492">
        <v>5</v>
      </c>
      <c r="C492" t="s">
        <v>28</v>
      </c>
      <c r="D492">
        <v>9.6319999999999997</v>
      </c>
      <c r="E492">
        <v>-1.7</v>
      </c>
      <c r="F492">
        <v>-0.14499999999999999</v>
      </c>
      <c r="H492" s="4" t="str">
        <f t="array" aca="1" ref="H492" ca="1">SUBSTITUTE(SUBSTITUTE(_xlfn.TEXTJOIN("",TRUE,IF(ISERR(MID(C492,ROW(INDIRECT("1:100")),1)+0),MID(C492,ROW(INDIRECT("1:100")),1),"")),")",""),"(","")</f>
        <v>Durables</v>
      </c>
    </row>
    <row r="493" spans="1:8" x14ac:dyDescent="0.25">
      <c r="A493">
        <v>2016</v>
      </c>
      <c r="B493">
        <v>5</v>
      </c>
      <c r="C493" t="s">
        <v>29</v>
      </c>
      <c r="D493">
        <v>27.196999999999999</v>
      </c>
      <c r="E493">
        <v>-2.1</v>
      </c>
      <c r="F493">
        <v>-0.60599999999999998</v>
      </c>
      <c r="H493" s="4" t="str">
        <f t="array" aca="1" ref="H493" ca="1">SUBSTITUTE(SUBSTITUTE(_xlfn.TEXTJOIN("",TRUE,IF(ISERR(MID(C493,ROW(INDIRECT("1:100")),1)+0),MID(C493,ROW(INDIRECT("1:100")),1),"")),")",""),"(","")</f>
        <v>Nondurables</v>
      </c>
    </row>
    <row r="494" spans="1:8" x14ac:dyDescent="0.25">
      <c r="A494">
        <v>2016</v>
      </c>
      <c r="B494">
        <v>5</v>
      </c>
      <c r="C494" t="s">
        <v>8</v>
      </c>
      <c r="D494">
        <v>42.149000000000001</v>
      </c>
      <c r="E494">
        <v>2.4</v>
      </c>
      <c r="F494">
        <v>0.99299999999999999</v>
      </c>
      <c r="H494" s="4" t="str">
        <f t="array" aca="1" ref="H494" ca="1">SUBSTITUTE(SUBSTITUTE(_xlfn.TEXTJOIN("",TRUE,IF(ISERR(MID(C494,ROW(INDIRECT("1:100")),1)+0),MID(C494,ROW(INDIRECT("1:100")),1),"")),")",""),"(","")</f>
        <v>Housing</v>
      </c>
    </row>
    <row r="495" spans="1:8" x14ac:dyDescent="0.25">
      <c r="A495">
        <v>2016</v>
      </c>
      <c r="B495">
        <v>5</v>
      </c>
      <c r="C495" t="s">
        <v>30</v>
      </c>
      <c r="D495">
        <v>7.06</v>
      </c>
      <c r="E495">
        <v>1.1000000000000001</v>
      </c>
      <c r="F495">
        <v>0.08</v>
      </c>
      <c r="H495" s="4" t="str">
        <f t="array" aca="1" ref="H495" ca="1">SUBSTITUTE(SUBSTITUTE(_xlfn.TEXTJOIN("",TRUE,IF(ISERR(MID(C495,ROW(INDIRECT("1:100")),1)+0),MID(C495,ROW(INDIRECT("1:100")),1),"")),")",""),"(","")</f>
        <v>Education and communication</v>
      </c>
    </row>
    <row r="496" spans="1:8" x14ac:dyDescent="0.25">
      <c r="A496">
        <v>2016</v>
      </c>
      <c r="B496">
        <v>5</v>
      </c>
      <c r="C496" t="s">
        <v>31</v>
      </c>
      <c r="D496">
        <v>5.7610000000000001</v>
      </c>
      <c r="E496">
        <v>1.1000000000000001</v>
      </c>
      <c r="F496">
        <v>6.5000000000000002E-2</v>
      </c>
      <c r="H496" s="4" t="str">
        <f t="array" aca="1" ref="H496" ca="1">SUBSTITUTE(SUBSTITUTE(_xlfn.TEXTJOIN("",TRUE,IF(ISERR(MID(C496,ROW(INDIRECT("1:100")),1)+0),MID(C496,ROW(INDIRECT("1:100")),1),"")),")",""),"(","")</f>
        <v>Recreation</v>
      </c>
    </row>
    <row r="497" spans="1:8" x14ac:dyDescent="0.25">
      <c r="A497">
        <v>2016</v>
      </c>
      <c r="B497">
        <v>5</v>
      </c>
      <c r="C497" t="s">
        <v>6</v>
      </c>
      <c r="D497">
        <v>14.84</v>
      </c>
      <c r="E497">
        <v>0.7</v>
      </c>
      <c r="F497">
        <v>0.106</v>
      </c>
      <c r="H497" s="4" t="str">
        <f t="array" aca="1" ref="H497" ca="1">SUBSTITUTE(SUBSTITUTE(_xlfn.TEXTJOIN("",TRUE,IF(ISERR(MID(C497,ROW(INDIRECT("1:100")),1)+0),MID(C497,ROW(INDIRECT("1:100")),1),"")),")",""),"(","")</f>
        <v>Food and beverages</v>
      </c>
    </row>
    <row r="498" spans="1:8" x14ac:dyDescent="0.25">
      <c r="A498">
        <v>2016</v>
      </c>
      <c r="B498">
        <v>5</v>
      </c>
      <c r="C498" t="s">
        <v>32</v>
      </c>
      <c r="D498">
        <v>11.927</v>
      </c>
      <c r="E498">
        <v>2.2999999999999998</v>
      </c>
      <c r="F498">
        <v>0.27600000000000002</v>
      </c>
      <c r="H498" s="4" t="str">
        <f t="array" aca="1" ref="H498" ca="1">SUBSTITUTE(SUBSTITUTE(_xlfn.TEXTJOIN("",TRUE,IF(ISERR(MID(C498,ROW(INDIRECT("1:100")),1)+0),MID(C498,ROW(INDIRECT("1:100")),1),"")),")",""),"(","")</f>
        <v>Other services</v>
      </c>
    </row>
    <row r="499" spans="1:8" x14ac:dyDescent="0.25">
      <c r="A499">
        <v>2016</v>
      </c>
      <c r="B499">
        <v>5</v>
      </c>
      <c r="C499" t="s">
        <v>33</v>
      </c>
      <c r="D499">
        <v>2.4809999999999999</v>
      </c>
      <c r="E499">
        <v>0.5</v>
      </c>
      <c r="F499">
        <v>7.0000000000000001E-3</v>
      </c>
      <c r="H499" s="4" t="str">
        <f t="array" aca="1" ref="H499" ca="1">SUBSTITUTE(SUBSTITUTE(_xlfn.TEXTJOIN("",TRUE,IF(ISERR(MID(C499,ROW(INDIRECT("1:100")),1)+0),MID(C499,ROW(INDIRECT("1:100")),1),"")),")",""),"(","")</f>
        <v>Apparel less footwear</v>
      </c>
    </row>
    <row r="500" spans="1:8" x14ac:dyDescent="0.25">
      <c r="A500">
        <v>2016</v>
      </c>
      <c r="B500">
        <v>5</v>
      </c>
      <c r="C500" t="s">
        <v>34</v>
      </c>
      <c r="D500">
        <v>4.8689999999999998</v>
      </c>
      <c r="E500">
        <v>-1.1000000000000001</v>
      </c>
      <c r="F500">
        <v>-5.8999999999999997E-2</v>
      </c>
      <c r="H500" s="4" t="str">
        <f t="array" aca="1" ref="H500" ca="1">SUBSTITUTE(SUBSTITUTE(_xlfn.TEXTJOIN("",TRUE,IF(ISERR(MID(C500,ROW(INDIRECT("1:100")),1)+0),MID(C500,ROW(INDIRECT("1:100")),1),"")),")",""),"(","")</f>
        <v>Fuels and utilities</v>
      </c>
    </row>
    <row r="501" spans="1:8" x14ac:dyDescent="0.25">
      <c r="A501">
        <v>2016</v>
      </c>
      <c r="B501">
        <v>5</v>
      </c>
      <c r="C501" t="s">
        <v>11</v>
      </c>
      <c r="D501">
        <v>8.4429999999999996</v>
      </c>
      <c r="E501">
        <v>3.2</v>
      </c>
      <c r="F501">
        <v>0.25800000000000001</v>
      </c>
      <c r="H501" s="4" t="str">
        <f t="array" aca="1" ref="H501" ca="1">SUBSTITUTE(SUBSTITUTE(_xlfn.TEXTJOIN("",TRUE,IF(ISERR(MID(C501,ROW(INDIRECT("1:100")),1)+0),MID(C501,ROW(INDIRECT("1:100")),1),"")),")",""),"(","")</f>
        <v>Medical care</v>
      </c>
    </row>
    <row r="502" spans="1:8" x14ac:dyDescent="0.25">
      <c r="A502">
        <v>2016</v>
      </c>
      <c r="B502">
        <v>5</v>
      </c>
      <c r="C502" t="s">
        <v>7</v>
      </c>
      <c r="D502">
        <v>15.397</v>
      </c>
      <c r="E502">
        <v>-3.8</v>
      </c>
      <c r="F502">
        <v>-0.56100000000000005</v>
      </c>
      <c r="H502" s="4" t="str">
        <f t="array" aca="1" ref="H502" ca="1">SUBSTITUTE(SUBSTITUTE(_xlfn.TEXTJOIN("",TRUE,IF(ISERR(MID(C502,ROW(INDIRECT("1:100")),1)+0),MID(C502,ROW(INDIRECT("1:100")),1),"")),")",""),"(","")</f>
        <v>Transportation</v>
      </c>
    </row>
    <row r="503" spans="1:8" x14ac:dyDescent="0.25">
      <c r="A503">
        <v>2016</v>
      </c>
      <c r="B503">
        <v>5</v>
      </c>
      <c r="C503" t="s">
        <v>35</v>
      </c>
      <c r="D503">
        <v>9.9390000000000001</v>
      </c>
      <c r="E503">
        <v>0.4</v>
      </c>
      <c r="F503">
        <v>3.9E-2</v>
      </c>
      <c r="H503" s="4" t="str">
        <f t="array" aca="1" ref="H503" ca="1">SUBSTITUTE(SUBSTITUTE(_xlfn.TEXTJOIN("",TRUE,IF(ISERR(MID(C503,ROW(INDIRECT("1:100")),1)+0),MID(C503,ROW(INDIRECT("1:100")),1),"")),")",""),"(","")</f>
        <v>Utilities and public transportation</v>
      </c>
    </row>
    <row r="504" spans="1:8" x14ac:dyDescent="0.25">
      <c r="A504">
        <v>2016</v>
      </c>
      <c r="B504">
        <v>5</v>
      </c>
      <c r="C504" t="s">
        <v>36</v>
      </c>
      <c r="D504">
        <v>4.109</v>
      </c>
      <c r="E504">
        <v>-1.1000000000000001</v>
      </c>
      <c r="F504">
        <v>-4.7E-2</v>
      </c>
      <c r="H504" s="4" t="str">
        <f t="array" aca="1" ref="H504" ca="1">SUBSTITUTE(SUBSTITUTE(_xlfn.TEXTJOIN("",TRUE,IF(ISERR(MID(C504,ROW(INDIRECT("1:100")),1)+0),MID(C504,ROW(INDIRECT("1:100")),1),"")),")",""),"(","")</f>
        <v>Household furnishings and operations</v>
      </c>
    </row>
    <row r="505" spans="1:8" x14ac:dyDescent="0.25">
      <c r="A505">
        <v>2016</v>
      </c>
      <c r="B505">
        <v>5</v>
      </c>
      <c r="C505" t="s">
        <v>12</v>
      </c>
      <c r="D505">
        <v>3.161</v>
      </c>
      <c r="E505">
        <v>2.2000000000000002</v>
      </c>
      <c r="F505">
        <v>7.1999999999999995E-2</v>
      </c>
      <c r="H505" s="4" t="str">
        <f t="array" aca="1" ref="H505" ca="1">SUBSTITUTE(SUBSTITUTE(_xlfn.TEXTJOIN("",TRUE,IF(ISERR(MID(C505,ROW(INDIRECT("1:100")),1)+0),MID(C505,ROW(INDIRECT("1:100")),1),"")),")",""),"(","")</f>
        <v>Other goods and services</v>
      </c>
    </row>
    <row r="506" spans="1:8" x14ac:dyDescent="0.25">
      <c r="A506">
        <v>2016</v>
      </c>
      <c r="B506">
        <v>6</v>
      </c>
      <c r="C506" t="s">
        <v>14</v>
      </c>
      <c r="D506">
        <v>100</v>
      </c>
      <c r="E506">
        <v>1</v>
      </c>
      <c r="H506" s="4" t="str">
        <f t="array" aca="1" ref="H506" ca="1">SUBSTITUTE(SUBSTITUTE(_xlfn.TEXTJOIN("",TRUE,IF(ISERR(MID(C506,ROW(INDIRECT("1:100")),1)+0),MID(C506,ROW(INDIRECT("1:100")),1),"")),")",""),"(","")</f>
        <v>All items</v>
      </c>
    </row>
    <row r="507" spans="1:8" x14ac:dyDescent="0.25">
      <c r="A507">
        <v>2016</v>
      </c>
      <c r="B507">
        <v>6</v>
      </c>
      <c r="C507" t="s">
        <v>15</v>
      </c>
      <c r="D507">
        <v>13.795999999999999</v>
      </c>
      <c r="E507">
        <v>0.3</v>
      </c>
      <c r="F507">
        <v>4.5999999999999999E-2</v>
      </c>
      <c r="H507" s="4" t="str">
        <f t="array" aca="1" ref="H507" ca="1">SUBSTITUTE(SUBSTITUTE(_xlfn.TEXTJOIN("",TRUE,IF(ISERR(MID(C507,ROW(INDIRECT("1:100")),1)+0),MID(C507,ROW(INDIRECT("1:100")),1),"")),")",""),"(","")</f>
        <v>Food</v>
      </c>
    </row>
    <row r="508" spans="1:8" x14ac:dyDescent="0.25">
      <c r="A508">
        <v>2016</v>
      </c>
      <c r="B508">
        <v>6</v>
      </c>
      <c r="C508" t="s">
        <v>16</v>
      </c>
      <c r="D508">
        <v>7.0510000000000002</v>
      </c>
      <c r="E508">
        <v>-9.4</v>
      </c>
      <c r="F508">
        <v>-0.79800000000000004</v>
      </c>
      <c r="H508" s="4" t="str">
        <f t="array" aca="1" ref="H508" ca="1">SUBSTITUTE(SUBSTITUTE(_xlfn.TEXTJOIN("",TRUE,IF(ISERR(MID(C508,ROW(INDIRECT("1:100")),1)+0),MID(C508,ROW(INDIRECT("1:100")),1),"")),")",""),"(","")</f>
        <v>Energy</v>
      </c>
    </row>
    <row r="509" spans="1:8" x14ac:dyDescent="0.25">
      <c r="A509">
        <v>2016</v>
      </c>
      <c r="B509">
        <v>6</v>
      </c>
      <c r="C509" t="s">
        <v>17</v>
      </c>
      <c r="D509">
        <v>79.153000000000006</v>
      </c>
      <c r="E509">
        <v>2.2999999999999998</v>
      </c>
      <c r="F509">
        <v>1.7569999999999999</v>
      </c>
      <c r="H509" s="4" t="str">
        <f t="array" aca="1" ref="H509" ca="1">SUBSTITUTE(SUBSTITUTE(_xlfn.TEXTJOIN("",TRUE,IF(ISERR(MID(C509,ROW(INDIRECT("1:100")),1)+0),MID(C509,ROW(INDIRECT("1:100")),1),"")),")",""),"(","")</f>
        <v>All items less food and energy</v>
      </c>
    </row>
    <row r="510" spans="1:8" x14ac:dyDescent="0.25">
      <c r="A510">
        <v>2016</v>
      </c>
      <c r="B510">
        <v>6</v>
      </c>
      <c r="C510" t="s">
        <v>18</v>
      </c>
      <c r="H510" s="4" t="str">
        <f t="array" aca="1" ref="H510" ca="1">SUBSTITUTE(SUBSTITUTE(_xlfn.TEXTJOIN("",TRUE,IF(ISERR(MID(C510,ROW(INDIRECT("1:100")),1)+0),MID(C510,ROW(INDIRECT("1:100")),1),"")),")",""),"(","")</f>
        <v>Special aggregate indexes</v>
      </c>
    </row>
    <row r="511" spans="1:8" x14ac:dyDescent="0.25">
      <c r="A511">
        <v>2016</v>
      </c>
      <c r="B511">
        <v>6</v>
      </c>
      <c r="C511" t="s">
        <v>19</v>
      </c>
      <c r="D511">
        <v>86.203999999999994</v>
      </c>
      <c r="E511">
        <v>1.1000000000000001</v>
      </c>
      <c r="F511">
        <v>0.95899999999999996</v>
      </c>
      <c r="H511" s="4" t="str">
        <f t="array" aca="1" ref="H511" ca="1">SUBSTITUTE(SUBSTITUTE(_xlfn.TEXTJOIN("",TRUE,IF(ISERR(MID(C511,ROW(INDIRECT("1:100")),1)+0),MID(C511,ROW(INDIRECT("1:100")),1),"")),")",""),"(","")</f>
        <v>All items less food</v>
      </c>
    </row>
    <row r="512" spans="1:8" x14ac:dyDescent="0.25">
      <c r="A512">
        <v>2016</v>
      </c>
      <c r="B512">
        <v>6</v>
      </c>
      <c r="C512" t="s">
        <v>20</v>
      </c>
      <c r="D512">
        <v>66.837999999999994</v>
      </c>
      <c r="E512">
        <v>-0.2</v>
      </c>
      <c r="F512">
        <v>-0.11700000000000001</v>
      </c>
      <c r="H512" s="4" t="str">
        <f t="array" aca="1" ref="H512" ca="1">SUBSTITUTE(SUBSTITUTE(_xlfn.TEXTJOIN("",TRUE,IF(ISERR(MID(C512,ROW(INDIRECT("1:100")),1)+0),MID(C512,ROW(INDIRECT("1:100")),1),"")),")",""),"(","")</f>
        <v>All items less shelter</v>
      </c>
    </row>
    <row r="513" spans="1:8" x14ac:dyDescent="0.25">
      <c r="A513">
        <v>2016</v>
      </c>
      <c r="B513">
        <v>6</v>
      </c>
      <c r="C513" t="s">
        <v>21</v>
      </c>
      <c r="D513">
        <v>53.042000000000002</v>
      </c>
      <c r="E513">
        <v>-0.3</v>
      </c>
      <c r="F513">
        <v>-0.16300000000000001</v>
      </c>
      <c r="H513" s="4" t="str">
        <f t="array" aca="1" ref="H513" ca="1">SUBSTITUTE(SUBSTITUTE(_xlfn.TEXTJOIN("",TRUE,IF(ISERR(MID(C513,ROW(INDIRECT("1:100")),1)+0),MID(C513,ROW(INDIRECT("1:100")),1),"")),")",""),"(","")</f>
        <v>All items less food and shelter</v>
      </c>
    </row>
    <row r="514" spans="1:8" x14ac:dyDescent="0.25">
      <c r="A514">
        <v>2016</v>
      </c>
      <c r="B514">
        <v>6</v>
      </c>
      <c r="C514" t="s">
        <v>22</v>
      </c>
      <c r="D514">
        <v>45.991</v>
      </c>
      <c r="E514">
        <v>1.4</v>
      </c>
      <c r="F514">
        <v>0.63500000000000001</v>
      </c>
      <c r="H514" s="4" t="str">
        <f t="array" aca="1" ref="H514" ca="1">SUBSTITUTE(SUBSTITUTE(_xlfn.TEXTJOIN("",TRUE,IF(ISERR(MID(C514,ROW(INDIRECT("1:100")),1)+0),MID(C514,ROW(INDIRECT("1:100")),1),"")),")",""),"(","")</f>
        <v>All items less food, shelter, and energy</v>
      </c>
    </row>
    <row r="515" spans="1:8" x14ac:dyDescent="0.25">
      <c r="A515">
        <v>2016</v>
      </c>
      <c r="B515">
        <v>6</v>
      </c>
      <c r="C515" t="s">
        <v>23</v>
      </c>
      <c r="D515">
        <v>43.853999999999999</v>
      </c>
      <c r="E515">
        <v>1.5</v>
      </c>
      <c r="F515">
        <v>0.67200000000000004</v>
      </c>
      <c r="H515" s="4" t="str">
        <f t="array" aca="1" ref="H515" ca="1">SUBSTITUTE(SUBSTITUTE(_xlfn.TEXTJOIN("",TRUE,IF(ISERR(MID(C515,ROW(INDIRECT("1:100")),1)+0),MID(C515,ROW(INDIRECT("1:100")),1),"")),")",""),"(","")</f>
        <v>All items less food, shelter, energy, and used cars and trucks</v>
      </c>
    </row>
    <row r="516" spans="1:8" x14ac:dyDescent="0.25">
      <c r="A516">
        <v>2016</v>
      </c>
      <c r="B516">
        <v>6</v>
      </c>
      <c r="C516" t="s">
        <v>24</v>
      </c>
      <c r="D516">
        <v>91.564999999999998</v>
      </c>
      <c r="E516">
        <v>0.8</v>
      </c>
      <c r="F516">
        <v>0.71199999999999997</v>
      </c>
      <c r="H516" s="4" t="str">
        <f t="array" aca="1" ref="H516" ca="1">SUBSTITUTE(SUBSTITUTE(_xlfn.TEXTJOIN("",TRUE,IF(ISERR(MID(C516,ROW(INDIRECT("1:100")),1)+0),MID(C516,ROW(INDIRECT("1:100")),1),"")),")",""),"(","")</f>
        <v>All items less medical care</v>
      </c>
    </row>
    <row r="517" spans="1:8" x14ac:dyDescent="0.25">
      <c r="A517">
        <v>2016</v>
      </c>
      <c r="B517">
        <v>6</v>
      </c>
      <c r="C517" t="s">
        <v>25</v>
      </c>
      <c r="D517">
        <v>92.948999999999998</v>
      </c>
      <c r="E517">
        <v>2</v>
      </c>
      <c r="F517">
        <v>1.804</v>
      </c>
      <c r="H517" s="4" t="str">
        <f t="array" aca="1" ref="H517" ca="1">SUBSTITUTE(SUBSTITUTE(_xlfn.TEXTJOIN("",TRUE,IF(ISERR(MID(C517,ROW(INDIRECT("1:100")),1)+0),MID(C517,ROW(INDIRECT("1:100")),1),"")),")",""),"(","")</f>
        <v>All items less energy</v>
      </c>
    </row>
    <row r="518" spans="1:8" x14ac:dyDescent="0.25">
      <c r="A518">
        <v>2016</v>
      </c>
      <c r="B518">
        <v>6</v>
      </c>
      <c r="C518" t="s">
        <v>26</v>
      </c>
      <c r="D518">
        <v>36.814</v>
      </c>
      <c r="E518">
        <v>-2</v>
      </c>
      <c r="F518">
        <v>-0.76500000000000001</v>
      </c>
      <c r="H518" s="4" t="str">
        <f t="array" aca="1" ref="H518" ca="1">SUBSTITUTE(SUBSTITUTE(_xlfn.TEXTJOIN("",TRUE,IF(ISERR(MID(C518,ROW(INDIRECT("1:100")),1)+0),MID(C518,ROW(INDIRECT("1:100")),1),"")),")",""),"(","")</f>
        <v>Commodities</v>
      </c>
    </row>
    <row r="519" spans="1:8" x14ac:dyDescent="0.25">
      <c r="A519">
        <v>2016</v>
      </c>
      <c r="B519">
        <v>6</v>
      </c>
      <c r="C519" t="s">
        <v>27</v>
      </c>
      <c r="D519">
        <v>63.186</v>
      </c>
      <c r="E519">
        <v>2.8</v>
      </c>
      <c r="F519">
        <v>1.77</v>
      </c>
      <c r="H519" s="4" t="str">
        <f t="array" aca="1" ref="H519" ca="1">SUBSTITUTE(SUBSTITUTE(_xlfn.TEXTJOIN("",TRUE,IF(ISERR(MID(C519,ROW(INDIRECT("1:100")),1)+0),MID(C519,ROW(INDIRECT("1:100")),1),"")),")",""),"(","")</f>
        <v>Services</v>
      </c>
    </row>
    <row r="520" spans="1:8" x14ac:dyDescent="0.25">
      <c r="A520">
        <v>2016</v>
      </c>
      <c r="B520">
        <v>6</v>
      </c>
      <c r="C520" t="s">
        <v>28</v>
      </c>
      <c r="D520">
        <v>9.5640000000000001</v>
      </c>
      <c r="E520">
        <v>-2</v>
      </c>
      <c r="F520">
        <v>-0.17799999999999999</v>
      </c>
      <c r="H520" s="4" t="str">
        <f t="array" aca="1" ref="H520" ca="1">SUBSTITUTE(SUBSTITUTE(_xlfn.TEXTJOIN("",TRUE,IF(ISERR(MID(C520,ROW(INDIRECT("1:100")),1)+0),MID(C520,ROW(INDIRECT("1:100")),1),"")),")",""),"(","")</f>
        <v>Durables</v>
      </c>
    </row>
    <row r="521" spans="1:8" x14ac:dyDescent="0.25">
      <c r="A521">
        <v>2016</v>
      </c>
      <c r="B521">
        <v>6</v>
      </c>
      <c r="C521" t="s">
        <v>29</v>
      </c>
      <c r="D521">
        <v>27.251000000000001</v>
      </c>
      <c r="E521">
        <v>-2</v>
      </c>
      <c r="F521">
        <v>-0.58699999999999997</v>
      </c>
      <c r="H521" s="4" t="str">
        <f t="array" aca="1" ref="H521" ca="1">SUBSTITUTE(SUBSTITUTE(_xlfn.TEXTJOIN("",TRUE,IF(ISERR(MID(C521,ROW(INDIRECT("1:100")),1)+0),MID(C521,ROW(INDIRECT("1:100")),1),"")),")",""),"(","")</f>
        <v>Nondurables</v>
      </c>
    </row>
    <row r="522" spans="1:8" x14ac:dyDescent="0.25">
      <c r="A522">
        <v>2016</v>
      </c>
      <c r="B522">
        <v>6</v>
      </c>
      <c r="C522" t="s">
        <v>8</v>
      </c>
      <c r="D522">
        <v>42.155000000000001</v>
      </c>
      <c r="E522">
        <v>2.4</v>
      </c>
      <c r="F522">
        <v>1</v>
      </c>
      <c r="H522" s="4" t="str">
        <f t="array" aca="1" ref="H522" ca="1">SUBSTITUTE(SUBSTITUTE(_xlfn.TEXTJOIN("",TRUE,IF(ISERR(MID(C522,ROW(INDIRECT("1:100")),1)+0),MID(C522,ROW(INDIRECT("1:100")),1),"")),")",""),"(","")</f>
        <v>Housing</v>
      </c>
    </row>
    <row r="523" spans="1:8" x14ac:dyDescent="0.25">
      <c r="A523">
        <v>2016</v>
      </c>
      <c r="B523">
        <v>6</v>
      </c>
      <c r="C523" t="s">
        <v>30</v>
      </c>
      <c r="D523">
        <v>7.0140000000000002</v>
      </c>
      <c r="E523">
        <v>1.1000000000000001</v>
      </c>
      <c r="F523">
        <v>7.3999999999999996E-2</v>
      </c>
      <c r="H523" s="4" t="str">
        <f t="array" aca="1" ref="H523" ca="1">SUBSTITUTE(SUBSTITUTE(_xlfn.TEXTJOIN("",TRUE,IF(ISERR(MID(C523,ROW(INDIRECT("1:100")),1)+0),MID(C523,ROW(INDIRECT("1:100")),1),"")),")",""),"(","")</f>
        <v>Education and communication</v>
      </c>
    </row>
    <row r="524" spans="1:8" x14ac:dyDescent="0.25">
      <c r="A524">
        <v>2016</v>
      </c>
      <c r="B524">
        <v>6</v>
      </c>
      <c r="C524" t="s">
        <v>31</v>
      </c>
      <c r="D524">
        <v>5.7380000000000004</v>
      </c>
      <c r="E524">
        <v>1</v>
      </c>
      <c r="F524">
        <v>5.8000000000000003E-2</v>
      </c>
      <c r="H524" s="4" t="str">
        <f t="array" aca="1" ref="H524" ca="1">SUBSTITUTE(SUBSTITUTE(_xlfn.TEXTJOIN("",TRUE,IF(ISERR(MID(C524,ROW(INDIRECT("1:100")),1)+0),MID(C524,ROW(INDIRECT("1:100")),1),"")),")",""),"(","")</f>
        <v>Recreation</v>
      </c>
    </row>
    <row r="525" spans="1:8" x14ac:dyDescent="0.25">
      <c r="A525">
        <v>2016</v>
      </c>
      <c r="B525">
        <v>6</v>
      </c>
      <c r="C525" t="s">
        <v>6</v>
      </c>
      <c r="D525">
        <v>14.749000000000001</v>
      </c>
      <c r="E525">
        <v>0.4</v>
      </c>
      <c r="F525">
        <v>5.8999999999999997E-2</v>
      </c>
      <c r="H525" s="4" t="str">
        <f t="array" aca="1" ref="H525" ca="1">SUBSTITUTE(SUBSTITUTE(_xlfn.TEXTJOIN("",TRUE,IF(ISERR(MID(C525,ROW(INDIRECT("1:100")),1)+0),MID(C525,ROW(INDIRECT("1:100")),1),"")),")",""),"(","")</f>
        <v>Food and beverages</v>
      </c>
    </row>
    <row r="526" spans="1:8" x14ac:dyDescent="0.25">
      <c r="A526">
        <v>2016</v>
      </c>
      <c r="B526">
        <v>6</v>
      </c>
      <c r="C526" t="s">
        <v>32</v>
      </c>
      <c r="D526">
        <v>11.881</v>
      </c>
      <c r="E526">
        <v>2.2000000000000002</v>
      </c>
      <c r="F526">
        <v>0.26500000000000001</v>
      </c>
      <c r="H526" s="4" t="str">
        <f t="array" aca="1" ref="H526" ca="1">SUBSTITUTE(SUBSTITUTE(_xlfn.TEXTJOIN("",TRUE,IF(ISERR(MID(C526,ROW(INDIRECT("1:100")),1)+0),MID(C526,ROW(INDIRECT("1:100")),1),"")),")",""),"(","")</f>
        <v>Other services</v>
      </c>
    </row>
    <row r="527" spans="1:8" x14ac:dyDescent="0.25">
      <c r="A527">
        <v>2016</v>
      </c>
      <c r="B527">
        <v>6</v>
      </c>
      <c r="C527" t="s">
        <v>33</v>
      </c>
      <c r="D527">
        <v>2.4740000000000002</v>
      </c>
      <c r="E527">
        <v>0.8</v>
      </c>
      <c r="F527">
        <v>1.6E-2</v>
      </c>
      <c r="H527" s="4" t="str">
        <f t="array" aca="1" ref="H527" ca="1">SUBSTITUTE(SUBSTITUTE(_xlfn.TEXTJOIN("",TRUE,IF(ISERR(MID(C527,ROW(INDIRECT("1:100")),1)+0),MID(C527,ROW(INDIRECT("1:100")),1),"")),")",""),"(","")</f>
        <v>Apparel less footwear</v>
      </c>
    </row>
    <row r="528" spans="1:8" x14ac:dyDescent="0.25">
      <c r="A528">
        <v>2016</v>
      </c>
      <c r="B528">
        <v>6</v>
      </c>
      <c r="C528" t="s">
        <v>34</v>
      </c>
      <c r="D528">
        <v>4.907</v>
      </c>
      <c r="E528">
        <v>-1.4</v>
      </c>
      <c r="F528">
        <v>-7.6999999999999999E-2</v>
      </c>
      <c r="H528" s="4" t="str">
        <f t="array" aca="1" ref="H528" ca="1">SUBSTITUTE(SUBSTITUTE(_xlfn.TEXTJOIN("",TRUE,IF(ISERR(MID(C528,ROW(INDIRECT("1:100")),1)+0),MID(C528,ROW(INDIRECT("1:100")),1),"")),")",""),"(","")</f>
        <v>Fuels and utilities</v>
      </c>
    </row>
    <row r="529" spans="1:8" x14ac:dyDescent="0.25">
      <c r="A529">
        <v>2016</v>
      </c>
      <c r="B529">
        <v>6</v>
      </c>
      <c r="C529" t="s">
        <v>11</v>
      </c>
      <c r="D529">
        <v>8.4350000000000005</v>
      </c>
      <c r="E529">
        <v>3.6</v>
      </c>
      <c r="F529">
        <v>0.29399999999999998</v>
      </c>
      <c r="H529" s="4" t="str">
        <f t="array" aca="1" ref="H529" ca="1">SUBSTITUTE(SUBSTITUTE(_xlfn.TEXTJOIN("",TRUE,IF(ISERR(MID(C529,ROW(INDIRECT("1:100")),1)+0),MID(C529,ROW(INDIRECT("1:100")),1),"")),")",""),"(","")</f>
        <v>Medical care</v>
      </c>
    </row>
    <row r="530" spans="1:8" x14ac:dyDescent="0.25">
      <c r="A530">
        <v>2016</v>
      </c>
      <c r="B530">
        <v>6</v>
      </c>
      <c r="C530" t="s">
        <v>7</v>
      </c>
      <c r="D530">
        <v>15.579000000000001</v>
      </c>
      <c r="E530">
        <v>-3.7</v>
      </c>
      <c r="F530">
        <v>-0.55200000000000005</v>
      </c>
      <c r="H530" s="4" t="str">
        <f t="array" aca="1" ref="H530" ca="1">SUBSTITUTE(SUBSTITUTE(_xlfn.TEXTJOIN("",TRUE,IF(ISERR(MID(C530,ROW(INDIRECT("1:100")),1)+0),MID(C530,ROW(INDIRECT("1:100")),1),"")),")",""),"(","")</f>
        <v>Transportation</v>
      </c>
    </row>
    <row r="531" spans="1:8" x14ac:dyDescent="0.25">
      <c r="A531">
        <v>2016</v>
      </c>
      <c r="B531">
        <v>6</v>
      </c>
      <c r="C531" t="s">
        <v>35</v>
      </c>
      <c r="D531">
        <v>9.9789999999999992</v>
      </c>
      <c r="E531">
        <v>0</v>
      </c>
      <c r="F531">
        <v>0</v>
      </c>
      <c r="H531" s="4" t="str">
        <f t="array" aca="1" ref="H531" ca="1">SUBSTITUTE(SUBSTITUTE(_xlfn.TEXTJOIN("",TRUE,IF(ISERR(MID(C531,ROW(INDIRECT("1:100")),1)+0),MID(C531,ROW(INDIRECT("1:100")),1),"")),")",""),"(","")</f>
        <v>Utilities and public transportation</v>
      </c>
    </row>
    <row r="532" spans="1:8" x14ac:dyDescent="0.25">
      <c r="A532">
        <v>2016</v>
      </c>
      <c r="B532">
        <v>6</v>
      </c>
      <c r="C532" t="s">
        <v>36</v>
      </c>
      <c r="D532">
        <v>4.0860000000000003</v>
      </c>
      <c r="E532">
        <v>-1.1000000000000001</v>
      </c>
      <c r="F532">
        <v>-4.5999999999999999E-2</v>
      </c>
      <c r="H532" s="4" t="str">
        <f t="array" aca="1" ref="H532" ca="1">SUBSTITUTE(SUBSTITUTE(_xlfn.TEXTJOIN("",TRUE,IF(ISERR(MID(C532,ROW(INDIRECT("1:100")),1)+0),MID(C532,ROW(INDIRECT("1:100")),1),"")),")",""),"(","")</f>
        <v>Household furnishings and operations</v>
      </c>
    </row>
    <row r="533" spans="1:8" x14ac:dyDescent="0.25">
      <c r="A533">
        <v>2016</v>
      </c>
      <c r="B533">
        <v>6</v>
      </c>
      <c r="C533" t="s">
        <v>12</v>
      </c>
      <c r="D533">
        <v>3.1549999999999998</v>
      </c>
      <c r="E533">
        <v>1.9</v>
      </c>
      <c r="F533">
        <v>6.0999999999999999E-2</v>
      </c>
      <c r="H533" s="4" t="str">
        <f t="array" aca="1" ref="H533" ca="1">SUBSTITUTE(SUBSTITUTE(_xlfn.TEXTJOIN("",TRUE,IF(ISERR(MID(C533,ROW(INDIRECT("1:100")),1)+0),MID(C533,ROW(INDIRECT("1:100")),1),"")),")",""),"(","")</f>
        <v>Other goods and services</v>
      </c>
    </row>
    <row r="534" spans="1:8" x14ac:dyDescent="0.25">
      <c r="A534">
        <v>2016</v>
      </c>
      <c r="B534">
        <v>7</v>
      </c>
      <c r="C534" t="s">
        <v>14</v>
      </c>
      <c r="D534">
        <v>100</v>
      </c>
      <c r="E534">
        <v>0.8</v>
      </c>
      <c r="H534" s="4" t="str">
        <f t="array" aca="1" ref="H534" ca="1">SUBSTITUTE(SUBSTITUTE(_xlfn.TEXTJOIN("",TRUE,IF(ISERR(MID(C534,ROW(INDIRECT("1:100")),1)+0),MID(C534,ROW(INDIRECT("1:100")),1),"")),")",""),"(","")</f>
        <v>All items</v>
      </c>
    </row>
    <row r="535" spans="1:8" x14ac:dyDescent="0.25">
      <c r="A535">
        <v>2016</v>
      </c>
      <c r="B535">
        <v>7</v>
      </c>
      <c r="C535" t="s">
        <v>15</v>
      </c>
      <c r="D535">
        <v>13.728999999999999</v>
      </c>
      <c r="E535">
        <v>0.2</v>
      </c>
      <c r="F535">
        <v>3.2000000000000001E-2</v>
      </c>
      <c r="H535" s="4" t="str">
        <f t="array" aca="1" ref="H535" ca="1">SUBSTITUTE(SUBSTITUTE(_xlfn.TEXTJOIN("",TRUE,IF(ISERR(MID(C535,ROW(INDIRECT("1:100")),1)+0),MID(C535,ROW(INDIRECT("1:100")),1),"")),")",""),"(","")</f>
        <v>Food</v>
      </c>
    </row>
    <row r="536" spans="1:8" x14ac:dyDescent="0.25">
      <c r="A536">
        <v>2016</v>
      </c>
      <c r="B536">
        <v>7</v>
      </c>
      <c r="C536" t="s">
        <v>16</v>
      </c>
      <c r="D536">
        <v>7.2960000000000003</v>
      </c>
      <c r="E536">
        <v>-10.9</v>
      </c>
      <c r="F536">
        <v>-0.91100000000000003</v>
      </c>
      <c r="H536" s="4" t="str">
        <f t="array" aca="1" ref="H536" ca="1">SUBSTITUTE(SUBSTITUTE(_xlfn.TEXTJOIN("",TRUE,IF(ISERR(MID(C536,ROW(INDIRECT("1:100")),1)+0),MID(C536,ROW(INDIRECT("1:100")),1),"")),")",""),"(","")</f>
        <v>Energy</v>
      </c>
    </row>
    <row r="537" spans="1:8" x14ac:dyDescent="0.25">
      <c r="A537">
        <v>2016</v>
      </c>
      <c r="B537">
        <v>7</v>
      </c>
      <c r="C537" t="s">
        <v>17</v>
      </c>
      <c r="D537">
        <v>78.974999999999994</v>
      </c>
      <c r="E537">
        <v>2.2000000000000002</v>
      </c>
      <c r="F537">
        <v>1.714</v>
      </c>
      <c r="H537" s="4" t="str">
        <f t="array" aca="1" ref="H537" ca="1">SUBSTITUTE(SUBSTITUTE(_xlfn.TEXTJOIN("",TRUE,IF(ISERR(MID(C537,ROW(INDIRECT("1:100")),1)+0),MID(C537,ROW(INDIRECT("1:100")),1),"")),")",""),"(","")</f>
        <v>All items less food and energy</v>
      </c>
    </row>
    <row r="538" spans="1:8" x14ac:dyDescent="0.25">
      <c r="A538">
        <v>2016</v>
      </c>
      <c r="B538">
        <v>7</v>
      </c>
      <c r="C538" t="s">
        <v>18</v>
      </c>
      <c r="H538" s="4" t="str">
        <f t="array" aca="1" ref="H538" ca="1">SUBSTITUTE(SUBSTITUTE(_xlfn.TEXTJOIN("",TRUE,IF(ISERR(MID(C538,ROW(INDIRECT("1:100")),1)+0),MID(C538,ROW(INDIRECT("1:100")),1),"")),")",""),"(","")</f>
        <v>Special aggregate indexes</v>
      </c>
    </row>
    <row r="539" spans="1:8" x14ac:dyDescent="0.25">
      <c r="A539">
        <v>2016</v>
      </c>
      <c r="B539">
        <v>7</v>
      </c>
      <c r="C539" t="s">
        <v>19</v>
      </c>
      <c r="D539">
        <v>86.271000000000001</v>
      </c>
      <c r="E539">
        <v>0.9</v>
      </c>
      <c r="F539">
        <v>0.80300000000000005</v>
      </c>
      <c r="H539" s="4" t="str">
        <f t="array" aca="1" ref="H539" ca="1">SUBSTITUTE(SUBSTITUTE(_xlfn.TEXTJOIN("",TRUE,IF(ISERR(MID(C539,ROW(INDIRECT("1:100")),1)+0),MID(C539,ROW(INDIRECT("1:100")),1),"")),")",""),"(","")</f>
        <v>All items less food</v>
      </c>
    </row>
    <row r="540" spans="1:8" x14ac:dyDescent="0.25">
      <c r="A540">
        <v>2016</v>
      </c>
      <c r="B540">
        <v>7</v>
      </c>
      <c r="C540" t="s">
        <v>20</v>
      </c>
      <c r="D540">
        <v>66.816999999999993</v>
      </c>
      <c r="E540">
        <v>-0.4</v>
      </c>
      <c r="F540">
        <v>-0.24199999999999999</v>
      </c>
      <c r="H540" s="4" t="str">
        <f t="array" aca="1" ref="H540" ca="1">SUBSTITUTE(SUBSTITUTE(_xlfn.TEXTJOIN("",TRUE,IF(ISERR(MID(C540,ROW(INDIRECT("1:100")),1)+0),MID(C540,ROW(INDIRECT("1:100")),1),"")),")",""),"(","")</f>
        <v>All items less shelter</v>
      </c>
    </row>
    <row r="541" spans="1:8" x14ac:dyDescent="0.25">
      <c r="A541">
        <v>2016</v>
      </c>
      <c r="B541">
        <v>7</v>
      </c>
      <c r="C541" t="s">
        <v>21</v>
      </c>
      <c r="D541">
        <v>53.087000000000003</v>
      </c>
      <c r="E541">
        <v>-0.5</v>
      </c>
      <c r="F541">
        <v>-0.27300000000000002</v>
      </c>
      <c r="H541" s="4" t="str">
        <f t="array" aca="1" ref="H541" ca="1">SUBSTITUTE(SUBSTITUTE(_xlfn.TEXTJOIN("",TRUE,IF(ISERR(MID(C541,ROW(INDIRECT("1:100")),1)+0),MID(C541,ROW(INDIRECT("1:100")),1),"")),")",""),"(","")</f>
        <v>All items less food and shelter</v>
      </c>
    </row>
    <row r="542" spans="1:8" x14ac:dyDescent="0.25">
      <c r="A542">
        <v>2016</v>
      </c>
      <c r="B542">
        <v>7</v>
      </c>
      <c r="C542" t="s">
        <v>22</v>
      </c>
      <c r="D542">
        <v>45.790999999999997</v>
      </c>
      <c r="E542">
        <v>1.4</v>
      </c>
      <c r="F542">
        <v>0.63700000000000001</v>
      </c>
      <c r="H542" s="4" t="str">
        <f t="array" aca="1" ref="H542" ca="1">SUBSTITUTE(SUBSTITUTE(_xlfn.TEXTJOIN("",TRUE,IF(ISERR(MID(C542,ROW(INDIRECT("1:100")),1)+0),MID(C542,ROW(INDIRECT("1:100")),1),"")),")",""),"(","")</f>
        <v>All items less food, shelter, and energy</v>
      </c>
    </row>
    <row r="543" spans="1:8" x14ac:dyDescent="0.25">
      <c r="A543">
        <v>2016</v>
      </c>
      <c r="B543">
        <v>7</v>
      </c>
      <c r="C543" t="s">
        <v>23</v>
      </c>
      <c r="D543">
        <v>43.673999999999999</v>
      </c>
      <c r="E543">
        <v>1.6</v>
      </c>
      <c r="F543">
        <v>0.68899999999999995</v>
      </c>
      <c r="H543" s="4" t="str">
        <f t="array" aca="1" ref="H543" ca="1">SUBSTITUTE(SUBSTITUTE(_xlfn.TEXTJOIN("",TRUE,IF(ISERR(MID(C543,ROW(INDIRECT("1:100")),1)+0),MID(C543,ROW(INDIRECT("1:100")),1),"")),")",""),"(","")</f>
        <v>All items less food, shelter, energy, and used cars and trucks</v>
      </c>
    </row>
    <row r="544" spans="1:8" x14ac:dyDescent="0.25">
      <c r="A544">
        <v>2016</v>
      </c>
      <c r="B544">
        <v>7</v>
      </c>
      <c r="C544" t="s">
        <v>24</v>
      </c>
      <c r="D544">
        <v>91.572999999999993</v>
      </c>
      <c r="E544">
        <v>0.6</v>
      </c>
      <c r="F544">
        <v>0.51200000000000001</v>
      </c>
      <c r="H544" s="4" t="str">
        <f t="array" aca="1" ref="H544" ca="1">SUBSTITUTE(SUBSTITUTE(_xlfn.TEXTJOIN("",TRUE,IF(ISERR(MID(C544,ROW(INDIRECT("1:100")),1)+0),MID(C544,ROW(INDIRECT("1:100")),1),"")),")",""),"(","")</f>
        <v>All items less medical care</v>
      </c>
    </row>
    <row r="545" spans="1:8" x14ac:dyDescent="0.25">
      <c r="A545">
        <v>2016</v>
      </c>
      <c r="B545">
        <v>7</v>
      </c>
      <c r="C545" t="s">
        <v>25</v>
      </c>
      <c r="D545">
        <v>92.703999999999994</v>
      </c>
      <c r="E545">
        <v>1.9</v>
      </c>
      <c r="F545">
        <v>1.746</v>
      </c>
      <c r="H545" s="4" t="str">
        <f t="array" aca="1" ref="H545" ca="1">SUBSTITUTE(SUBSTITUTE(_xlfn.TEXTJOIN("",TRUE,IF(ISERR(MID(C545,ROW(INDIRECT("1:100")),1)+0),MID(C545,ROW(INDIRECT("1:100")),1),"")),")",""),"(","")</f>
        <v>All items less energy</v>
      </c>
    </row>
    <row r="546" spans="1:8" x14ac:dyDescent="0.25">
      <c r="A546">
        <v>2016</v>
      </c>
      <c r="B546">
        <v>7</v>
      </c>
      <c r="C546" t="s">
        <v>26</v>
      </c>
      <c r="D546">
        <v>36.728999999999999</v>
      </c>
      <c r="E546">
        <v>-2.5</v>
      </c>
      <c r="F546">
        <v>-0.95199999999999996</v>
      </c>
      <c r="H546" s="4" t="str">
        <f t="array" aca="1" ref="H546" ca="1">SUBSTITUTE(SUBSTITUTE(_xlfn.TEXTJOIN("",TRUE,IF(ISERR(MID(C546,ROW(INDIRECT("1:100")),1)+0),MID(C546,ROW(INDIRECT("1:100")),1),"")),")",""),"(","")</f>
        <v>Commodities</v>
      </c>
    </row>
    <row r="547" spans="1:8" x14ac:dyDescent="0.25">
      <c r="A547">
        <v>2016</v>
      </c>
      <c r="B547">
        <v>7</v>
      </c>
      <c r="C547" t="s">
        <v>27</v>
      </c>
      <c r="D547">
        <v>63.271000000000001</v>
      </c>
      <c r="E547">
        <v>2.9</v>
      </c>
      <c r="F547">
        <v>1.7869999999999999</v>
      </c>
      <c r="H547" s="4" t="str">
        <f t="array" aca="1" ref="H547" ca="1">SUBSTITUTE(SUBSTITUTE(_xlfn.TEXTJOIN("",TRUE,IF(ISERR(MID(C547,ROW(INDIRECT("1:100")),1)+0),MID(C547,ROW(INDIRECT("1:100")),1),"")),")",""),"(","")</f>
        <v>Services</v>
      </c>
    </row>
    <row r="548" spans="1:8" x14ac:dyDescent="0.25">
      <c r="A548">
        <v>2016</v>
      </c>
      <c r="B548">
        <v>7</v>
      </c>
      <c r="C548" t="s">
        <v>28</v>
      </c>
      <c r="D548">
        <v>9.4870000000000001</v>
      </c>
      <c r="E548">
        <v>-2</v>
      </c>
      <c r="F548">
        <v>-0.18099999999999999</v>
      </c>
      <c r="H548" s="4" t="str">
        <f t="array" aca="1" ref="H548" ca="1">SUBSTITUTE(SUBSTITUTE(_xlfn.TEXTJOIN("",TRUE,IF(ISERR(MID(C548,ROW(INDIRECT("1:100")),1)+0),MID(C548,ROW(INDIRECT("1:100")),1),"")),")",""),"(","")</f>
        <v>Durables</v>
      </c>
    </row>
    <row r="549" spans="1:8" x14ac:dyDescent="0.25">
      <c r="A549">
        <v>2016</v>
      </c>
      <c r="B549">
        <v>7</v>
      </c>
      <c r="C549" t="s">
        <v>29</v>
      </c>
      <c r="D549">
        <v>27.242000000000001</v>
      </c>
      <c r="E549">
        <v>-2.6</v>
      </c>
      <c r="F549">
        <v>-0.77</v>
      </c>
      <c r="H549" s="4" t="str">
        <f t="array" aca="1" ref="H549" ca="1">SUBSTITUTE(SUBSTITUTE(_xlfn.TEXTJOIN("",TRUE,IF(ISERR(MID(C549,ROW(INDIRECT("1:100")),1)+0),MID(C549,ROW(INDIRECT("1:100")),1),"")),")",""),"(","")</f>
        <v>Nondurables</v>
      </c>
    </row>
    <row r="550" spans="1:8" x14ac:dyDescent="0.25">
      <c r="A550">
        <v>2016</v>
      </c>
      <c r="B550">
        <v>7</v>
      </c>
      <c r="C550" t="s">
        <v>8</v>
      </c>
      <c r="D550">
        <v>42.268999999999998</v>
      </c>
      <c r="E550">
        <v>2.4</v>
      </c>
      <c r="F550">
        <v>1.024</v>
      </c>
      <c r="H550" s="4" t="str">
        <f t="array" aca="1" ref="H550" ca="1">SUBSTITUTE(SUBSTITUTE(_xlfn.TEXTJOIN("",TRUE,IF(ISERR(MID(C550,ROW(INDIRECT("1:100")),1)+0),MID(C550,ROW(INDIRECT("1:100")),1),"")),")",""),"(","")</f>
        <v>Housing</v>
      </c>
    </row>
    <row r="551" spans="1:8" x14ac:dyDescent="0.25">
      <c r="A551">
        <v>2016</v>
      </c>
      <c r="B551">
        <v>7</v>
      </c>
      <c r="C551" t="s">
        <v>30</v>
      </c>
      <c r="D551">
        <v>6.9870000000000001</v>
      </c>
      <c r="E551">
        <v>0.9</v>
      </c>
      <c r="F551">
        <v>0.06</v>
      </c>
      <c r="H551" s="4" t="str">
        <f t="array" aca="1" ref="H551" ca="1">SUBSTITUTE(SUBSTITUTE(_xlfn.TEXTJOIN("",TRUE,IF(ISERR(MID(C551,ROW(INDIRECT("1:100")),1)+0),MID(C551,ROW(INDIRECT("1:100")),1),"")),")",""),"(","")</f>
        <v>Education and communication</v>
      </c>
    </row>
    <row r="552" spans="1:8" x14ac:dyDescent="0.25">
      <c r="A552">
        <v>2016</v>
      </c>
      <c r="B552">
        <v>7</v>
      </c>
      <c r="C552" t="s">
        <v>31</v>
      </c>
      <c r="D552">
        <v>5.7220000000000004</v>
      </c>
      <c r="E552">
        <v>0.9</v>
      </c>
      <c r="F552">
        <v>4.9000000000000002E-2</v>
      </c>
      <c r="H552" s="4" t="str">
        <f t="array" aca="1" ref="H552" ca="1">SUBSTITUTE(SUBSTITUTE(_xlfn.TEXTJOIN("",TRUE,IF(ISERR(MID(C552,ROW(INDIRECT("1:100")),1)+0),MID(C552,ROW(INDIRECT("1:100")),1),"")),")",""),"(","")</f>
        <v>Recreation</v>
      </c>
    </row>
    <row r="553" spans="1:8" x14ac:dyDescent="0.25">
      <c r="A553">
        <v>2016</v>
      </c>
      <c r="B553">
        <v>7</v>
      </c>
      <c r="C553" t="s">
        <v>6</v>
      </c>
      <c r="D553">
        <v>14.678000000000001</v>
      </c>
      <c r="E553">
        <v>0.3</v>
      </c>
      <c r="F553">
        <v>4.3999999999999997E-2</v>
      </c>
      <c r="H553" s="4" t="str">
        <f t="array" aca="1" ref="H553" ca="1">SUBSTITUTE(SUBSTITUTE(_xlfn.TEXTJOIN("",TRUE,IF(ISERR(MID(C553,ROW(INDIRECT("1:100")),1)+0),MID(C553,ROW(INDIRECT("1:100")),1),"")),")",""),"(","")</f>
        <v>Food and beverages</v>
      </c>
    </row>
    <row r="554" spans="1:8" x14ac:dyDescent="0.25">
      <c r="A554">
        <v>2016</v>
      </c>
      <c r="B554">
        <v>7</v>
      </c>
      <c r="C554" t="s">
        <v>32</v>
      </c>
      <c r="D554">
        <v>11.867000000000001</v>
      </c>
      <c r="E554">
        <v>2.1</v>
      </c>
      <c r="F554">
        <v>0.252</v>
      </c>
      <c r="H554" s="4" t="str">
        <f t="array" aca="1" ref="H554" ca="1">SUBSTITUTE(SUBSTITUTE(_xlfn.TEXTJOIN("",TRUE,IF(ISERR(MID(C554,ROW(INDIRECT("1:100")),1)+0),MID(C554,ROW(INDIRECT("1:100")),1),"")),")",""),"(","")</f>
        <v>Other services</v>
      </c>
    </row>
    <row r="555" spans="1:8" x14ac:dyDescent="0.25">
      <c r="A555">
        <v>2016</v>
      </c>
      <c r="B555">
        <v>7</v>
      </c>
      <c r="C555" t="s">
        <v>33</v>
      </c>
      <c r="D555">
        <v>2.4279999999999999</v>
      </c>
      <c r="E555">
        <v>0.8</v>
      </c>
      <c r="F555">
        <v>1.9E-2</v>
      </c>
      <c r="H555" s="4" t="str">
        <f t="array" aca="1" ref="H555" ca="1">SUBSTITUTE(SUBSTITUTE(_xlfn.TEXTJOIN("",TRUE,IF(ISERR(MID(C555,ROW(INDIRECT("1:100")),1)+0),MID(C555,ROW(INDIRECT("1:100")),1),"")),")",""),"(","")</f>
        <v>Apparel less footwear</v>
      </c>
    </row>
    <row r="556" spans="1:8" x14ac:dyDescent="0.25">
      <c r="A556">
        <v>2016</v>
      </c>
      <c r="B556">
        <v>7</v>
      </c>
      <c r="C556" t="s">
        <v>34</v>
      </c>
      <c r="D556">
        <v>5.0149999999999997</v>
      </c>
      <c r="E556">
        <v>-0.2</v>
      </c>
      <c r="F556">
        <v>-1.6E-2</v>
      </c>
      <c r="H556" s="4" t="str">
        <f t="array" aca="1" ref="H556" ca="1">SUBSTITUTE(SUBSTITUTE(_xlfn.TEXTJOIN("",TRUE,IF(ISERR(MID(C556,ROW(INDIRECT("1:100")),1)+0),MID(C556,ROW(INDIRECT("1:100")),1),"")),")",""),"(","")</f>
        <v>Fuels and utilities</v>
      </c>
    </row>
    <row r="557" spans="1:8" x14ac:dyDescent="0.25">
      <c r="A557">
        <v>2016</v>
      </c>
      <c r="B557">
        <v>7</v>
      </c>
      <c r="C557" t="s">
        <v>11</v>
      </c>
      <c r="D557">
        <v>8.4269999999999996</v>
      </c>
      <c r="E557">
        <v>4</v>
      </c>
      <c r="F557">
        <v>0.32300000000000001</v>
      </c>
      <c r="H557" s="4" t="str">
        <f t="array" aca="1" ref="H557" ca="1">SUBSTITUTE(SUBSTITUTE(_xlfn.TEXTJOIN("",TRUE,IF(ISERR(MID(C557,ROW(INDIRECT("1:100")),1)+0),MID(C557,ROW(INDIRECT("1:100")),1),"")),")",""),"(","")</f>
        <v>Medical care</v>
      </c>
    </row>
    <row r="558" spans="1:8" x14ac:dyDescent="0.25">
      <c r="A558">
        <v>2016</v>
      </c>
      <c r="B558">
        <v>7</v>
      </c>
      <c r="C558" t="s">
        <v>7</v>
      </c>
      <c r="D558">
        <v>15.657</v>
      </c>
      <c r="E558">
        <v>-4.9000000000000004</v>
      </c>
      <c r="F558">
        <v>-0.73799999999999999</v>
      </c>
      <c r="H558" s="4" t="str">
        <f t="array" aca="1" ref="H558" ca="1">SUBSTITUTE(SUBSTITUTE(_xlfn.TEXTJOIN("",TRUE,IF(ISERR(MID(C558,ROW(INDIRECT("1:100")),1)+0),MID(C558,ROW(INDIRECT("1:100")),1),"")),")",""),"(","")</f>
        <v>Transportation</v>
      </c>
    </row>
    <row r="559" spans="1:8" x14ac:dyDescent="0.25">
      <c r="A559">
        <v>2016</v>
      </c>
      <c r="B559">
        <v>7</v>
      </c>
      <c r="C559" t="s">
        <v>35</v>
      </c>
      <c r="D559">
        <v>10.073</v>
      </c>
      <c r="E559">
        <v>0.5</v>
      </c>
      <c r="F559">
        <v>4.8000000000000001E-2</v>
      </c>
      <c r="H559" s="4" t="str">
        <f t="array" aca="1" ref="H559" ca="1">SUBSTITUTE(SUBSTITUTE(_xlfn.TEXTJOIN("",TRUE,IF(ISERR(MID(C559,ROW(INDIRECT("1:100")),1)+0),MID(C559,ROW(INDIRECT("1:100")),1),"")),")",""),"(","")</f>
        <v>Utilities and public transportation</v>
      </c>
    </row>
    <row r="560" spans="1:8" x14ac:dyDescent="0.25">
      <c r="A560">
        <v>2016</v>
      </c>
      <c r="B560">
        <v>7</v>
      </c>
      <c r="C560" t="s">
        <v>36</v>
      </c>
      <c r="D560">
        <v>4.0709999999999997</v>
      </c>
      <c r="E560">
        <v>-0.9</v>
      </c>
      <c r="F560">
        <v>-3.6999999999999998E-2</v>
      </c>
      <c r="H560" s="4" t="str">
        <f t="array" aca="1" ref="H560" ca="1">SUBSTITUTE(SUBSTITUTE(_xlfn.TEXTJOIN("",TRUE,IF(ISERR(MID(C560,ROW(INDIRECT("1:100")),1)+0),MID(C560,ROW(INDIRECT("1:100")),1),"")),")",""),"(","")</f>
        <v>Household furnishings and operations</v>
      </c>
    </row>
    <row r="561" spans="1:8" x14ac:dyDescent="0.25">
      <c r="A561">
        <v>2016</v>
      </c>
      <c r="B561">
        <v>7</v>
      </c>
      <c r="C561" t="s">
        <v>12</v>
      </c>
      <c r="D561">
        <v>3.1520000000000001</v>
      </c>
      <c r="E561">
        <v>1.9</v>
      </c>
      <c r="F561">
        <v>6.3E-2</v>
      </c>
      <c r="H561" s="4" t="str">
        <f t="array" aca="1" ref="H561" ca="1">SUBSTITUTE(SUBSTITUTE(_xlfn.TEXTJOIN("",TRUE,IF(ISERR(MID(C561,ROW(INDIRECT("1:100")),1)+0),MID(C561,ROW(INDIRECT("1:100")),1),"")),")",""),"(","")</f>
        <v>Other goods and services</v>
      </c>
    </row>
    <row r="562" spans="1:8" x14ac:dyDescent="0.25">
      <c r="A562">
        <v>2016</v>
      </c>
      <c r="B562">
        <v>8</v>
      </c>
      <c r="C562" t="s">
        <v>14</v>
      </c>
      <c r="D562">
        <v>100</v>
      </c>
      <c r="E562">
        <v>1.1000000000000001</v>
      </c>
      <c r="H562" s="4" t="str">
        <f t="array" aca="1" ref="H562" ca="1">SUBSTITUTE(SUBSTITUTE(_xlfn.TEXTJOIN("",TRUE,IF(ISERR(MID(C562,ROW(INDIRECT("1:100")),1)+0),MID(C562,ROW(INDIRECT("1:100")),1),"")),")",""),"(","")</f>
        <v>All items</v>
      </c>
    </row>
    <row r="563" spans="1:8" x14ac:dyDescent="0.25">
      <c r="A563">
        <v>2016</v>
      </c>
      <c r="B563">
        <v>8</v>
      </c>
      <c r="C563" t="s">
        <v>15</v>
      </c>
      <c r="D563">
        <v>13.756</v>
      </c>
      <c r="E563">
        <v>0</v>
      </c>
      <c r="F563">
        <v>3.0000000000000001E-3</v>
      </c>
      <c r="H563" s="4" t="str">
        <f t="array" aca="1" ref="H563" ca="1">SUBSTITUTE(SUBSTITUTE(_xlfn.TEXTJOIN("",TRUE,IF(ISERR(MID(C563,ROW(INDIRECT("1:100")),1)+0),MID(C563,ROW(INDIRECT("1:100")),1),"")),")",""),"(","")</f>
        <v>Food</v>
      </c>
    </row>
    <row r="564" spans="1:8" x14ac:dyDescent="0.25">
      <c r="A564">
        <v>2016</v>
      </c>
      <c r="B564">
        <v>8</v>
      </c>
      <c r="C564" t="s">
        <v>16</v>
      </c>
      <c r="D564">
        <v>7.1580000000000004</v>
      </c>
      <c r="E564">
        <v>-9.1999999999999993</v>
      </c>
      <c r="F564">
        <v>-0.752</v>
      </c>
      <c r="H564" s="4" t="str">
        <f t="array" aca="1" ref="H564" ca="1">SUBSTITUTE(SUBSTITUTE(_xlfn.TEXTJOIN("",TRUE,IF(ISERR(MID(C564,ROW(INDIRECT("1:100")),1)+0),MID(C564,ROW(INDIRECT("1:100")),1),"")),")",""),"(","")</f>
        <v>Energy</v>
      </c>
    </row>
    <row r="565" spans="1:8" x14ac:dyDescent="0.25">
      <c r="A565">
        <v>2016</v>
      </c>
      <c r="B565">
        <v>8</v>
      </c>
      <c r="C565" t="s">
        <v>17</v>
      </c>
      <c r="D565">
        <v>79.085999999999999</v>
      </c>
      <c r="E565">
        <v>2.2999999999999998</v>
      </c>
      <c r="F565">
        <v>1.8140000000000001</v>
      </c>
      <c r="H565" s="4" t="str">
        <f t="array" aca="1" ref="H565" ca="1">SUBSTITUTE(SUBSTITUTE(_xlfn.TEXTJOIN("",TRUE,IF(ISERR(MID(C565,ROW(INDIRECT("1:100")),1)+0),MID(C565,ROW(INDIRECT("1:100")),1),"")),")",""),"(","")</f>
        <v>All items less food and energy</v>
      </c>
    </row>
    <row r="566" spans="1:8" x14ac:dyDescent="0.25">
      <c r="A566">
        <v>2016</v>
      </c>
      <c r="B566">
        <v>8</v>
      </c>
      <c r="C566" t="s">
        <v>18</v>
      </c>
      <c r="H566" s="4" t="str">
        <f t="array" aca="1" ref="H566" ca="1">SUBSTITUTE(SUBSTITUTE(_xlfn.TEXTJOIN("",TRUE,IF(ISERR(MID(C566,ROW(INDIRECT("1:100")),1)+0),MID(C566,ROW(INDIRECT("1:100")),1),"")),")",""),"(","")</f>
        <v>Special aggregate indexes</v>
      </c>
    </row>
    <row r="567" spans="1:8" x14ac:dyDescent="0.25">
      <c r="A567">
        <v>2016</v>
      </c>
      <c r="B567">
        <v>8</v>
      </c>
      <c r="C567" t="s">
        <v>19</v>
      </c>
      <c r="D567">
        <v>86.244</v>
      </c>
      <c r="E567">
        <v>1.2</v>
      </c>
      <c r="F567">
        <v>1.0620000000000001</v>
      </c>
      <c r="H567" s="4" t="str">
        <f t="array" aca="1" ref="H567" ca="1">SUBSTITUTE(SUBSTITUTE(_xlfn.TEXTJOIN("",TRUE,IF(ISERR(MID(C567,ROW(INDIRECT("1:100")),1)+0),MID(C567,ROW(INDIRECT("1:100")),1),"")),")",""),"(","")</f>
        <v>All items less food</v>
      </c>
    </row>
    <row r="568" spans="1:8" x14ac:dyDescent="0.25">
      <c r="A568">
        <v>2016</v>
      </c>
      <c r="B568">
        <v>8</v>
      </c>
      <c r="C568" t="s">
        <v>20</v>
      </c>
      <c r="D568">
        <v>66.680000000000007</v>
      </c>
      <c r="E568">
        <v>-0.1</v>
      </c>
      <c r="F568">
        <v>-4.7E-2</v>
      </c>
      <c r="H568" s="4" t="str">
        <f t="array" aca="1" ref="H568" ca="1">SUBSTITUTE(SUBSTITUTE(_xlfn.TEXTJOIN("",TRUE,IF(ISERR(MID(C568,ROW(INDIRECT("1:100")),1)+0),MID(C568,ROW(INDIRECT("1:100")),1),"")),")",""),"(","")</f>
        <v>All items less shelter</v>
      </c>
    </row>
    <row r="569" spans="1:8" x14ac:dyDescent="0.25">
      <c r="A569">
        <v>2016</v>
      </c>
      <c r="B569">
        <v>8</v>
      </c>
      <c r="C569" t="s">
        <v>21</v>
      </c>
      <c r="D569">
        <v>52.924999999999997</v>
      </c>
      <c r="E569">
        <v>-0.1</v>
      </c>
      <c r="F569">
        <v>-0.05</v>
      </c>
      <c r="H569" s="4" t="str">
        <f t="array" aca="1" ref="H569" ca="1">SUBSTITUTE(SUBSTITUTE(_xlfn.TEXTJOIN("",TRUE,IF(ISERR(MID(C569,ROW(INDIRECT("1:100")),1)+0),MID(C569,ROW(INDIRECT("1:100")),1),"")),")",""),"(","")</f>
        <v>All items less food and shelter</v>
      </c>
    </row>
    <row r="570" spans="1:8" x14ac:dyDescent="0.25">
      <c r="A570">
        <v>2016</v>
      </c>
      <c r="B570">
        <v>8</v>
      </c>
      <c r="C570" t="s">
        <v>22</v>
      </c>
      <c r="D570">
        <v>45.767000000000003</v>
      </c>
      <c r="E570">
        <v>1.5</v>
      </c>
      <c r="F570">
        <v>0.70299999999999996</v>
      </c>
      <c r="H570" s="4" t="str">
        <f t="array" aca="1" ref="H570" ca="1">SUBSTITUTE(SUBSTITUTE(_xlfn.TEXTJOIN("",TRUE,IF(ISERR(MID(C570,ROW(INDIRECT("1:100")),1)+0),MID(C570,ROW(INDIRECT("1:100")),1),"")),")",""),"(","")</f>
        <v>All items less food, shelter, and energy</v>
      </c>
    </row>
    <row r="571" spans="1:8" x14ac:dyDescent="0.25">
      <c r="A571">
        <v>2016</v>
      </c>
      <c r="B571">
        <v>8</v>
      </c>
      <c r="C571" t="s">
        <v>23</v>
      </c>
      <c r="D571">
        <v>43.658999999999999</v>
      </c>
      <c r="E571">
        <v>1.8</v>
      </c>
      <c r="F571">
        <v>0.76100000000000001</v>
      </c>
      <c r="H571" s="4" t="str">
        <f t="array" aca="1" ref="H571" ca="1">SUBSTITUTE(SUBSTITUTE(_xlfn.TEXTJOIN("",TRUE,IF(ISERR(MID(C571,ROW(INDIRECT("1:100")),1)+0),MID(C571,ROW(INDIRECT("1:100")),1),"")),")",""),"(","")</f>
        <v>All items less food, shelter, energy, and used cars and trucks</v>
      </c>
    </row>
    <row r="572" spans="1:8" x14ac:dyDescent="0.25">
      <c r="A572">
        <v>2016</v>
      </c>
      <c r="B572">
        <v>8</v>
      </c>
      <c r="C572" t="s">
        <v>24</v>
      </c>
      <c r="D572">
        <v>91.522000000000006</v>
      </c>
      <c r="E572">
        <v>0.7</v>
      </c>
      <c r="F572">
        <v>0.66500000000000004</v>
      </c>
      <c r="H572" s="4" t="str">
        <f t="array" aca="1" ref="H572" ca="1">SUBSTITUTE(SUBSTITUTE(_xlfn.TEXTJOIN("",TRUE,IF(ISERR(MID(C572,ROW(INDIRECT("1:100")),1)+0),MID(C572,ROW(INDIRECT("1:100")),1),"")),")",""),"(","")</f>
        <v>All items less medical care</v>
      </c>
    </row>
    <row r="573" spans="1:8" x14ac:dyDescent="0.25">
      <c r="A573">
        <v>2016</v>
      </c>
      <c r="B573">
        <v>8</v>
      </c>
      <c r="C573" t="s">
        <v>25</v>
      </c>
      <c r="D573">
        <v>92.841999999999999</v>
      </c>
      <c r="E573">
        <v>2</v>
      </c>
      <c r="F573">
        <v>1.8169999999999999</v>
      </c>
      <c r="H573" s="4" t="str">
        <f t="array" aca="1" ref="H573" ca="1">SUBSTITUTE(SUBSTITUTE(_xlfn.TEXTJOIN("",TRUE,IF(ISERR(MID(C573,ROW(INDIRECT("1:100")),1)+0),MID(C573,ROW(INDIRECT("1:100")),1),"")),")",""),"(","")</f>
        <v>All items less energy</v>
      </c>
    </row>
    <row r="574" spans="1:8" x14ac:dyDescent="0.25">
      <c r="A574">
        <v>2016</v>
      </c>
      <c r="B574">
        <v>8</v>
      </c>
      <c r="C574" t="s">
        <v>26</v>
      </c>
      <c r="D574">
        <v>36.511000000000003</v>
      </c>
      <c r="E574">
        <v>-2.2000000000000002</v>
      </c>
      <c r="F574">
        <v>-0.81799999999999995</v>
      </c>
      <c r="H574" s="4" t="str">
        <f t="array" aca="1" ref="H574" ca="1">SUBSTITUTE(SUBSTITUTE(_xlfn.TEXTJOIN("",TRUE,IF(ISERR(MID(C574,ROW(INDIRECT("1:100")),1)+0),MID(C574,ROW(INDIRECT("1:100")),1),"")),")",""),"(","")</f>
        <v>Commodities</v>
      </c>
    </row>
    <row r="575" spans="1:8" x14ac:dyDescent="0.25">
      <c r="A575">
        <v>2016</v>
      </c>
      <c r="B575">
        <v>8</v>
      </c>
      <c r="C575" t="s">
        <v>27</v>
      </c>
      <c r="D575">
        <v>63.488999999999997</v>
      </c>
      <c r="E575">
        <v>3</v>
      </c>
      <c r="F575">
        <v>1.883</v>
      </c>
      <c r="H575" s="4" t="str">
        <f t="array" aca="1" ref="H575" ca="1">SUBSTITUTE(SUBSTITUTE(_xlfn.TEXTJOIN("",TRUE,IF(ISERR(MID(C575,ROW(INDIRECT("1:100")),1)+0),MID(C575,ROW(INDIRECT("1:100")),1),"")),")",""),"(","")</f>
        <v>Services</v>
      </c>
    </row>
    <row r="576" spans="1:8" x14ac:dyDescent="0.25">
      <c r="A576">
        <v>2016</v>
      </c>
      <c r="B576">
        <v>8</v>
      </c>
      <c r="C576" t="s">
        <v>28</v>
      </c>
      <c r="D576">
        <v>9.4670000000000005</v>
      </c>
      <c r="E576">
        <v>-2</v>
      </c>
      <c r="F576">
        <v>-0.184</v>
      </c>
      <c r="H576" s="4" t="str">
        <f t="array" aca="1" ref="H576" ca="1">SUBSTITUTE(SUBSTITUTE(_xlfn.TEXTJOIN("",TRUE,IF(ISERR(MID(C576,ROW(INDIRECT("1:100")),1)+0),MID(C576,ROW(INDIRECT("1:100")),1),"")),")",""),"(","")</f>
        <v>Durables</v>
      </c>
    </row>
    <row r="577" spans="1:8" x14ac:dyDescent="0.25">
      <c r="A577">
        <v>2016</v>
      </c>
      <c r="B577">
        <v>8</v>
      </c>
      <c r="C577" t="s">
        <v>29</v>
      </c>
      <c r="D577">
        <v>27.044</v>
      </c>
      <c r="E577">
        <v>-2.2000000000000002</v>
      </c>
      <c r="F577">
        <v>-0.63400000000000001</v>
      </c>
      <c r="H577" s="4" t="str">
        <f t="array" aca="1" ref="H577" ca="1">SUBSTITUTE(SUBSTITUTE(_xlfn.TEXTJOIN("",TRUE,IF(ISERR(MID(C577,ROW(INDIRECT("1:100")),1)+0),MID(C577,ROW(INDIRECT("1:100")),1),"")),")",""),"(","")</f>
        <v>Nondurables</v>
      </c>
    </row>
    <row r="578" spans="1:8" x14ac:dyDescent="0.25">
      <c r="A578">
        <v>2016</v>
      </c>
      <c r="B578">
        <v>8</v>
      </c>
      <c r="C578" t="s">
        <v>8</v>
      </c>
      <c r="D578">
        <v>42.451000000000001</v>
      </c>
      <c r="E578">
        <v>2.6</v>
      </c>
      <c r="F578">
        <v>1.081</v>
      </c>
      <c r="H578" s="4" t="str">
        <f t="array" aca="1" ref="H578" ca="1">SUBSTITUTE(SUBSTITUTE(_xlfn.TEXTJOIN("",TRUE,IF(ISERR(MID(C578,ROW(INDIRECT("1:100")),1)+0),MID(C578,ROW(INDIRECT("1:100")),1),"")),")",""),"(","")</f>
        <v>Housing</v>
      </c>
    </row>
    <row r="579" spans="1:8" x14ac:dyDescent="0.25">
      <c r="A579">
        <v>2016</v>
      </c>
      <c r="B579">
        <v>8</v>
      </c>
      <c r="C579" t="s">
        <v>30</v>
      </c>
      <c r="D579">
        <v>6.9930000000000003</v>
      </c>
      <c r="E579">
        <v>0.7</v>
      </c>
      <c r="F579">
        <v>5.1999999999999998E-2</v>
      </c>
      <c r="H579" s="4" t="str">
        <f t="array" aca="1" ref="H579" ca="1">SUBSTITUTE(SUBSTITUTE(_xlfn.TEXTJOIN("",TRUE,IF(ISERR(MID(C579,ROW(INDIRECT("1:100")),1)+0),MID(C579,ROW(INDIRECT("1:100")),1),"")),")",""),"(","")</f>
        <v>Education and communication</v>
      </c>
    </row>
    <row r="580" spans="1:8" x14ac:dyDescent="0.25">
      <c r="A580">
        <v>2016</v>
      </c>
      <c r="B580">
        <v>8</v>
      </c>
      <c r="C580" t="s">
        <v>31</v>
      </c>
      <c r="D580">
        <v>5.72</v>
      </c>
      <c r="E580">
        <v>0.9</v>
      </c>
      <c r="F580">
        <v>5.0999999999999997E-2</v>
      </c>
      <c r="H580" s="4" t="str">
        <f t="array" aca="1" ref="H580" ca="1">SUBSTITUTE(SUBSTITUTE(_xlfn.TEXTJOIN("",TRUE,IF(ISERR(MID(C580,ROW(INDIRECT("1:100")),1)+0),MID(C580,ROW(INDIRECT("1:100")),1),"")),")",""),"(","")</f>
        <v>Recreation</v>
      </c>
    </row>
    <row r="581" spans="1:8" x14ac:dyDescent="0.25">
      <c r="A581">
        <v>2016</v>
      </c>
      <c r="B581">
        <v>8</v>
      </c>
      <c r="C581" t="s">
        <v>6</v>
      </c>
      <c r="D581">
        <v>14.705</v>
      </c>
      <c r="E581">
        <v>0.1</v>
      </c>
      <c r="F581">
        <v>1.4E-2</v>
      </c>
      <c r="H581" s="4" t="str">
        <f t="array" aca="1" ref="H581" ca="1">SUBSTITUTE(SUBSTITUTE(_xlfn.TEXTJOIN("",TRUE,IF(ISERR(MID(C581,ROW(INDIRECT("1:100")),1)+0),MID(C581,ROW(INDIRECT("1:100")),1),"")),")",""),"(","")</f>
        <v>Food and beverages</v>
      </c>
    </row>
    <row r="582" spans="1:8" x14ac:dyDescent="0.25">
      <c r="A582">
        <v>2016</v>
      </c>
      <c r="B582">
        <v>8</v>
      </c>
      <c r="C582" t="s">
        <v>32</v>
      </c>
      <c r="D582">
        <v>11.888</v>
      </c>
      <c r="E582">
        <v>2</v>
      </c>
      <c r="F582">
        <v>0.23400000000000001</v>
      </c>
      <c r="H582" s="4" t="str">
        <f t="array" aca="1" ref="H582" ca="1">SUBSTITUTE(SUBSTITUTE(_xlfn.TEXTJOIN("",TRUE,IF(ISERR(MID(C582,ROW(INDIRECT("1:100")),1)+0),MID(C582,ROW(INDIRECT("1:100")),1),"")),")",""),"(","")</f>
        <v>Other services</v>
      </c>
    </row>
    <row r="583" spans="1:8" x14ac:dyDescent="0.25">
      <c r="A583">
        <v>2016</v>
      </c>
      <c r="B583">
        <v>8</v>
      </c>
      <c r="C583" t="s">
        <v>33</v>
      </c>
      <c r="D583">
        <v>2.3740000000000001</v>
      </c>
      <c r="E583">
        <v>0.5</v>
      </c>
      <c r="F583">
        <v>8.9999999999999993E-3</v>
      </c>
      <c r="H583" s="4" t="str">
        <f t="array" aca="1" ref="H583" ca="1">SUBSTITUTE(SUBSTITUTE(_xlfn.TEXTJOIN("",TRUE,IF(ISERR(MID(C583,ROW(INDIRECT("1:100")),1)+0),MID(C583,ROW(INDIRECT("1:100")),1),"")),")",""),"(","")</f>
        <v>Apparel less footwear</v>
      </c>
    </row>
    <row r="584" spans="1:8" x14ac:dyDescent="0.25">
      <c r="A584">
        <v>2016</v>
      </c>
      <c r="B584">
        <v>8</v>
      </c>
      <c r="C584" t="s">
        <v>34</v>
      </c>
      <c r="D584">
        <v>5.0609999999999999</v>
      </c>
      <c r="E584">
        <v>0.2</v>
      </c>
      <c r="F584">
        <v>6.0000000000000001E-3</v>
      </c>
      <c r="H584" s="4" t="str">
        <f t="array" aca="1" ref="H584" ca="1">SUBSTITUTE(SUBSTITUTE(_xlfn.TEXTJOIN("",TRUE,IF(ISERR(MID(C584,ROW(INDIRECT("1:100")),1)+0),MID(C584,ROW(INDIRECT("1:100")),1),"")),")",""),"(","")</f>
        <v>Fuels and utilities</v>
      </c>
    </row>
    <row r="585" spans="1:8" x14ac:dyDescent="0.25">
      <c r="A585">
        <v>2016</v>
      </c>
      <c r="B585">
        <v>8</v>
      </c>
      <c r="C585" t="s">
        <v>11</v>
      </c>
      <c r="D585">
        <v>8.4779999999999998</v>
      </c>
      <c r="E585">
        <v>4.9000000000000004</v>
      </c>
      <c r="F585">
        <v>0.39900000000000002</v>
      </c>
      <c r="H585" s="4" t="str">
        <f t="array" aca="1" ref="H585" ca="1">SUBSTITUTE(SUBSTITUTE(_xlfn.TEXTJOIN("",TRUE,IF(ISERR(MID(C585,ROW(INDIRECT("1:100")),1)+0),MID(C585,ROW(INDIRECT("1:100")),1),"")),")",""),"(","")</f>
        <v>Medical care</v>
      </c>
    </row>
    <row r="586" spans="1:8" x14ac:dyDescent="0.25">
      <c r="A586">
        <v>2016</v>
      </c>
      <c r="B586">
        <v>8</v>
      </c>
      <c r="C586" t="s">
        <v>7</v>
      </c>
      <c r="D586">
        <v>15.438000000000001</v>
      </c>
      <c r="E586">
        <v>-4</v>
      </c>
      <c r="F586">
        <v>-0.60299999999999998</v>
      </c>
      <c r="H586" s="4" t="str">
        <f t="array" aca="1" ref="H586" ca="1">SUBSTITUTE(SUBSTITUTE(_xlfn.TEXTJOIN("",TRUE,IF(ISERR(MID(C586,ROW(INDIRECT("1:100")),1)+0),MID(C586,ROW(INDIRECT("1:100")),1),"")),")",""),"(","")</f>
        <v>Transportation</v>
      </c>
    </row>
    <row r="587" spans="1:8" x14ac:dyDescent="0.25">
      <c r="A587">
        <v>2016</v>
      </c>
      <c r="B587">
        <v>8</v>
      </c>
      <c r="C587" t="s">
        <v>35</v>
      </c>
      <c r="D587">
        <v>10.064</v>
      </c>
      <c r="E587">
        <v>0.6</v>
      </c>
      <c r="F587">
        <v>5.8999999999999997E-2</v>
      </c>
      <c r="H587" s="4" t="str">
        <f t="array" aca="1" ref="H587" ca="1">SUBSTITUTE(SUBSTITUTE(_xlfn.TEXTJOIN("",TRUE,IF(ISERR(MID(C587,ROW(INDIRECT("1:100")),1)+0),MID(C587,ROW(INDIRECT("1:100")),1),"")),")",""),"(","")</f>
        <v>Utilities and public transportation</v>
      </c>
    </row>
    <row r="588" spans="1:8" x14ac:dyDescent="0.25">
      <c r="A588">
        <v>2016</v>
      </c>
      <c r="B588">
        <v>8</v>
      </c>
      <c r="C588" t="s">
        <v>36</v>
      </c>
      <c r="D588">
        <v>4.07</v>
      </c>
      <c r="E588">
        <v>-0.9</v>
      </c>
      <c r="F588">
        <v>-3.5999999999999997E-2</v>
      </c>
      <c r="H588" s="4" t="str">
        <f t="array" aca="1" ref="H588" ca="1">SUBSTITUTE(SUBSTITUTE(_xlfn.TEXTJOIN("",TRUE,IF(ISERR(MID(C588,ROW(INDIRECT("1:100")),1)+0),MID(C588,ROW(INDIRECT("1:100")),1),"")),")",""),"(","")</f>
        <v>Household furnishings and operations</v>
      </c>
    </row>
    <row r="589" spans="1:8" x14ac:dyDescent="0.25">
      <c r="A589">
        <v>2016</v>
      </c>
      <c r="B589">
        <v>8</v>
      </c>
      <c r="C589" t="s">
        <v>12</v>
      </c>
      <c r="D589">
        <v>3.161</v>
      </c>
      <c r="E589">
        <v>2.1</v>
      </c>
      <c r="F589">
        <v>6.6000000000000003E-2</v>
      </c>
      <c r="H589" s="4" t="str">
        <f t="array" aca="1" ref="H589" ca="1">SUBSTITUTE(SUBSTITUTE(_xlfn.TEXTJOIN("",TRUE,IF(ISERR(MID(C589,ROW(INDIRECT("1:100")),1)+0),MID(C589,ROW(INDIRECT("1:100")),1),"")),")",""),"(","")</f>
        <v>Other goods and services</v>
      </c>
    </row>
    <row r="590" spans="1:8" x14ac:dyDescent="0.25">
      <c r="A590">
        <v>2016</v>
      </c>
      <c r="B590">
        <v>9</v>
      </c>
      <c r="C590" t="s">
        <v>37</v>
      </c>
      <c r="D590">
        <v>100</v>
      </c>
      <c r="E590">
        <v>1.5</v>
      </c>
      <c r="H590" s="4" t="str">
        <f t="array" aca="1" ref="H590" ca="1">SUBSTITUTE(SUBSTITUTE(_xlfn.TEXTJOIN("",TRUE,IF(ISERR(MID(C590,ROW(INDIRECT("1:100")),1)+0),MID(C590,ROW(INDIRECT("1:100")),1),"")),")",""),"(","")</f>
        <v>All items</v>
      </c>
    </row>
    <row r="591" spans="1:8" x14ac:dyDescent="0.25">
      <c r="A591">
        <v>2016</v>
      </c>
      <c r="B591">
        <v>9</v>
      </c>
      <c r="C591" t="s">
        <v>15</v>
      </c>
      <c r="D591">
        <v>13.753</v>
      </c>
      <c r="E591">
        <v>-0.3</v>
      </c>
      <c r="F591">
        <v>-4.1000000000000002E-2</v>
      </c>
      <c r="H591" s="4" t="str">
        <f t="array" aca="1" ref="H591" ca="1">SUBSTITUTE(SUBSTITUTE(_xlfn.TEXTJOIN("",TRUE,IF(ISERR(MID(C591,ROW(INDIRECT("1:100")),1)+0),MID(C591,ROW(INDIRECT("1:100")),1),"")),")",""),"(","")</f>
        <v>Food</v>
      </c>
    </row>
    <row r="592" spans="1:8" x14ac:dyDescent="0.25">
      <c r="A592">
        <v>2016</v>
      </c>
      <c r="B592">
        <v>9</v>
      </c>
      <c r="C592" t="s">
        <v>16</v>
      </c>
      <c r="D592">
        <v>7.0640000000000001</v>
      </c>
      <c r="E592">
        <v>-2.9</v>
      </c>
      <c r="F592">
        <v>-0.22900000000000001</v>
      </c>
      <c r="H592" s="4" t="str">
        <f t="array" aca="1" ref="H592" ca="1">SUBSTITUTE(SUBSTITUTE(_xlfn.TEXTJOIN("",TRUE,IF(ISERR(MID(C592,ROW(INDIRECT("1:100")),1)+0),MID(C592,ROW(INDIRECT("1:100")),1),"")),")",""),"(","")</f>
        <v>Energy</v>
      </c>
    </row>
    <row r="593" spans="1:8" x14ac:dyDescent="0.25">
      <c r="A593">
        <v>2016</v>
      </c>
      <c r="B593">
        <v>9</v>
      </c>
      <c r="C593" t="s">
        <v>38</v>
      </c>
      <c r="D593">
        <v>79.183000000000007</v>
      </c>
      <c r="E593">
        <v>2.2000000000000002</v>
      </c>
      <c r="F593">
        <v>1.734</v>
      </c>
      <c r="H593" s="4" t="str">
        <f t="array" aca="1" ref="H593" ca="1">SUBSTITUTE(SUBSTITUTE(_xlfn.TEXTJOIN("",TRUE,IF(ISERR(MID(C593,ROW(INDIRECT("1:100")),1)+0),MID(C593,ROW(INDIRECT("1:100")),1),"")),")",""),"(","")</f>
        <v>All items less food and energy</v>
      </c>
    </row>
    <row r="594" spans="1:8" x14ac:dyDescent="0.25">
      <c r="A594">
        <v>2016</v>
      </c>
      <c r="B594">
        <v>9</v>
      </c>
      <c r="C594" t="s">
        <v>18</v>
      </c>
      <c r="H594" s="4" t="str">
        <f t="array" aca="1" ref="H594" ca="1">SUBSTITUTE(SUBSTITUTE(_xlfn.TEXTJOIN("",TRUE,IF(ISERR(MID(C594,ROW(INDIRECT("1:100")),1)+0),MID(C594,ROW(INDIRECT("1:100")),1),"")),")",""),"(","")</f>
        <v>Special aggregate indexes</v>
      </c>
    </row>
    <row r="595" spans="1:8" x14ac:dyDescent="0.25">
      <c r="A595">
        <v>2016</v>
      </c>
      <c r="B595">
        <v>9</v>
      </c>
      <c r="C595" t="s">
        <v>39</v>
      </c>
      <c r="D595">
        <v>86.247</v>
      </c>
      <c r="E595">
        <v>1.7</v>
      </c>
      <c r="F595">
        <v>1.5049999999999999</v>
      </c>
      <c r="H595" s="4" t="str">
        <f t="array" aca="1" ref="H595" ca="1">SUBSTITUTE(SUBSTITUTE(_xlfn.TEXTJOIN("",TRUE,IF(ISERR(MID(C595,ROW(INDIRECT("1:100")),1)+0),MID(C595,ROW(INDIRECT("1:100")),1),"")),")",""),"(","")</f>
        <v>All items less food</v>
      </c>
    </row>
    <row r="596" spans="1:8" x14ac:dyDescent="0.25">
      <c r="A596">
        <v>2016</v>
      </c>
      <c r="B596">
        <v>9</v>
      </c>
      <c r="C596" t="s">
        <v>40</v>
      </c>
      <c r="D596">
        <v>66.613</v>
      </c>
      <c r="E596">
        <v>0.5</v>
      </c>
      <c r="F596">
        <v>0.33800000000000002</v>
      </c>
      <c r="H596" s="4" t="str">
        <f t="array" aca="1" ref="H596" ca="1">SUBSTITUTE(SUBSTITUTE(_xlfn.TEXTJOIN("",TRUE,IF(ISERR(MID(C596,ROW(INDIRECT("1:100")),1)+0),MID(C596,ROW(INDIRECT("1:100")),1),"")),")",""),"(","")</f>
        <v>All items less shelter</v>
      </c>
    </row>
    <row r="597" spans="1:8" x14ac:dyDescent="0.25">
      <c r="A597">
        <v>2016</v>
      </c>
      <c r="B597">
        <v>9</v>
      </c>
      <c r="C597" t="s">
        <v>41</v>
      </c>
      <c r="D597">
        <v>52.86</v>
      </c>
      <c r="E597">
        <v>0.7</v>
      </c>
      <c r="F597">
        <v>0.379</v>
      </c>
      <c r="H597" s="4" t="str">
        <f t="array" aca="1" ref="H597" ca="1">SUBSTITUTE(SUBSTITUTE(_xlfn.TEXTJOIN("",TRUE,IF(ISERR(MID(C597,ROW(INDIRECT("1:100")),1)+0),MID(C597,ROW(INDIRECT("1:100")),1),"")),")",""),"(","")</f>
        <v>All items less food and shelter</v>
      </c>
    </row>
    <row r="598" spans="1:8" x14ac:dyDescent="0.25">
      <c r="A598">
        <v>2016</v>
      </c>
      <c r="B598">
        <v>9</v>
      </c>
      <c r="C598" t="s">
        <v>42</v>
      </c>
      <c r="D598">
        <v>45.795999999999999</v>
      </c>
      <c r="E598">
        <v>1.3</v>
      </c>
      <c r="F598">
        <v>0.60799999999999998</v>
      </c>
      <c r="H598" s="4" t="str">
        <f t="array" aca="1" ref="H598" ca="1">SUBSTITUTE(SUBSTITUTE(_xlfn.TEXTJOIN("",TRUE,IF(ISERR(MID(C598,ROW(INDIRECT("1:100")),1)+0),MID(C598,ROW(INDIRECT("1:100")),1),"")),")",""),"(","")</f>
        <v>All items less food, shelter, and energy</v>
      </c>
    </row>
    <row r="599" spans="1:8" x14ac:dyDescent="0.25">
      <c r="A599">
        <v>2016</v>
      </c>
      <c r="B599">
        <v>9</v>
      </c>
      <c r="C599" t="s">
        <v>43</v>
      </c>
      <c r="D599">
        <v>43.698</v>
      </c>
      <c r="E599">
        <v>1.5</v>
      </c>
      <c r="F599">
        <v>0.67400000000000004</v>
      </c>
      <c r="H599" s="4" t="str">
        <f t="array" aca="1" ref="H599" ca="1">SUBSTITUTE(SUBSTITUTE(_xlfn.TEXTJOIN("",TRUE,IF(ISERR(MID(C599,ROW(INDIRECT("1:100")),1)+0),MID(C599,ROW(INDIRECT("1:100")),1),"")),")",""),"(","")</f>
        <v>All items less food, shelter, energy, and used cars and trucks</v>
      </c>
    </row>
    <row r="600" spans="1:8" x14ac:dyDescent="0.25">
      <c r="A600">
        <v>2016</v>
      </c>
      <c r="B600">
        <v>9</v>
      </c>
      <c r="C600" t="s">
        <v>24</v>
      </c>
      <c r="D600">
        <v>91.46</v>
      </c>
      <c r="E600">
        <v>1.2</v>
      </c>
      <c r="F600">
        <v>1.0640000000000001</v>
      </c>
      <c r="H600" s="4" t="str">
        <f t="array" aca="1" ref="H600" ca="1">SUBSTITUTE(SUBSTITUTE(_xlfn.TEXTJOIN("",TRUE,IF(ISERR(MID(C600,ROW(INDIRECT("1:100")),1)+0),MID(C600,ROW(INDIRECT("1:100")),1),"")),")",""),"(","")</f>
        <v>All items less medical care</v>
      </c>
    </row>
    <row r="601" spans="1:8" x14ac:dyDescent="0.25">
      <c r="A601">
        <v>2016</v>
      </c>
      <c r="B601">
        <v>9</v>
      </c>
      <c r="C601" t="s">
        <v>44</v>
      </c>
      <c r="D601">
        <v>92.936000000000007</v>
      </c>
      <c r="E601">
        <v>1.8</v>
      </c>
      <c r="F601">
        <v>1.6930000000000001</v>
      </c>
      <c r="H601" s="4" t="str">
        <f t="array" aca="1" ref="H601" ca="1">SUBSTITUTE(SUBSTITUTE(_xlfn.TEXTJOIN("",TRUE,IF(ISERR(MID(C601,ROW(INDIRECT("1:100")),1)+0),MID(C601,ROW(INDIRECT("1:100")),1),"")),")",""),"(","")</f>
        <v>All items less energy</v>
      </c>
    </row>
    <row r="602" spans="1:8" x14ac:dyDescent="0.25">
      <c r="A602">
        <v>2016</v>
      </c>
      <c r="B602">
        <v>9</v>
      </c>
      <c r="C602" t="s">
        <v>45</v>
      </c>
      <c r="D602">
        <v>36.423000000000002</v>
      </c>
      <c r="E602">
        <v>-1.1000000000000001</v>
      </c>
      <c r="F602">
        <v>-0.41399999999999998</v>
      </c>
      <c r="H602" s="4" t="str">
        <f t="array" aca="1" ref="H602" ca="1">SUBSTITUTE(SUBSTITUTE(_xlfn.TEXTJOIN("",TRUE,IF(ISERR(MID(C602,ROW(INDIRECT("1:100")),1)+0),MID(C602,ROW(INDIRECT("1:100")),1),"")),")",""),"(","")</f>
        <v>Commodities</v>
      </c>
    </row>
    <row r="603" spans="1:8" x14ac:dyDescent="0.25">
      <c r="A603">
        <v>2016</v>
      </c>
      <c r="B603">
        <v>9</v>
      </c>
      <c r="C603" t="s">
        <v>46</v>
      </c>
      <c r="D603">
        <v>63.576999999999998</v>
      </c>
      <c r="E603">
        <v>3</v>
      </c>
      <c r="F603">
        <v>1.8779999999999999</v>
      </c>
      <c r="H603" s="4" t="str">
        <f t="array" aca="1" ref="H603" ca="1">SUBSTITUTE(SUBSTITUTE(_xlfn.TEXTJOIN("",TRUE,IF(ISERR(MID(C603,ROW(INDIRECT("1:100")),1)+0),MID(C603,ROW(INDIRECT("1:100")),1),"")),")",""),"(","")</f>
        <v>Services</v>
      </c>
    </row>
    <row r="604" spans="1:8" x14ac:dyDescent="0.25">
      <c r="A604">
        <v>2016</v>
      </c>
      <c r="B604">
        <v>9</v>
      </c>
      <c r="C604" t="s">
        <v>28</v>
      </c>
      <c r="D604">
        <v>9.4190000000000005</v>
      </c>
      <c r="E604">
        <v>-2.2999999999999998</v>
      </c>
      <c r="F604">
        <v>-0.216</v>
      </c>
      <c r="H604" s="4" t="str">
        <f t="array" aca="1" ref="H604" ca="1">SUBSTITUTE(SUBSTITUTE(_xlfn.TEXTJOIN("",TRUE,IF(ISERR(MID(C604,ROW(INDIRECT("1:100")),1)+0),MID(C604,ROW(INDIRECT("1:100")),1),"")),")",""),"(","")</f>
        <v>Durables</v>
      </c>
    </row>
    <row r="605" spans="1:8" x14ac:dyDescent="0.25">
      <c r="A605">
        <v>2016</v>
      </c>
      <c r="B605">
        <v>9</v>
      </c>
      <c r="C605" t="s">
        <v>47</v>
      </c>
      <c r="D605">
        <v>27.004000000000001</v>
      </c>
      <c r="E605">
        <v>-0.6</v>
      </c>
      <c r="F605">
        <v>-0.19800000000000001</v>
      </c>
      <c r="H605" s="4" t="str">
        <f t="array" aca="1" ref="H605" ca="1">SUBSTITUTE(SUBSTITUTE(_xlfn.TEXTJOIN("",TRUE,IF(ISERR(MID(C605,ROW(INDIRECT("1:100")),1)+0),MID(C605,ROW(INDIRECT("1:100")),1),"")),")",""),"(","")</f>
        <v>Nondurables</v>
      </c>
    </row>
    <row r="606" spans="1:8" x14ac:dyDescent="0.25">
      <c r="A606">
        <v>2016</v>
      </c>
      <c r="B606">
        <v>9</v>
      </c>
      <c r="C606" t="s">
        <v>8</v>
      </c>
      <c r="D606">
        <v>42.508000000000003</v>
      </c>
      <c r="E606">
        <v>2.7</v>
      </c>
      <c r="F606">
        <v>1.135</v>
      </c>
      <c r="H606" s="4" t="str">
        <f t="array" aca="1" ref="H606" ca="1">SUBSTITUTE(SUBSTITUTE(_xlfn.TEXTJOIN("",TRUE,IF(ISERR(MID(C606,ROW(INDIRECT("1:100")),1)+0),MID(C606,ROW(INDIRECT("1:100")),1),"")),")",""),"(","")</f>
        <v>Housing</v>
      </c>
    </row>
    <row r="607" spans="1:8" x14ac:dyDescent="0.25">
      <c r="A607">
        <v>2016</v>
      </c>
      <c r="B607">
        <v>9</v>
      </c>
      <c r="C607" t="s">
        <v>48</v>
      </c>
      <c r="D607">
        <v>7.0129999999999999</v>
      </c>
      <c r="E607">
        <v>0.1</v>
      </c>
      <c r="F607">
        <v>4.0000000000000001E-3</v>
      </c>
      <c r="H607" s="4" t="str">
        <f t="array" aca="1" ref="H607" ca="1">SUBSTITUTE(SUBSTITUTE(_xlfn.TEXTJOIN("",TRUE,IF(ISERR(MID(C607,ROW(INDIRECT("1:100")),1)+0),MID(C607,ROW(INDIRECT("1:100")),1),"")),")",""),"(","")</f>
        <v>Education and communication</v>
      </c>
    </row>
    <row r="608" spans="1:8" x14ac:dyDescent="0.25">
      <c r="A608">
        <v>2016</v>
      </c>
      <c r="B608">
        <v>9</v>
      </c>
      <c r="C608" t="s">
        <v>49</v>
      </c>
      <c r="D608">
        <v>5.7039999999999997</v>
      </c>
      <c r="E608">
        <v>0.8</v>
      </c>
      <c r="F608">
        <v>4.4999999999999998E-2</v>
      </c>
      <c r="H608" s="4" t="str">
        <f t="array" aca="1" ref="H608" ca="1">SUBSTITUTE(SUBSTITUTE(_xlfn.TEXTJOIN("",TRUE,IF(ISERR(MID(C608,ROW(INDIRECT("1:100")),1)+0),MID(C608,ROW(INDIRECT("1:100")),1),"")),")",""),"(","")</f>
        <v>Recreation</v>
      </c>
    </row>
    <row r="609" spans="1:8" x14ac:dyDescent="0.25">
      <c r="A609">
        <v>2016</v>
      </c>
      <c r="B609">
        <v>9</v>
      </c>
      <c r="C609" t="s">
        <v>6</v>
      </c>
      <c r="D609">
        <v>14.702</v>
      </c>
      <c r="E609">
        <v>-0.2</v>
      </c>
      <c r="F609">
        <v>-2.8000000000000001E-2</v>
      </c>
      <c r="H609" s="4" t="str">
        <f t="array" aca="1" ref="H609" ca="1">SUBSTITUTE(SUBSTITUTE(_xlfn.TEXTJOIN("",TRUE,IF(ISERR(MID(C609,ROW(INDIRECT("1:100")),1)+0),MID(C609,ROW(INDIRECT("1:100")),1),"")),")",""),"(","")</f>
        <v>Food and beverages</v>
      </c>
    </row>
    <row r="610" spans="1:8" x14ac:dyDescent="0.25">
      <c r="A610">
        <v>2016</v>
      </c>
      <c r="B610">
        <v>9</v>
      </c>
      <c r="C610" t="s">
        <v>32</v>
      </c>
      <c r="D610">
        <v>11.895</v>
      </c>
      <c r="E610">
        <v>1.6</v>
      </c>
      <c r="F610">
        <v>0.19600000000000001</v>
      </c>
      <c r="H610" s="4" t="str">
        <f t="array" aca="1" ref="H610" ca="1">SUBSTITUTE(SUBSTITUTE(_xlfn.TEXTJOIN("",TRUE,IF(ISERR(MID(C610,ROW(INDIRECT("1:100")),1)+0),MID(C610,ROW(INDIRECT("1:100")),1),"")),")",""),"(","")</f>
        <v>Other services</v>
      </c>
    </row>
    <row r="611" spans="1:8" x14ac:dyDescent="0.25">
      <c r="A611">
        <v>2016</v>
      </c>
      <c r="B611">
        <v>9</v>
      </c>
      <c r="C611" t="s">
        <v>33</v>
      </c>
      <c r="D611">
        <v>2.4039999999999999</v>
      </c>
      <c r="E611">
        <v>-0.1</v>
      </c>
      <c r="F611">
        <v>-1.0999999999999999E-2</v>
      </c>
      <c r="H611" s="4" t="str">
        <f t="array" aca="1" ref="H611" ca="1">SUBSTITUTE(SUBSTITUTE(_xlfn.TEXTJOIN("",TRUE,IF(ISERR(MID(C611,ROW(INDIRECT("1:100")),1)+0),MID(C611,ROW(INDIRECT("1:100")),1),"")),")",""),"(","")</f>
        <v>Apparel less footwear</v>
      </c>
    </row>
    <row r="612" spans="1:8" x14ac:dyDescent="0.25">
      <c r="A612">
        <v>2016</v>
      </c>
      <c r="B612">
        <v>9</v>
      </c>
      <c r="C612" t="s">
        <v>34</v>
      </c>
      <c r="D612">
        <v>5.0720000000000001</v>
      </c>
      <c r="E612">
        <v>1.1000000000000001</v>
      </c>
      <c r="F612">
        <v>5.1999999999999998E-2</v>
      </c>
      <c r="H612" s="4" t="str">
        <f t="array" aca="1" ref="H612" ca="1">SUBSTITUTE(SUBSTITUTE(_xlfn.TEXTJOIN("",TRUE,IF(ISERR(MID(C612,ROW(INDIRECT("1:100")),1)+0),MID(C612,ROW(INDIRECT("1:100")),1),"")),")",""),"(","")</f>
        <v>Fuels and utilities</v>
      </c>
    </row>
    <row r="613" spans="1:8" x14ac:dyDescent="0.25">
      <c r="A613">
        <v>2016</v>
      </c>
      <c r="B613">
        <v>9</v>
      </c>
      <c r="C613" t="s">
        <v>50</v>
      </c>
      <c r="D613">
        <v>8.5399999999999991</v>
      </c>
      <c r="E613">
        <v>4.9000000000000004</v>
      </c>
      <c r="F613">
        <v>0.39900000000000002</v>
      </c>
      <c r="H613" s="4" t="str">
        <f t="array" aca="1" ref="H613" ca="1">SUBSTITUTE(SUBSTITUTE(_xlfn.TEXTJOIN("",TRUE,IF(ISERR(MID(C613,ROW(INDIRECT("1:100")),1)+0),MID(C613,ROW(INDIRECT("1:100")),1),"")),")",""),"(","")</f>
        <v>Medical care</v>
      </c>
    </row>
    <row r="614" spans="1:8" x14ac:dyDescent="0.25">
      <c r="A614">
        <v>2016</v>
      </c>
      <c r="B614">
        <v>9</v>
      </c>
      <c r="C614" t="s">
        <v>7</v>
      </c>
      <c r="D614">
        <v>15.273</v>
      </c>
      <c r="E614">
        <v>-1.1000000000000001</v>
      </c>
      <c r="F614">
        <v>-0.151</v>
      </c>
      <c r="H614" s="4" t="str">
        <f t="array" aca="1" ref="H614" ca="1">SUBSTITUTE(SUBSTITUTE(_xlfn.TEXTJOIN("",TRUE,IF(ISERR(MID(C614,ROW(INDIRECT("1:100")),1)+0),MID(C614,ROW(INDIRECT("1:100")),1),"")),")",""),"(","")</f>
        <v>Transportation</v>
      </c>
    </row>
    <row r="615" spans="1:8" x14ac:dyDescent="0.25">
      <c r="A615">
        <v>2016</v>
      </c>
      <c r="B615">
        <v>9</v>
      </c>
      <c r="C615" t="s">
        <v>35</v>
      </c>
      <c r="D615">
        <v>10.031000000000001</v>
      </c>
      <c r="E615">
        <v>0.6</v>
      </c>
      <c r="F615">
        <v>5.8999999999999997E-2</v>
      </c>
      <c r="H615" s="4" t="str">
        <f t="array" aca="1" ref="H615" ca="1">SUBSTITUTE(SUBSTITUTE(_xlfn.TEXTJOIN("",TRUE,IF(ISERR(MID(C615,ROW(INDIRECT("1:100")),1)+0),MID(C615,ROW(INDIRECT("1:100")),1),"")),")",""),"(","")</f>
        <v>Utilities and public transportation</v>
      </c>
    </row>
    <row r="616" spans="1:8" x14ac:dyDescent="0.25">
      <c r="A616">
        <v>2016</v>
      </c>
      <c r="B616">
        <v>9</v>
      </c>
      <c r="C616" t="s">
        <v>36</v>
      </c>
      <c r="D616">
        <v>4.05</v>
      </c>
      <c r="E616">
        <v>-1</v>
      </c>
      <c r="F616">
        <v>-4.2999999999999997E-2</v>
      </c>
      <c r="H616" s="4" t="str">
        <f t="array" aca="1" ref="H616" ca="1">SUBSTITUTE(SUBSTITUTE(_xlfn.TEXTJOIN("",TRUE,IF(ISERR(MID(C616,ROW(INDIRECT("1:100")),1)+0),MID(C616,ROW(INDIRECT("1:100")),1),"")),")",""),"(","")</f>
        <v>Household furnishings and operations</v>
      </c>
    </row>
    <row r="617" spans="1:8" x14ac:dyDescent="0.25">
      <c r="A617">
        <v>2016</v>
      </c>
      <c r="B617">
        <v>9</v>
      </c>
      <c r="C617" t="s">
        <v>12</v>
      </c>
      <c r="D617">
        <v>3.1629999999999998</v>
      </c>
      <c r="E617">
        <v>2.2000000000000002</v>
      </c>
      <c r="F617">
        <v>7.0000000000000007E-2</v>
      </c>
      <c r="H617" s="4" t="str">
        <f t="array" aca="1" ref="H617" ca="1">SUBSTITUTE(SUBSTITUTE(_xlfn.TEXTJOIN("",TRUE,IF(ISERR(MID(C617,ROW(INDIRECT("1:100")),1)+0),MID(C617,ROW(INDIRECT("1:100")),1),"")),")",""),"(","")</f>
        <v>Other goods and services</v>
      </c>
    </row>
    <row r="618" spans="1:8" x14ac:dyDescent="0.25">
      <c r="A618">
        <v>2016</v>
      </c>
      <c r="B618">
        <v>10</v>
      </c>
      <c r="C618" t="s">
        <v>14</v>
      </c>
      <c r="D618">
        <v>100</v>
      </c>
      <c r="E618">
        <v>1.6</v>
      </c>
      <c r="H618" s="4" t="str">
        <f t="array" aca="1" ref="H618" ca="1">SUBSTITUTE(SUBSTITUTE(_xlfn.TEXTJOIN("",TRUE,IF(ISERR(MID(C618,ROW(INDIRECT("1:100")),1)+0),MID(C618,ROW(INDIRECT("1:100")),1),"")),")",""),"(","")</f>
        <v>All items</v>
      </c>
    </row>
    <row r="619" spans="1:8" x14ac:dyDescent="0.25">
      <c r="A619">
        <v>2016</v>
      </c>
      <c r="B619">
        <v>10</v>
      </c>
      <c r="C619" t="s">
        <v>15</v>
      </c>
      <c r="D619">
        <v>13.731</v>
      </c>
      <c r="E619">
        <v>-0.4</v>
      </c>
      <c r="F619">
        <v>-5.6000000000000001E-2</v>
      </c>
      <c r="H619" s="4" t="str">
        <f t="array" aca="1" ref="H619" ca="1">SUBSTITUTE(SUBSTITUTE(_xlfn.TEXTJOIN("",TRUE,IF(ISERR(MID(C619,ROW(INDIRECT("1:100")),1)+0),MID(C619,ROW(INDIRECT("1:100")),1),"")),")",""),"(","")</f>
        <v>Food</v>
      </c>
    </row>
    <row r="620" spans="1:8" x14ac:dyDescent="0.25">
      <c r="A620">
        <v>2016</v>
      </c>
      <c r="B620">
        <v>10</v>
      </c>
      <c r="C620" t="s">
        <v>16</v>
      </c>
      <c r="D620">
        <v>7.1319999999999997</v>
      </c>
      <c r="E620">
        <v>0.1</v>
      </c>
      <c r="F620">
        <v>1E-3</v>
      </c>
      <c r="H620" s="4" t="str">
        <f t="array" aca="1" ref="H620" ca="1">SUBSTITUTE(SUBSTITUTE(_xlfn.TEXTJOIN("",TRUE,IF(ISERR(MID(C620,ROW(INDIRECT("1:100")),1)+0),MID(C620,ROW(INDIRECT("1:100")),1),"")),")",""),"(","")</f>
        <v>Energy</v>
      </c>
    </row>
    <row r="621" spans="1:8" x14ac:dyDescent="0.25">
      <c r="A621">
        <v>2016</v>
      </c>
      <c r="B621">
        <v>10</v>
      </c>
      <c r="C621" t="s">
        <v>17</v>
      </c>
      <c r="D621">
        <v>79.137</v>
      </c>
      <c r="E621">
        <v>2.1</v>
      </c>
      <c r="F621">
        <v>1.6910000000000001</v>
      </c>
      <c r="H621" s="4" t="str">
        <f t="array" aca="1" ref="H621" ca="1">SUBSTITUTE(SUBSTITUTE(_xlfn.TEXTJOIN("",TRUE,IF(ISERR(MID(C621,ROW(INDIRECT("1:100")),1)+0),MID(C621,ROW(INDIRECT("1:100")),1),"")),")",""),"(","")</f>
        <v>All items less food and energy</v>
      </c>
    </row>
    <row r="622" spans="1:8" x14ac:dyDescent="0.25">
      <c r="A622">
        <v>2016</v>
      </c>
      <c r="B622">
        <v>10</v>
      </c>
      <c r="C622" t="s">
        <v>18</v>
      </c>
      <c r="H622" s="4" t="str">
        <f t="array" aca="1" ref="H622" ca="1">SUBSTITUTE(SUBSTITUTE(_xlfn.TEXTJOIN("",TRUE,IF(ISERR(MID(C622,ROW(INDIRECT("1:100")),1)+0),MID(C622,ROW(INDIRECT("1:100")),1),"")),")",""),"(","")</f>
        <v>Special aggregate indexes</v>
      </c>
    </row>
    <row r="623" spans="1:8" x14ac:dyDescent="0.25">
      <c r="A623">
        <v>2016</v>
      </c>
      <c r="B623">
        <v>10</v>
      </c>
      <c r="C623" t="s">
        <v>19</v>
      </c>
      <c r="D623">
        <v>86.269000000000005</v>
      </c>
      <c r="E623">
        <v>2</v>
      </c>
      <c r="F623">
        <v>1.6919999999999999</v>
      </c>
      <c r="H623" s="4" t="str">
        <f t="array" aca="1" ref="H623" ca="1">SUBSTITUTE(SUBSTITUTE(_xlfn.TEXTJOIN("",TRUE,IF(ISERR(MID(C623,ROW(INDIRECT("1:100")),1)+0),MID(C623,ROW(INDIRECT("1:100")),1),"")),")",""),"(","")</f>
        <v>All items less food</v>
      </c>
    </row>
    <row r="624" spans="1:8" x14ac:dyDescent="0.25">
      <c r="A624">
        <v>2016</v>
      </c>
      <c r="B624">
        <v>10</v>
      </c>
      <c r="C624" t="s">
        <v>20</v>
      </c>
      <c r="D624">
        <v>66.596999999999994</v>
      </c>
      <c r="E624">
        <v>0.7</v>
      </c>
      <c r="F624">
        <v>0.47799999999999998</v>
      </c>
      <c r="H624" s="4" t="str">
        <f t="array" aca="1" ref="H624" ca="1">SUBSTITUTE(SUBSTITUTE(_xlfn.TEXTJOIN("",TRUE,IF(ISERR(MID(C624,ROW(INDIRECT("1:100")),1)+0),MID(C624,ROW(INDIRECT("1:100")),1),"")),")",""),"(","")</f>
        <v>All items less shelter</v>
      </c>
    </row>
    <row r="625" spans="1:8" x14ac:dyDescent="0.25">
      <c r="A625">
        <v>2016</v>
      </c>
      <c r="B625">
        <v>10</v>
      </c>
      <c r="C625" t="s">
        <v>21</v>
      </c>
      <c r="D625">
        <v>52.865000000000002</v>
      </c>
      <c r="E625">
        <v>1</v>
      </c>
      <c r="F625">
        <v>0.53400000000000003</v>
      </c>
      <c r="H625" s="4" t="str">
        <f t="array" aca="1" ref="H625" ca="1">SUBSTITUTE(SUBSTITUTE(_xlfn.TEXTJOIN("",TRUE,IF(ISERR(MID(C625,ROW(INDIRECT("1:100")),1)+0),MID(C625,ROW(INDIRECT("1:100")),1),"")),")",""),"(","")</f>
        <v>All items less food and shelter</v>
      </c>
    </row>
    <row r="626" spans="1:8" x14ac:dyDescent="0.25">
      <c r="A626">
        <v>2016</v>
      </c>
      <c r="B626">
        <v>10</v>
      </c>
      <c r="C626" t="s">
        <v>22</v>
      </c>
      <c r="D626">
        <v>45.734000000000002</v>
      </c>
      <c r="E626">
        <v>1.2</v>
      </c>
      <c r="F626">
        <v>0.53300000000000003</v>
      </c>
      <c r="H626" s="4" t="str">
        <f t="array" aca="1" ref="H626" ca="1">SUBSTITUTE(SUBSTITUTE(_xlfn.TEXTJOIN("",TRUE,IF(ISERR(MID(C626,ROW(INDIRECT("1:100")),1)+0),MID(C626,ROW(INDIRECT("1:100")),1),"")),")",""),"(","")</f>
        <v>All items less food, shelter, and energy</v>
      </c>
    </row>
    <row r="627" spans="1:8" x14ac:dyDescent="0.25">
      <c r="A627">
        <v>2016</v>
      </c>
      <c r="B627">
        <v>10</v>
      </c>
      <c r="C627" t="s">
        <v>23</v>
      </c>
      <c r="D627">
        <v>43.674999999999997</v>
      </c>
      <c r="E627">
        <v>1.4</v>
      </c>
      <c r="F627">
        <v>0.60699999999999998</v>
      </c>
      <c r="H627" s="4" t="str">
        <f t="array" aca="1" ref="H627" ca="1">SUBSTITUTE(SUBSTITUTE(_xlfn.TEXTJOIN("",TRUE,IF(ISERR(MID(C627,ROW(INDIRECT("1:100")),1)+0),MID(C627,ROW(INDIRECT("1:100")),1),"")),")",""),"(","")</f>
        <v>All items less food, shelter, energy, and used cars and trucks</v>
      </c>
    </row>
    <row r="628" spans="1:8" x14ac:dyDescent="0.25">
      <c r="A628">
        <v>2016</v>
      </c>
      <c r="B628">
        <v>10</v>
      </c>
      <c r="C628" t="s">
        <v>24</v>
      </c>
      <c r="D628">
        <v>91.465999999999994</v>
      </c>
      <c r="E628">
        <v>1.4</v>
      </c>
      <c r="F628">
        <v>1.2829999999999999</v>
      </c>
      <c r="H628" s="4" t="str">
        <f t="array" aca="1" ref="H628" ca="1">SUBSTITUTE(SUBSTITUTE(_xlfn.TEXTJOIN("",TRUE,IF(ISERR(MID(C628,ROW(INDIRECT("1:100")),1)+0),MID(C628,ROW(INDIRECT("1:100")),1),"")),")",""),"(","")</f>
        <v>All items less medical care</v>
      </c>
    </row>
    <row r="629" spans="1:8" x14ac:dyDescent="0.25">
      <c r="A629">
        <v>2016</v>
      </c>
      <c r="B629">
        <v>10</v>
      </c>
      <c r="C629" t="s">
        <v>25</v>
      </c>
      <c r="D629">
        <v>92.867999999999995</v>
      </c>
      <c r="E629">
        <v>1.8</v>
      </c>
      <c r="F629">
        <v>1.6339999999999999</v>
      </c>
      <c r="H629" s="4" t="str">
        <f t="array" aca="1" ref="H629" ca="1">SUBSTITUTE(SUBSTITUTE(_xlfn.TEXTJOIN("",TRUE,IF(ISERR(MID(C629,ROW(INDIRECT("1:100")),1)+0),MID(C629,ROW(INDIRECT("1:100")),1),"")),")",""),"(","")</f>
        <v>All items less energy</v>
      </c>
    </row>
    <row r="630" spans="1:8" x14ac:dyDescent="0.25">
      <c r="A630">
        <v>2016</v>
      </c>
      <c r="B630">
        <v>10</v>
      </c>
      <c r="C630" t="s">
        <v>26</v>
      </c>
      <c r="D630">
        <v>36.479999999999997</v>
      </c>
      <c r="E630">
        <v>-0.6</v>
      </c>
      <c r="F630">
        <v>-0.20499999999999999</v>
      </c>
      <c r="H630" s="4" t="str">
        <f t="array" aca="1" ref="H630" ca="1">SUBSTITUTE(SUBSTITUTE(_xlfn.TEXTJOIN("",TRUE,IF(ISERR(MID(C630,ROW(INDIRECT("1:100")),1)+0),MID(C630,ROW(INDIRECT("1:100")),1),"")),")",""),"(","")</f>
        <v>Commodities</v>
      </c>
    </row>
    <row r="631" spans="1:8" x14ac:dyDescent="0.25">
      <c r="A631">
        <v>2016</v>
      </c>
      <c r="B631">
        <v>10</v>
      </c>
      <c r="C631" t="s">
        <v>27</v>
      </c>
      <c r="D631">
        <v>63.52</v>
      </c>
      <c r="E631">
        <v>2.9</v>
      </c>
      <c r="F631">
        <v>1.84</v>
      </c>
      <c r="H631" s="4" t="str">
        <f t="array" aca="1" ref="H631" ca="1">SUBSTITUTE(SUBSTITUTE(_xlfn.TEXTJOIN("",TRUE,IF(ISERR(MID(C631,ROW(INDIRECT("1:100")),1)+0),MID(C631,ROW(INDIRECT("1:100")),1),"")),")",""),"(","")</f>
        <v>Services</v>
      </c>
    </row>
    <row r="632" spans="1:8" x14ac:dyDescent="0.25">
      <c r="A632">
        <v>2016</v>
      </c>
      <c r="B632">
        <v>10</v>
      </c>
      <c r="C632" t="s">
        <v>28</v>
      </c>
      <c r="D632">
        <v>9.3460000000000001</v>
      </c>
      <c r="E632">
        <v>-2.2000000000000002</v>
      </c>
      <c r="F632">
        <v>-0.20499999999999999</v>
      </c>
      <c r="H632" s="4" t="str">
        <f t="array" aca="1" ref="H632" ca="1">SUBSTITUTE(SUBSTITUTE(_xlfn.TEXTJOIN("",TRUE,IF(ISERR(MID(C632,ROW(INDIRECT("1:100")),1)+0),MID(C632,ROW(INDIRECT("1:100")),1),"")),")",""),"(","")</f>
        <v>Durables</v>
      </c>
    </row>
    <row r="633" spans="1:8" x14ac:dyDescent="0.25">
      <c r="A633">
        <v>2016</v>
      </c>
      <c r="B633">
        <v>10</v>
      </c>
      <c r="C633" t="s">
        <v>29</v>
      </c>
      <c r="D633">
        <v>27.132999999999999</v>
      </c>
      <c r="E633">
        <v>0.1</v>
      </c>
      <c r="F633">
        <v>0</v>
      </c>
      <c r="H633" s="4" t="str">
        <f t="array" aca="1" ref="H633" ca="1">SUBSTITUTE(SUBSTITUTE(_xlfn.TEXTJOIN("",TRUE,IF(ISERR(MID(C633,ROW(INDIRECT("1:100")),1)+0),MID(C633,ROW(INDIRECT("1:100")),1),"")),")",""),"(","")</f>
        <v>Nondurables</v>
      </c>
    </row>
    <row r="634" spans="1:8" x14ac:dyDescent="0.25">
      <c r="A634">
        <v>2016</v>
      </c>
      <c r="B634">
        <v>10</v>
      </c>
      <c r="C634" t="s">
        <v>8</v>
      </c>
      <c r="D634">
        <v>42.52</v>
      </c>
      <c r="E634">
        <v>2.9</v>
      </c>
      <c r="F634">
        <v>1.2050000000000001</v>
      </c>
      <c r="H634" s="4" t="str">
        <f t="array" aca="1" ref="H634" ca="1">SUBSTITUTE(SUBSTITUTE(_xlfn.TEXTJOIN("",TRUE,IF(ISERR(MID(C634,ROW(INDIRECT("1:100")),1)+0),MID(C634,ROW(INDIRECT("1:100")),1),"")),")",""),"(","")</f>
        <v>Housing</v>
      </c>
    </row>
    <row r="635" spans="1:8" x14ac:dyDescent="0.25">
      <c r="A635">
        <v>2016</v>
      </c>
      <c r="B635">
        <v>10</v>
      </c>
      <c r="C635" t="s">
        <v>30</v>
      </c>
      <c r="D635">
        <v>6.9889999999999999</v>
      </c>
      <c r="E635">
        <v>-0.3</v>
      </c>
      <c r="F635">
        <v>-1.9E-2</v>
      </c>
      <c r="H635" s="4" t="str">
        <f t="array" aca="1" ref="H635" ca="1">SUBSTITUTE(SUBSTITUTE(_xlfn.TEXTJOIN("",TRUE,IF(ISERR(MID(C635,ROW(INDIRECT("1:100")),1)+0),MID(C635,ROW(INDIRECT("1:100")),1),"")),")",""),"(","")</f>
        <v>Education and communication</v>
      </c>
    </row>
    <row r="636" spans="1:8" x14ac:dyDescent="0.25">
      <c r="A636">
        <v>2016</v>
      </c>
      <c r="B636">
        <v>10</v>
      </c>
      <c r="C636" t="s">
        <v>31</v>
      </c>
      <c r="D636">
        <v>5.6820000000000004</v>
      </c>
      <c r="E636">
        <v>0.5</v>
      </c>
      <c r="F636">
        <v>0.03</v>
      </c>
      <c r="H636" s="4" t="str">
        <f t="array" aca="1" ref="H636" ca="1">SUBSTITUTE(SUBSTITUTE(_xlfn.TEXTJOIN("",TRUE,IF(ISERR(MID(C636,ROW(INDIRECT("1:100")),1)+0),MID(C636,ROW(INDIRECT("1:100")),1),"")),")",""),"(","")</f>
        <v>Recreation</v>
      </c>
    </row>
    <row r="637" spans="1:8" x14ac:dyDescent="0.25">
      <c r="A637">
        <v>2016</v>
      </c>
      <c r="B637">
        <v>10</v>
      </c>
      <c r="C637" t="s">
        <v>6</v>
      </c>
      <c r="D637">
        <v>14.68</v>
      </c>
      <c r="E637">
        <v>-0.3</v>
      </c>
      <c r="F637">
        <v>-4.3999999999999997E-2</v>
      </c>
      <c r="H637" s="4" t="str">
        <f t="array" aca="1" ref="H637" ca="1">SUBSTITUTE(SUBSTITUTE(_xlfn.TEXTJOIN("",TRUE,IF(ISERR(MID(C637,ROW(INDIRECT("1:100")),1)+0),MID(C637,ROW(INDIRECT("1:100")),1),"")),")",""),"(","")</f>
        <v>Food and beverages</v>
      </c>
    </row>
    <row r="638" spans="1:8" x14ac:dyDescent="0.25">
      <c r="A638">
        <v>2016</v>
      </c>
      <c r="B638">
        <v>10</v>
      </c>
      <c r="C638" t="s">
        <v>32</v>
      </c>
      <c r="D638">
        <v>11.865</v>
      </c>
      <c r="E638">
        <v>1.4</v>
      </c>
      <c r="F638">
        <v>0.161</v>
      </c>
      <c r="H638" s="4" t="str">
        <f t="array" aca="1" ref="H638" ca="1">SUBSTITUTE(SUBSTITUTE(_xlfn.TEXTJOIN("",TRUE,IF(ISERR(MID(C638,ROW(INDIRECT("1:100")),1)+0),MID(C638,ROW(INDIRECT("1:100")),1),"")),")",""),"(","")</f>
        <v>Other services</v>
      </c>
    </row>
    <row r="639" spans="1:8" x14ac:dyDescent="0.25">
      <c r="A639">
        <v>2016</v>
      </c>
      <c r="B639">
        <v>10</v>
      </c>
      <c r="C639" t="s">
        <v>33</v>
      </c>
      <c r="D639">
        <v>2.4750000000000001</v>
      </c>
      <c r="E639">
        <v>0.6</v>
      </c>
      <c r="F639">
        <v>4.0000000000000001E-3</v>
      </c>
      <c r="H639" s="4" t="str">
        <f t="array" aca="1" ref="H639" ca="1">SUBSTITUTE(SUBSTITUTE(_xlfn.TEXTJOIN("",TRUE,IF(ISERR(MID(C639,ROW(INDIRECT("1:100")),1)+0),MID(C639,ROW(INDIRECT("1:100")),1),"")),")",""),"(","")</f>
        <v>Apparel less footwear</v>
      </c>
    </row>
    <row r="640" spans="1:8" x14ac:dyDescent="0.25">
      <c r="A640">
        <v>2016</v>
      </c>
      <c r="B640">
        <v>10</v>
      </c>
      <c r="C640" t="s">
        <v>34</v>
      </c>
      <c r="D640">
        <v>5.0739999999999998</v>
      </c>
      <c r="E640">
        <v>1.7</v>
      </c>
      <c r="F640">
        <v>8.2000000000000003E-2</v>
      </c>
      <c r="H640" s="4" t="str">
        <f t="array" aca="1" ref="H640" ca="1">SUBSTITUTE(SUBSTITUTE(_xlfn.TEXTJOIN("",TRUE,IF(ISERR(MID(C640,ROW(INDIRECT("1:100")),1)+0),MID(C640,ROW(INDIRECT("1:100")),1),"")),")",""),"(","")</f>
        <v>Fuels and utilities</v>
      </c>
    </row>
    <row r="641" spans="1:8" x14ac:dyDescent="0.25">
      <c r="A641">
        <v>2016</v>
      </c>
      <c r="B641">
        <v>10</v>
      </c>
      <c r="C641" t="s">
        <v>11</v>
      </c>
      <c r="D641">
        <v>8.5340000000000007</v>
      </c>
      <c r="E641">
        <v>4.3</v>
      </c>
      <c r="F641">
        <v>0.35299999999999998</v>
      </c>
      <c r="H641" s="4" t="str">
        <f t="array" aca="1" ref="H641" ca="1">SUBSTITUTE(SUBSTITUTE(_xlfn.TEXTJOIN("",TRUE,IF(ISERR(MID(C641,ROW(INDIRECT("1:100")),1)+0),MID(C641,ROW(INDIRECT("1:100")),1),"")),")",""),"(","")</f>
        <v>Medical care</v>
      </c>
    </row>
    <row r="642" spans="1:8" x14ac:dyDescent="0.25">
      <c r="A642">
        <v>2016</v>
      </c>
      <c r="B642">
        <v>10</v>
      </c>
      <c r="C642" t="s">
        <v>7</v>
      </c>
      <c r="D642">
        <v>15.252000000000001</v>
      </c>
      <c r="E642">
        <v>0.2</v>
      </c>
      <c r="F642">
        <v>4.2000000000000003E-2</v>
      </c>
      <c r="H642" s="4" t="str">
        <f t="array" aca="1" ref="H642" ca="1">SUBSTITUTE(SUBSTITUTE(_xlfn.TEXTJOIN("",TRUE,IF(ISERR(MID(C642,ROW(INDIRECT("1:100")),1)+0),MID(C642,ROW(INDIRECT("1:100")),1),"")),")",""),"(","")</f>
        <v>Transportation</v>
      </c>
    </row>
    <row r="643" spans="1:8" x14ac:dyDescent="0.25">
      <c r="A643">
        <v>2016</v>
      </c>
      <c r="B643">
        <v>10</v>
      </c>
      <c r="C643" t="s">
        <v>35</v>
      </c>
      <c r="D643">
        <v>9.9760000000000009</v>
      </c>
      <c r="E643">
        <v>0.5</v>
      </c>
      <c r="F643">
        <v>4.4999999999999998E-2</v>
      </c>
      <c r="H643" s="4" t="str">
        <f t="array" aca="1" ref="H643" ca="1">SUBSTITUTE(SUBSTITUTE(_xlfn.TEXTJOIN("",TRUE,IF(ISERR(MID(C643,ROW(INDIRECT("1:100")),1)+0),MID(C643,ROW(INDIRECT("1:100")),1),"")),")",""),"(","")</f>
        <v>Utilities and public transportation</v>
      </c>
    </row>
    <row r="644" spans="1:8" x14ac:dyDescent="0.25">
      <c r="A644">
        <v>2016</v>
      </c>
      <c r="B644">
        <v>10</v>
      </c>
      <c r="C644" t="s">
        <v>36</v>
      </c>
      <c r="D644">
        <v>4.0430000000000001</v>
      </c>
      <c r="E644">
        <v>-0.8</v>
      </c>
      <c r="F644">
        <v>-3.5000000000000003E-2</v>
      </c>
      <c r="H644" s="4" t="str">
        <f t="array" aca="1" ref="H644" ca="1">SUBSTITUTE(SUBSTITUTE(_xlfn.TEXTJOIN("",TRUE,IF(ISERR(MID(C644,ROW(INDIRECT("1:100")),1)+0),MID(C644,ROW(INDIRECT("1:100")),1),"")),")",""),"(","")</f>
        <v>Household furnishings and operations</v>
      </c>
    </row>
    <row r="645" spans="1:8" x14ac:dyDescent="0.25">
      <c r="A645">
        <v>2016</v>
      </c>
      <c r="B645">
        <v>10</v>
      </c>
      <c r="C645" t="s">
        <v>12</v>
      </c>
      <c r="D645">
        <v>3.1659999999999999</v>
      </c>
      <c r="E645">
        <v>1.8</v>
      </c>
      <c r="F645">
        <v>5.7000000000000002E-2</v>
      </c>
      <c r="H645" s="4" t="str">
        <f t="array" aca="1" ref="H645" ca="1">SUBSTITUTE(SUBSTITUTE(_xlfn.TEXTJOIN("",TRUE,IF(ISERR(MID(C645,ROW(INDIRECT("1:100")),1)+0),MID(C645,ROW(INDIRECT("1:100")),1),"")),")",""),"(","")</f>
        <v>Other goods and services</v>
      </c>
    </row>
    <row r="646" spans="1:8" x14ac:dyDescent="0.25">
      <c r="A646">
        <v>2016</v>
      </c>
      <c r="B646">
        <v>11</v>
      </c>
      <c r="C646" t="s">
        <v>14</v>
      </c>
      <c r="D646">
        <v>100</v>
      </c>
      <c r="E646">
        <v>1.7</v>
      </c>
      <c r="H646" s="4" t="str">
        <f t="array" aca="1" ref="H646" ca="1">SUBSTITUTE(SUBSTITUTE(_xlfn.TEXTJOIN("",TRUE,IF(ISERR(MID(C646,ROW(INDIRECT("1:100")),1)+0),MID(C646,ROW(INDIRECT("1:100")),1),"")),")",""),"(","")</f>
        <v>All items</v>
      </c>
    </row>
    <row r="647" spans="1:8" x14ac:dyDescent="0.25">
      <c r="A647">
        <v>2016</v>
      </c>
      <c r="B647">
        <v>11</v>
      </c>
      <c r="C647" t="s">
        <v>15</v>
      </c>
      <c r="D647">
        <v>13.723000000000001</v>
      </c>
      <c r="E647">
        <v>-0.4</v>
      </c>
      <c r="F647">
        <v>-4.9000000000000002E-2</v>
      </c>
      <c r="H647" s="4" t="str">
        <f t="array" aca="1" ref="H647" ca="1">SUBSTITUTE(SUBSTITUTE(_xlfn.TEXTJOIN("",TRUE,IF(ISERR(MID(C647,ROW(INDIRECT("1:100")),1)+0),MID(C647,ROW(INDIRECT("1:100")),1),"")),")",""),"(","")</f>
        <v>Food</v>
      </c>
    </row>
    <row r="648" spans="1:8" x14ac:dyDescent="0.25">
      <c r="A648">
        <v>2016</v>
      </c>
      <c r="B648">
        <v>11</v>
      </c>
      <c r="C648" t="s">
        <v>16</v>
      </c>
      <c r="D648">
        <v>7.0839999999999996</v>
      </c>
      <c r="E648">
        <v>1.1000000000000001</v>
      </c>
      <c r="F648">
        <v>7.3999999999999996E-2</v>
      </c>
      <c r="H648" s="4" t="str">
        <f t="array" aca="1" ref="H648" ca="1">SUBSTITUTE(SUBSTITUTE(_xlfn.TEXTJOIN("",TRUE,IF(ISERR(MID(C648,ROW(INDIRECT("1:100")),1)+0),MID(C648,ROW(INDIRECT("1:100")),1),"")),")",""),"(","")</f>
        <v>Energy</v>
      </c>
    </row>
    <row r="649" spans="1:8" x14ac:dyDescent="0.25">
      <c r="A649">
        <v>2016</v>
      </c>
      <c r="B649">
        <v>11</v>
      </c>
      <c r="C649" t="s">
        <v>17</v>
      </c>
      <c r="D649">
        <v>79.192999999999998</v>
      </c>
      <c r="E649">
        <v>2.1</v>
      </c>
      <c r="F649">
        <v>1.6679999999999999</v>
      </c>
      <c r="H649" s="4" t="str">
        <f t="array" aca="1" ref="H649" ca="1">SUBSTITUTE(SUBSTITUTE(_xlfn.TEXTJOIN("",TRUE,IF(ISERR(MID(C649,ROW(INDIRECT("1:100")),1)+0),MID(C649,ROW(INDIRECT("1:100")),1),"")),")",""),"(","")</f>
        <v>All items less food and energy</v>
      </c>
    </row>
    <row r="650" spans="1:8" x14ac:dyDescent="0.25">
      <c r="A650">
        <v>2016</v>
      </c>
      <c r="B650">
        <v>11</v>
      </c>
      <c r="C650" t="s">
        <v>18</v>
      </c>
      <c r="H650" s="4" t="str">
        <f t="array" aca="1" ref="H650" ca="1">SUBSTITUTE(SUBSTITUTE(_xlfn.TEXTJOIN("",TRUE,IF(ISERR(MID(C650,ROW(INDIRECT("1:100")),1)+0),MID(C650,ROW(INDIRECT("1:100")),1),"")),")",""),"(","")</f>
        <v>Special aggregate indexes</v>
      </c>
    </row>
    <row r="651" spans="1:8" x14ac:dyDescent="0.25">
      <c r="A651">
        <v>2016</v>
      </c>
      <c r="B651">
        <v>11</v>
      </c>
      <c r="C651" t="s">
        <v>19</v>
      </c>
      <c r="D651">
        <v>86.277000000000001</v>
      </c>
      <c r="E651">
        <v>2</v>
      </c>
      <c r="F651">
        <v>1.742</v>
      </c>
      <c r="H651" s="4" t="str">
        <f t="array" aca="1" ref="H651" ca="1">SUBSTITUTE(SUBSTITUTE(_xlfn.TEXTJOIN("",TRUE,IF(ISERR(MID(C651,ROW(INDIRECT("1:100")),1)+0),MID(C651,ROW(INDIRECT("1:100")),1),"")),")",""),"(","")</f>
        <v>All items less food</v>
      </c>
    </row>
    <row r="652" spans="1:8" x14ac:dyDescent="0.25">
      <c r="A652">
        <v>2016</v>
      </c>
      <c r="B652">
        <v>11</v>
      </c>
      <c r="C652" t="s">
        <v>20</v>
      </c>
      <c r="D652">
        <v>66.528000000000006</v>
      </c>
      <c r="E652">
        <v>0.8</v>
      </c>
      <c r="F652">
        <v>0.52</v>
      </c>
      <c r="H652" s="4" t="str">
        <f t="array" aca="1" ref="H652" ca="1">SUBSTITUTE(SUBSTITUTE(_xlfn.TEXTJOIN("",TRUE,IF(ISERR(MID(C652,ROW(INDIRECT("1:100")),1)+0),MID(C652,ROW(INDIRECT("1:100")),1),"")),")",""),"(","")</f>
        <v>All items less shelter</v>
      </c>
    </row>
    <row r="653" spans="1:8" x14ac:dyDescent="0.25">
      <c r="A653">
        <v>2016</v>
      </c>
      <c r="B653">
        <v>11</v>
      </c>
      <c r="C653" t="s">
        <v>21</v>
      </c>
      <c r="D653">
        <v>52.805</v>
      </c>
      <c r="E653">
        <v>1.1000000000000001</v>
      </c>
      <c r="F653">
        <v>0.56899999999999995</v>
      </c>
      <c r="H653" s="4" t="str">
        <f t="array" aca="1" ref="H653" ca="1">SUBSTITUTE(SUBSTITUTE(_xlfn.TEXTJOIN("",TRUE,IF(ISERR(MID(C653,ROW(INDIRECT("1:100")),1)+0),MID(C653,ROW(INDIRECT("1:100")),1),"")),")",""),"(","")</f>
        <v>All items less food and shelter</v>
      </c>
    </row>
    <row r="654" spans="1:8" x14ac:dyDescent="0.25">
      <c r="A654">
        <v>2016</v>
      </c>
      <c r="B654">
        <v>11</v>
      </c>
      <c r="C654" t="s">
        <v>22</v>
      </c>
      <c r="D654">
        <v>45.720999999999997</v>
      </c>
      <c r="E654">
        <v>1.1000000000000001</v>
      </c>
      <c r="F654">
        <v>0.495</v>
      </c>
      <c r="H654" s="4" t="str">
        <f t="array" aca="1" ref="H654" ca="1">SUBSTITUTE(SUBSTITUTE(_xlfn.TEXTJOIN("",TRUE,IF(ISERR(MID(C654,ROW(INDIRECT("1:100")),1)+0),MID(C654,ROW(INDIRECT("1:100")),1),"")),")",""),"(","")</f>
        <v>All items less food, shelter, and energy</v>
      </c>
    </row>
    <row r="655" spans="1:8" x14ac:dyDescent="0.25">
      <c r="A655">
        <v>2016</v>
      </c>
      <c r="B655">
        <v>11</v>
      </c>
      <c r="C655" t="s">
        <v>23</v>
      </c>
      <c r="D655">
        <v>43.701999999999998</v>
      </c>
      <c r="E655">
        <v>1.3</v>
      </c>
      <c r="F655">
        <v>0.57199999999999995</v>
      </c>
      <c r="H655" s="4" t="str">
        <f t="array" aca="1" ref="H655" ca="1">SUBSTITUTE(SUBSTITUTE(_xlfn.TEXTJOIN("",TRUE,IF(ISERR(MID(C655,ROW(INDIRECT("1:100")),1)+0),MID(C655,ROW(INDIRECT("1:100")),1),"")),")",""),"(","")</f>
        <v>All items less food, shelter, energy, and used cars and trucks</v>
      </c>
    </row>
    <row r="656" spans="1:8" x14ac:dyDescent="0.25">
      <c r="A656">
        <v>2016</v>
      </c>
      <c r="B656">
        <v>11</v>
      </c>
      <c r="C656" t="s">
        <v>24</v>
      </c>
      <c r="D656">
        <v>91.474999999999994</v>
      </c>
      <c r="E656">
        <v>1.5</v>
      </c>
      <c r="F656">
        <v>1.36</v>
      </c>
      <c r="H656" s="4" t="str">
        <f t="array" aca="1" ref="H656" ca="1">SUBSTITUTE(SUBSTITUTE(_xlfn.TEXTJOIN("",TRUE,IF(ISERR(MID(C656,ROW(INDIRECT("1:100")),1)+0),MID(C656,ROW(INDIRECT("1:100")),1),"")),")",""),"(","")</f>
        <v>All items less medical care</v>
      </c>
    </row>
    <row r="657" spans="1:8" x14ac:dyDescent="0.25">
      <c r="A657">
        <v>2016</v>
      </c>
      <c r="B657">
        <v>11</v>
      </c>
      <c r="C657" t="s">
        <v>25</v>
      </c>
      <c r="D657">
        <v>92.915999999999997</v>
      </c>
      <c r="E657">
        <v>1.7</v>
      </c>
      <c r="F657">
        <v>1.6180000000000001</v>
      </c>
      <c r="H657" s="4" t="str">
        <f t="array" aca="1" ref="H657" ca="1">SUBSTITUTE(SUBSTITUTE(_xlfn.TEXTJOIN("",TRUE,IF(ISERR(MID(C657,ROW(INDIRECT("1:100")),1)+0),MID(C657,ROW(INDIRECT("1:100")),1),"")),")",""),"(","")</f>
        <v>All items less energy</v>
      </c>
    </row>
    <row r="658" spans="1:8" x14ac:dyDescent="0.25">
      <c r="A658">
        <v>2016</v>
      </c>
      <c r="B658">
        <v>11</v>
      </c>
      <c r="C658" t="s">
        <v>26</v>
      </c>
      <c r="D658">
        <v>36.527000000000001</v>
      </c>
      <c r="E658">
        <v>-0.4</v>
      </c>
      <c r="F658">
        <v>-0.16600000000000001</v>
      </c>
      <c r="H658" s="4" t="str">
        <f t="array" aca="1" ref="H658" ca="1">SUBSTITUTE(SUBSTITUTE(_xlfn.TEXTJOIN("",TRUE,IF(ISERR(MID(C658,ROW(INDIRECT("1:100")),1)+0),MID(C658,ROW(INDIRECT("1:100")),1),"")),")",""),"(","")</f>
        <v>Commodities</v>
      </c>
    </row>
    <row r="659" spans="1:8" x14ac:dyDescent="0.25">
      <c r="A659">
        <v>2016</v>
      </c>
      <c r="B659">
        <v>11</v>
      </c>
      <c r="C659" t="s">
        <v>27</v>
      </c>
      <c r="D659">
        <v>63.472999999999999</v>
      </c>
      <c r="E659">
        <v>3</v>
      </c>
      <c r="F659">
        <v>1.8580000000000001</v>
      </c>
      <c r="H659" s="4" t="str">
        <f t="array" aca="1" ref="H659" ca="1">SUBSTITUTE(SUBSTITUTE(_xlfn.TEXTJOIN("",TRUE,IF(ISERR(MID(C659,ROW(INDIRECT("1:100")),1)+0),MID(C659,ROW(INDIRECT("1:100")),1),"")),")",""),"(","")</f>
        <v>Services</v>
      </c>
    </row>
    <row r="660" spans="1:8" x14ac:dyDescent="0.25">
      <c r="A660">
        <v>2016</v>
      </c>
      <c r="B660">
        <v>11</v>
      </c>
      <c r="C660" t="s">
        <v>28</v>
      </c>
      <c r="D660">
        <v>9.31</v>
      </c>
      <c r="E660">
        <v>-2.2999999999999998</v>
      </c>
      <c r="F660">
        <v>-0.216</v>
      </c>
      <c r="H660" s="4" t="str">
        <f t="array" aca="1" ref="H660" ca="1">SUBSTITUTE(SUBSTITUTE(_xlfn.TEXTJOIN("",TRUE,IF(ISERR(MID(C660,ROW(INDIRECT("1:100")),1)+0),MID(C660,ROW(INDIRECT("1:100")),1),"")),")",""),"(","")</f>
        <v>Durables</v>
      </c>
    </row>
    <row r="661" spans="1:8" x14ac:dyDescent="0.25">
      <c r="A661">
        <v>2016</v>
      </c>
      <c r="B661">
        <v>11</v>
      </c>
      <c r="C661" t="s">
        <v>29</v>
      </c>
      <c r="D661">
        <v>27.216999999999999</v>
      </c>
      <c r="E661">
        <v>0.2</v>
      </c>
      <c r="F661">
        <v>5.0999999999999997E-2</v>
      </c>
      <c r="H661" s="4" t="str">
        <f t="array" aca="1" ref="H661" ca="1">SUBSTITUTE(SUBSTITUTE(_xlfn.TEXTJOIN("",TRUE,IF(ISERR(MID(C661,ROW(INDIRECT("1:100")),1)+0),MID(C661,ROW(INDIRECT("1:100")),1),"")),")",""),"(","")</f>
        <v>Nondurables</v>
      </c>
    </row>
    <row r="662" spans="1:8" x14ac:dyDescent="0.25">
      <c r="A662">
        <v>2016</v>
      </c>
      <c r="B662">
        <v>11</v>
      </c>
      <c r="C662" t="s">
        <v>8</v>
      </c>
      <c r="D662">
        <v>42.49</v>
      </c>
      <c r="E662">
        <v>2.9</v>
      </c>
      <c r="F662">
        <v>1.2210000000000001</v>
      </c>
      <c r="H662" s="4" t="str">
        <f t="array" aca="1" ref="H662" ca="1">SUBSTITUTE(SUBSTITUTE(_xlfn.TEXTJOIN("",TRUE,IF(ISERR(MID(C662,ROW(INDIRECT("1:100")),1)+0),MID(C662,ROW(INDIRECT("1:100")),1),"")),")",""),"(","")</f>
        <v>Housing</v>
      </c>
    </row>
    <row r="663" spans="1:8" x14ac:dyDescent="0.25">
      <c r="A663">
        <v>2016</v>
      </c>
      <c r="B663">
        <v>11</v>
      </c>
      <c r="C663" t="s">
        <v>30</v>
      </c>
      <c r="D663">
        <v>6.9710000000000001</v>
      </c>
      <c r="E663">
        <v>-0.3</v>
      </c>
      <c r="F663">
        <v>-2.3E-2</v>
      </c>
      <c r="H663" s="4" t="str">
        <f t="array" aca="1" ref="H663" ca="1">SUBSTITUTE(SUBSTITUTE(_xlfn.TEXTJOIN("",TRUE,IF(ISERR(MID(C663,ROW(INDIRECT("1:100")),1)+0),MID(C663,ROW(INDIRECT("1:100")),1),"")),")",""),"(","")</f>
        <v>Education and communication</v>
      </c>
    </row>
    <row r="664" spans="1:8" x14ac:dyDescent="0.25">
      <c r="A664">
        <v>2016</v>
      </c>
      <c r="B664">
        <v>11</v>
      </c>
      <c r="C664" t="s">
        <v>31</v>
      </c>
      <c r="D664">
        <v>5.6639999999999997</v>
      </c>
      <c r="E664">
        <v>0.8</v>
      </c>
      <c r="F664">
        <v>4.9000000000000002E-2</v>
      </c>
      <c r="H664" s="4" t="str">
        <f t="array" aca="1" ref="H664" ca="1">SUBSTITUTE(SUBSTITUTE(_xlfn.TEXTJOIN("",TRUE,IF(ISERR(MID(C664,ROW(INDIRECT("1:100")),1)+0),MID(C664,ROW(INDIRECT("1:100")),1),"")),")",""),"(","")</f>
        <v>Recreation</v>
      </c>
    </row>
    <row r="665" spans="1:8" x14ac:dyDescent="0.25">
      <c r="A665">
        <v>2016</v>
      </c>
      <c r="B665">
        <v>11</v>
      </c>
      <c r="C665" t="s">
        <v>6</v>
      </c>
      <c r="D665">
        <v>14.673999999999999</v>
      </c>
      <c r="E665">
        <v>-0.3</v>
      </c>
      <c r="F665">
        <v>-3.7999999999999999E-2</v>
      </c>
      <c r="H665" s="4" t="str">
        <f t="array" aca="1" ref="H665" ca="1">SUBSTITUTE(SUBSTITUTE(_xlfn.TEXTJOIN("",TRUE,IF(ISERR(MID(C665,ROW(INDIRECT("1:100")),1)+0),MID(C665,ROW(INDIRECT("1:100")),1),"")),")",""),"(","")</f>
        <v>Food and beverages</v>
      </c>
    </row>
    <row r="666" spans="1:8" x14ac:dyDescent="0.25">
      <c r="A666">
        <v>2016</v>
      </c>
      <c r="B666">
        <v>11</v>
      </c>
      <c r="C666" t="s">
        <v>32</v>
      </c>
      <c r="D666">
        <v>11.84</v>
      </c>
      <c r="E666">
        <v>1.4</v>
      </c>
      <c r="F666">
        <v>0.16600000000000001</v>
      </c>
      <c r="H666" s="4" t="str">
        <f t="array" aca="1" ref="H666" ca="1">SUBSTITUTE(SUBSTITUTE(_xlfn.TEXTJOIN("",TRUE,IF(ISERR(MID(C666,ROW(INDIRECT("1:100")),1)+0),MID(C666,ROW(INDIRECT("1:100")),1),"")),")",""),"(","")</f>
        <v>Other services</v>
      </c>
    </row>
    <row r="667" spans="1:8" x14ac:dyDescent="0.25">
      <c r="A667">
        <v>2016</v>
      </c>
      <c r="B667">
        <v>11</v>
      </c>
      <c r="C667" t="s">
        <v>33</v>
      </c>
      <c r="D667">
        <v>2.508</v>
      </c>
      <c r="E667">
        <v>0.1</v>
      </c>
      <c r="F667">
        <v>-3.0000000000000001E-3</v>
      </c>
      <c r="H667" s="4" t="str">
        <f t="array" aca="1" ref="H667" ca="1">SUBSTITUTE(SUBSTITUTE(_xlfn.TEXTJOIN("",TRUE,IF(ISERR(MID(C667,ROW(INDIRECT("1:100")),1)+0),MID(C667,ROW(INDIRECT("1:100")),1),"")),")",""),"(","")</f>
        <v>Apparel less footwear</v>
      </c>
    </row>
    <row r="668" spans="1:8" x14ac:dyDescent="0.25">
      <c r="A668">
        <v>2016</v>
      </c>
      <c r="B668">
        <v>11</v>
      </c>
      <c r="C668" t="s">
        <v>34</v>
      </c>
      <c r="D668">
        <v>4.9720000000000004</v>
      </c>
      <c r="E668">
        <v>1.9</v>
      </c>
      <c r="F668">
        <v>9.0999999999999998E-2</v>
      </c>
      <c r="H668" s="4" t="str">
        <f t="array" aca="1" ref="H668" ca="1">SUBSTITUTE(SUBSTITUTE(_xlfn.TEXTJOIN("",TRUE,IF(ISERR(MID(C668,ROW(INDIRECT("1:100")),1)+0),MID(C668,ROW(INDIRECT("1:100")),1),"")),")",""),"(","")</f>
        <v>Fuels and utilities</v>
      </c>
    </row>
    <row r="669" spans="1:8" x14ac:dyDescent="0.25">
      <c r="A669">
        <v>2016</v>
      </c>
      <c r="B669">
        <v>11</v>
      </c>
      <c r="C669" t="s">
        <v>11</v>
      </c>
      <c r="D669">
        <v>8.5250000000000004</v>
      </c>
      <c r="E669">
        <v>4</v>
      </c>
      <c r="F669">
        <v>0.33300000000000002</v>
      </c>
      <c r="H669" s="4" t="str">
        <f t="array" aca="1" ref="H669" ca="1">SUBSTITUTE(SUBSTITUTE(_xlfn.TEXTJOIN("",TRUE,IF(ISERR(MID(C669,ROW(INDIRECT("1:100")),1)+0),MID(C669,ROW(INDIRECT("1:100")),1),"")),")",""),"(","")</f>
        <v>Medical care</v>
      </c>
    </row>
    <row r="670" spans="1:8" x14ac:dyDescent="0.25">
      <c r="A670">
        <v>2016</v>
      </c>
      <c r="B670">
        <v>11</v>
      </c>
      <c r="C670" t="s">
        <v>7</v>
      </c>
      <c r="D670">
        <v>15.294</v>
      </c>
      <c r="E670">
        <v>0.5</v>
      </c>
      <c r="F670">
        <v>9.0999999999999998E-2</v>
      </c>
      <c r="H670" s="4" t="str">
        <f t="array" aca="1" ref="H670" ca="1">SUBSTITUTE(SUBSTITUTE(_xlfn.TEXTJOIN("",TRUE,IF(ISERR(MID(C670,ROW(INDIRECT("1:100")),1)+0),MID(C670,ROW(INDIRECT("1:100")),1),"")),")",""),"(","")</f>
        <v>Transportation</v>
      </c>
    </row>
    <row r="671" spans="1:8" x14ac:dyDescent="0.25">
      <c r="A671">
        <v>2016</v>
      </c>
      <c r="B671">
        <v>11</v>
      </c>
      <c r="C671" t="s">
        <v>35</v>
      </c>
      <c r="D671">
        <v>9.8620000000000001</v>
      </c>
      <c r="E671">
        <v>0.5</v>
      </c>
      <c r="F671">
        <v>4.8000000000000001E-2</v>
      </c>
      <c r="H671" s="4" t="str">
        <f t="array" aca="1" ref="H671" ca="1">SUBSTITUTE(SUBSTITUTE(_xlfn.TEXTJOIN("",TRUE,IF(ISERR(MID(C671,ROW(INDIRECT("1:100")),1)+0),MID(C671,ROW(INDIRECT("1:100")),1),"")),")",""),"(","")</f>
        <v>Utilities and public transportation</v>
      </c>
    </row>
    <row r="672" spans="1:8" x14ac:dyDescent="0.25">
      <c r="A672">
        <v>2016</v>
      </c>
      <c r="B672">
        <v>11</v>
      </c>
      <c r="C672" t="s">
        <v>36</v>
      </c>
      <c r="D672">
        <v>4.0460000000000003</v>
      </c>
      <c r="E672">
        <v>-1</v>
      </c>
      <c r="F672">
        <v>-4.2999999999999997E-2</v>
      </c>
      <c r="H672" s="4" t="str">
        <f t="array" aca="1" ref="H672" ca="1">SUBSTITUTE(SUBSTITUTE(_xlfn.TEXTJOIN("",TRUE,IF(ISERR(MID(C672,ROW(INDIRECT("1:100")),1)+0),MID(C672,ROW(INDIRECT("1:100")),1),"")),")",""),"(","")</f>
        <v>Household furnishings and operations</v>
      </c>
    </row>
    <row r="673" spans="1:8" x14ac:dyDescent="0.25">
      <c r="A673">
        <v>2016</v>
      </c>
      <c r="B673">
        <v>11</v>
      </c>
      <c r="C673" t="s">
        <v>12</v>
      </c>
      <c r="D673">
        <v>3.1619999999999999</v>
      </c>
      <c r="E673">
        <v>1.8</v>
      </c>
      <c r="F673">
        <v>5.8000000000000003E-2</v>
      </c>
      <c r="H673" s="4" t="str">
        <f t="array" aca="1" ref="H673" ca="1">SUBSTITUTE(SUBSTITUTE(_xlfn.TEXTJOIN("",TRUE,IF(ISERR(MID(C673,ROW(INDIRECT("1:100")),1)+0),MID(C673,ROW(INDIRECT("1:100")),1),"")),")",""),"(","")</f>
        <v>Other goods and services</v>
      </c>
    </row>
    <row r="674" spans="1:8" x14ac:dyDescent="0.25">
      <c r="A674">
        <v>2016</v>
      </c>
      <c r="B674">
        <v>12</v>
      </c>
      <c r="C674" t="s">
        <v>14</v>
      </c>
      <c r="D674">
        <v>100</v>
      </c>
      <c r="E674">
        <v>2.1</v>
      </c>
      <c r="H674" s="4" t="str">
        <f t="array" aca="1" ref="H674" ca="1">SUBSTITUTE(SUBSTITUTE(_xlfn.TEXTJOIN("",TRUE,IF(ISERR(MID(C674,ROW(INDIRECT("1:100")),1)+0),MID(C674,ROW(INDIRECT("1:100")),1),"")),")",""),"(","")</f>
        <v>All items</v>
      </c>
    </row>
    <row r="675" spans="1:8" x14ac:dyDescent="0.25">
      <c r="A675">
        <v>2016</v>
      </c>
      <c r="B675">
        <v>12</v>
      </c>
      <c r="C675" t="s">
        <v>15</v>
      </c>
      <c r="D675">
        <v>13.709</v>
      </c>
      <c r="E675">
        <v>-0.2</v>
      </c>
      <c r="F675">
        <v>-3.3000000000000002E-2</v>
      </c>
      <c r="H675" s="4" t="str">
        <f t="array" aca="1" ref="H675" ca="1">SUBSTITUTE(SUBSTITUTE(_xlfn.TEXTJOIN("",TRUE,IF(ISERR(MID(C675,ROW(INDIRECT("1:100")),1)+0),MID(C675,ROW(INDIRECT("1:100")),1),"")),")",""),"(","")</f>
        <v>Food</v>
      </c>
    </row>
    <row r="676" spans="1:8" x14ac:dyDescent="0.25">
      <c r="A676">
        <v>2016</v>
      </c>
      <c r="B676">
        <v>12</v>
      </c>
      <c r="C676" t="s">
        <v>16</v>
      </c>
      <c r="D676">
        <v>6.9720000000000004</v>
      </c>
      <c r="E676">
        <v>5.4</v>
      </c>
      <c r="F676">
        <v>0.36899999999999999</v>
      </c>
      <c r="H676" s="4" t="str">
        <f t="array" aca="1" ref="H676" ca="1">SUBSTITUTE(SUBSTITUTE(_xlfn.TEXTJOIN("",TRUE,IF(ISERR(MID(C676,ROW(INDIRECT("1:100")),1)+0),MID(C676,ROW(INDIRECT("1:100")),1),"")),")",""),"(","")</f>
        <v>Energy</v>
      </c>
    </row>
    <row r="677" spans="1:8" x14ac:dyDescent="0.25">
      <c r="A677">
        <v>2016</v>
      </c>
      <c r="B677">
        <v>12</v>
      </c>
      <c r="C677" t="s">
        <v>17</v>
      </c>
      <c r="D677">
        <v>79.319000000000003</v>
      </c>
      <c r="E677">
        <v>2.2000000000000002</v>
      </c>
      <c r="F677">
        <v>1.7390000000000001</v>
      </c>
      <c r="H677" s="4" t="str">
        <f t="array" aca="1" ref="H677" ca="1">SUBSTITUTE(SUBSTITUTE(_xlfn.TEXTJOIN("",TRUE,IF(ISERR(MID(C677,ROW(INDIRECT("1:100")),1)+0),MID(C677,ROW(INDIRECT("1:100")),1),"")),")",""),"(","")</f>
        <v>All items less food and energy</v>
      </c>
    </row>
    <row r="678" spans="1:8" x14ac:dyDescent="0.25">
      <c r="A678">
        <v>2016</v>
      </c>
      <c r="B678">
        <v>12</v>
      </c>
      <c r="C678" t="s">
        <v>18</v>
      </c>
      <c r="H678" s="4" t="str">
        <f t="array" aca="1" ref="H678" ca="1">SUBSTITUTE(SUBSTITUTE(_xlfn.TEXTJOIN("",TRUE,IF(ISERR(MID(C678,ROW(INDIRECT("1:100")),1)+0),MID(C678,ROW(INDIRECT("1:100")),1),"")),")",""),"(","")</f>
        <v>Special aggregate indexes</v>
      </c>
    </row>
    <row r="679" spans="1:8" x14ac:dyDescent="0.25">
      <c r="A679">
        <v>2016</v>
      </c>
      <c r="B679">
        <v>12</v>
      </c>
      <c r="C679" t="s">
        <v>19</v>
      </c>
      <c r="D679">
        <v>86.290999999999997</v>
      </c>
      <c r="E679">
        <v>2.5</v>
      </c>
      <c r="F679">
        <v>2.1080000000000001</v>
      </c>
      <c r="H679" s="4" t="str">
        <f t="array" aca="1" ref="H679" ca="1">SUBSTITUTE(SUBSTITUTE(_xlfn.TEXTJOIN("",TRUE,IF(ISERR(MID(C679,ROW(INDIRECT("1:100")),1)+0),MID(C679,ROW(INDIRECT("1:100")),1),"")),")",""),"(","")</f>
        <v>All items less food</v>
      </c>
    </row>
    <row r="680" spans="1:8" x14ac:dyDescent="0.25">
      <c r="A680">
        <v>2016</v>
      </c>
      <c r="B680">
        <v>12</v>
      </c>
      <c r="C680" t="s">
        <v>20</v>
      </c>
      <c r="D680">
        <v>66.412999999999997</v>
      </c>
      <c r="E680">
        <v>1.3</v>
      </c>
      <c r="F680">
        <v>0.875</v>
      </c>
      <c r="H680" s="4" t="str">
        <f t="array" aca="1" ref="H680" ca="1">SUBSTITUTE(SUBSTITUTE(_xlfn.TEXTJOIN("",TRUE,IF(ISERR(MID(C680,ROW(INDIRECT("1:100")),1)+0),MID(C680,ROW(INDIRECT("1:100")),1),"")),")",""),"(","")</f>
        <v>All items less shelter</v>
      </c>
    </row>
    <row r="681" spans="1:8" x14ac:dyDescent="0.25">
      <c r="A681">
        <v>2016</v>
      </c>
      <c r="B681">
        <v>12</v>
      </c>
      <c r="C681" t="s">
        <v>21</v>
      </c>
      <c r="D681">
        <v>52.704000000000001</v>
      </c>
      <c r="E681">
        <v>1.7</v>
      </c>
      <c r="F681">
        <v>0.90900000000000003</v>
      </c>
      <c r="H681" s="4" t="str">
        <f t="array" aca="1" ref="H681" ca="1">SUBSTITUTE(SUBSTITUTE(_xlfn.TEXTJOIN("",TRUE,IF(ISERR(MID(C681,ROW(INDIRECT("1:100")),1)+0),MID(C681,ROW(INDIRECT("1:100")),1),"")),")",""),"(","")</f>
        <v>All items less food and shelter</v>
      </c>
    </row>
    <row r="682" spans="1:8" x14ac:dyDescent="0.25">
      <c r="A682">
        <v>2016</v>
      </c>
      <c r="B682">
        <v>12</v>
      </c>
      <c r="C682" t="s">
        <v>22</v>
      </c>
      <c r="D682">
        <v>45.731999999999999</v>
      </c>
      <c r="E682">
        <v>1.2</v>
      </c>
      <c r="F682">
        <v>0.54</v>
      </c>
      <c r="H682" s="4" t="str">
        <f t="array" aca="1" ref="H682" ca="1">SUBSTITUTE(SUBSTITUTE(_xlfn.TEXTJOIN("",TRUE,IF(ISERR(MID(C682,ROW(INDIRECT("1:100")),1)+0),MID(C682,ROW(INDIRECT("1:100")),1),"")),")",""),"(","")</f>
        <v>All items less food, shelter, and energy</v>
      </c>
    </row>
    <row r="683" spans="1:8" x14ac:dyDescent="0.25">
      <c r="A683">
        <v>2016</v>
      </c>
      <c r="B683">
        <v>12</v>
      </c>
      <c r="C683" t="s">
        <v>23</v>
      </c>
      <c r="D683">
        <v>43.741</v>
      </c>
      <c r="E683">
        <v>1.4</v>
      </c>
      <c r="F683">
        <v>0.61299999999999999</v>
      </c>
      <c r="H683" s="4" t="str">
        <f t="array" aca="1" ref="H683" ca="1">SUBSTITUTE(SUBSTITUTE(_xlfn.TEXTJOIN("",TRUE,IF(ISERR(MID(C683,ROW(INDIRECT("1:100")),1)+0),MID(C683,ROW(INDIRECT("1:100")),1),"")),")",""),"(","")</f>
        <v>All items less food, shelter, energy, and used cars and trucks</v>
      </c>
    </row>
    <row r="684" spans="1:8" x14ac:dyDescent="0.25">
      <c r="A684">
        <v>2016</v>
      </c>
      <c r="B684">
        <v>12</v>
      </c>
      <c r="C684" t="s">
        <v>24</v>
      </c>
      <c r="D684">
        <v>91.46</v>
      </c>
      <c r="E684">
        <v>1.9</v>
      </c>
      <c r="F684">
        <v>1.734</v>
      </c>
      <c r="H684" s="4" t="str">
        <f t="array" aca="1" ref="H684" ca="1">SUBSTITUTE(SUBSTITUTE(_xlfn.TEXTJOIN("",TRUE,IF(ISERR(MID(C684,ROW(INDIRECT("1:100")),1)+0),MID(C684,ROW(INDIRECT("1:100")),1),"")),")",""),"(","")</f>
        <v>All items less medical care</v>
      </c>
    </row>
    <row r="685" spans="1:8" x14ac:dyDescent="0.25">
      <c r="A685">
        <v>2016</v>
      </c>
      <c r="B685">
        <v>12</v>
      </c>
      <c r="C685" t="s">
        <v>25</v>
      </c>
      <c r="D685">
        <v>93.028000000000006</v>
      </c>
      <c r="E685">
        <v>1.8</v>
      </c>
      <c r="F685">
        <v>1.706</v>
      </c>
      <c r="H685" s="4" t="str">
        <f t="array" aca="1" ref="H685" ca="1">SUBSTITUTE(SUBSTITUTE(_xlfn.TEXTJOIN("",TRUE,IF(ISERR(MID(C685,ROW(INDIRECT("1:100")),1)+0),MID(C685,ROW(INDIRECT("1:100")),1),"")),")",""),"(","")</f>
        <v>All items less energy</v>
      </c>
    </row>
    <row r="686" spans="1:8" x14ac:dyDescent="0.25">
      <c r="A686">
        <v>2016</v>
      </c>
      <c r="B686">
        <v>12</v>
      </c>
      <c r="C686" t="s">
        <v>26</v>
      </c>
      <c r="D686">
        <v>36.323</v>
      </c>
      <c r="E686">
        <v>0.4</v>
      </c>
      <c r="F686">
        <v>0.14199999999999999</v>
      </c>
      <c r="H686" s="4" t="str">
        <f t="array" aca="1" ref="H686" ca="1">SUBSTITUTE(SUBSTITUTE(_xlfn.TEXTJOIN("",TRUE,IF(ISERR(MID(C686,ROW(INDIRECT("1:100")),1)+0),MID(C686,ROW(INDIRECT("1:100")),1),"")),")",""),"(","")</f>
        <v>Commodities</v>
      </c>
    </row>
    <row r="687" spans="1:8" x14ac:dyDescent="0.25">
      <c r="A687">
        <v>2016</v>
      </c>
      <c r="B687">
        <v>12</v>
      </c>
      <c r="C687" t="s">
        <v>27</v>
      </c>
      <c r="D687">
        <v>63.677</v>
      </c>
      <c r="E687">
        <v>3.1</v>
      </c>
      <c r="F687">
        <v>1.9330000000000001</v>
      </c>
      <c r="H687" s="4" t="str">
        <f t="array" aca="1" ref="H687" ca="1">SUBSTITUTE(SUBSTITUTE(_xlfn.TEXTJOIN("",TRUE,IF(ISERR(MID(C687,ROW(INDIRECT("1:100")),1)+0),MID(C687,ROW(INDIRECT("1:100")),1),"")),")",""),"(","")</f>
        <v>Services</v>
      </c>
    </row>
    <row r="688" spans="1:8" x14ac:dyDescent="0.25">
      <c r="A688">
        <v>2016</v>
      </c>
      <c r="B688">
        <v>12</v>
      </c>
      <c r="C688" t="s">
        <v>28</v>
      </c>
      <c r="D688">
        <v>9.2669999999999995</v>
      </c>
      <c r="E688">
        <v>-2</v>
      </c>
      <c r="F688">
        <v>-0.19400000000000001</v>
      </c>
      <c r="H688" s="4" t="str">
        <f t="array" aca="1" ref="H688" ca="1">SUBSTITUTE(SUBSTITUTE(_xlfn.TEXTJOIN("",TRUE,IF(ISERR(MID(C688,ROW(INDIRECT("1:100")),1)+0),MID(C688,ROW(INDIRECT("1:100")),1),"")),")",""),"(","")</f>
        <v>Durables</v>
      </c>
    </row>
    <row r="689" spans="1:8" x14ac:dyDescent="0.25">
      <c r="A689">
        <v>2016</v>
      </c>
      <c r="B689">
        <v>12</v>
      </c>
      <c r="C689" t="s">
        <v>29</v>
      </c>
      <c r="D689">
        <v>27.055</v>
      </c>
      <c r="E689">
        <v>1.2</v>
      </c>
      <c r="F689">
        <v>0.33600000000000002</v>
      </c>
      <c r="H689" s="4" t="str">
        <f t="array" aca="1" ref="H689" ca="1">SUBSTITUTE(SUBSTITUTE(_xlfn.TEXTJOIN("",TRUE,IF(ISERR(MID(C689,ROW(INDIRECT("1:100")),1)+0),MID(C689,ROW(INDIRECT("1:100")),1),"")),")",""),"(","")</f>
        <v>Nondurables</v>
      </c>
    </row>
    <row r="690" spans="1:8" x14ac:dyDescent="0.25">
      <c r="A690">
        <v>2016</v>
      </c>
      <c r="B690">
        <v>12</v>
      </c>
      <c r="C690" t="s">
        <v>8</v>
      </c>
      <c r="D690">
        <v>42.558</v>
      </c>
      <c r="E690">
        <v>3</v>
      </c>
      <c r="F690">
        <v>1.284</v>
      </c>
      <c r="H690" s="4" t="str">
        <f t="array" aca="1" ref="H690" ca="1">SUBSTITUTE(SUBSTITUTE(_xlfn.TEXTJOIN("",TRUE,IF(ISERR(MID(C690,ROW(INDIRECT("1:100")),1)+0),MID(C690,ROW(INDIRECT("1:100")),1),"")),")",""),"(","")</f>
        <v>Housing</v>
      </c>
    </row>
    <row r="691" spans="1:8" x14ac:dyDescent="0.25">
      <c r="A691">
        <v>2016</v>
      </c>
      <c r="B691">
        <v>12</v>
      </c>
      <c r="C691" t="s">
        <v>30</v>
      </c>
      <c r="D691">
        <v>6.9870000000000001</v>
      </c>
      <c r="E691">
        <v>-0.2</v>
      </c>
      <c r="F691">
        <v>-1.6E-2</v>
      </c>
      <c r="H691" s="4" t="str">
        <f t="array" aca="1" ref="H691" ca="1">SUBSTITUTE(SUBSTITUTE(_xlfn.TEXTJOIN("",TRUE,IF(ISERR(MID(C691,ROW(INDIRECT("1:100")),1)+0),MID(C691,ROW(INDIRECT("1:100")),1),"")),")",""),"(","")</f>
        <v>Education and communication</v>
      </c>
    </row>
    <row r="692" spans="1:8" x14ac:dyDescent="0.25">
      <c r="A692">
        <v>2016</v>
      </c>
      <c r="B692">
        <v>12</v>
      </c>
      <c r="C692" t="s">
        <v>31</v>
      </c>
      <c r="D692">
        <v>5.6740000000000004</v>
      </c>
      <c r="E692">
        <v>0.8</v>
      </c>
      <c r="F692">
        <v>4.5999999999999999E-2</v>
      </c>
      <c r="H692" s="4" t="str">
        <f t="array" aca="1" ref="H692" ca="1">SUBSTITUTE(SUBSTITUTE(_xlfn.TEXTJOIN("",TRUE,IF(ISERR(MID(C692,ROW(INDIRECT("1:100")),1)+0),MID(C692,ROW(INDIRECT("1:100")),1),"")),")",""),"(","")</f>
        <v>Recreation</v>
      </c>
    </row>
    <row r="693" spans="1:8" x14ac:dyDescent="0.25">
      <c r="A693">
        <v>2016</v>
      </c>
      <c r="B693">
        <v>12</v>
      </c>
      <c r="C693" t="s">
        <v>6</v>
      </c>
      <c r="D693">
        <v>14.661</v>
      </c>
      <c r="E693">
        <v>-0.1</v>
      </c>
      <c r="F693">
        <v>-0.02</v>
      </c>
      <c r="H693" s="4" t="str">
        <f t="array" aca="1" ref="H693" ca="1">SUBSTITUTE(SUBSTITUTE(_xlfn.TEXTJOIN("",TRUE,IF(ISERR(MID(C693,ROW(INDIRECT("1:100")),1)+0),MID(C693,ROW(INDIRECT("1:100")),1),"")),")",""),"(","")</f>
        <v>Food and beverages</v>
      </c>
    </row>
    <row r="694" spans="1:8" x14ac:dyDescent="0.25">
      <c r="A694">
        <v>2016</v>
      </c>
      <c r="B694">
        <v>12</v>
      </c>
      <c r="C694" t="s">
        <v>32</v>
      </c>
      <c r="D694">
        <v>11.877000000000001</v>
      </c>
      <c r="E694">
        <v>1.4</v>
      </c>
      <c r="F694">
        <v>0.16800000000000001</v>
      </c>
      <c r="H694" s="4" t="str">
        <f t="array" aca="1" ref="H694" ca="1">SUBSTITUTE(SUBSTITUTE(_xlfn.TEXTJOIN("",TRUE,IF(ISERR(MID(C694,ROW(INDIRECT("1:100")),1)+0),MID(C694,ROW(INDIRECT("1:100")),1),"")),")",""),"(","")</f>
        <v>Other services</v>
      </c>
    </row>
    <row r="695" spans="1:8" x14ac:dyDescent="0.25">
      <c r="A695">
        <v>2016</v>
      </c>
      <c r="B695">
        <v>12</v>
      </c>
      <c r="C695" t="s">
        <v>33</v>
      </c>
      <c r="D695">
        <v>2.4510000000000001</v>
      </c>
      <c r="E695">
        <v>-0.6</v>
      </c>
      <c r="F695">
        <v>-1.2999999999999999E-2</v>
      </c>
      <c r="H695" s="4" t="str">
        <f t="array" aca="1" ref="H695" ca="1">SUBSTITUTE(SUBSTITUTE(_xlfn.TEXTJOIN("",TRUE,IF(ISERR(MID(C695,ROW(INDIRECT("1:100")),1)+0),MID(C695,ROW(INDIRECT("1:100")),1),"")),")",""),"(","")</f>
        <v>Apparel less footwear</v>
      </c>
    </row>
    <row r="696" spans="1:8" x14ac:dyDescent="0.25">
      <c r="A696">
        <v>2016</v>
      </c>
      <c r="B696">
        <v>12</v>
      </c>
      <c r="C696" t="s">
        <v>34</v>
      </c>
      <c r="D696">
        <v>4.9400000000000004</v>
      </c>
      <c r="E696">
        <v>2.7</v>
      </c>
      <c r="F696">
        <v>0.13200000000000001</v>
      </c>
      <c r="H696" s="4" t="str">
        <f t="array" aca="1" ref="H696" ca="1">SUBSTITUTE(SUBSTITUTE(_xlfn.TEXTJOIN("",TRUE,IF(ISERR(MID(C696,ROW(INDIRECT("1:100")),1)+0),MID(C696,ROW(INDIRECT("1:100")),1),"")),")",""),"(","")</f>
        <v>Fuels and utilities</v>
      </c>
    </row>
    <row r="697" spans="1:8" x14ac:dyDescent="0.25">
      <c r="A697">
        <v>2016</v>
      </c>
      <c r="B697">
        <v>12</v>
      </c>
      <c r="C697" t="s">
        <v>11</v>
      </c>
      <c r="D697">
        <v>8.5399999999999991</v>
      </c>
      <c r="E697">
        <v>4.0999999999999996</v>
      </c>
      <c r="F697">
        <v>0.34100000000000003</v>
      </c>
      <c r="H697" s="4" t="str">
        <f t="array" aca="1" ref="H697" ca="1">SUBSTITUTE(SUBSTITUTE(_xlfn.TEXTJOIN("",TRUE,IF(ISERR(MID(C697,ROW(INDIRECT("1:100")),1)+0),MID(C697,ROW(INDIRECT("1:100")),1),"")),")",""),"(","")</f>
        <v>Medical care</v>
      </c>
    </row>
    <row r="698" spans="1:8" x14ac:dyDescent="0.25">
      <c r="A698">
        <v>2016</v>
      </c>
      <c r="B698">
        <v>12</v>
      </c>
      <c r="C698" t="s">
        <v>7</v>
      </c>
      <c r="D698">
        <v>15.257</v>
      </c>
      <c r="E698">
        <v>2.5</v>
      </c>
      <c r="F698">
        <v>0.376</v>
      </c>
      <c r="H698" s="4" t="str">
        <f t="array" aca="1" ref="H698" ca="1">SUBSTITUTE(SUBSTITUTE(_xlfn.TEXTJOIN("",TRUE,IF(ISERR(MID(C698,ROW(INDIRECT("1:100")),1)+0),MID(C698,ROW(INDIRECT("1:100")),1),"")),")",""),"(","")</f>
        <v>Transportation</v>
      </c>
    </row>
    <row r="699" spans="1:8" x14ac:dyDescent="0.25">
      <c r="A699">
        <v>2016</v>
      </c>
      <c r="B699">
        <v>12</v>
      </c>
      <c r="C699" t="s">
        <v>35</v>
      </c>
      <c r="D699">
        <v>9.8629999999999995</v>
      </c>
      <c r="E699">
        <v>0.9</v>
      </c>
      <c r="F699">
        <v>0.09</v>
      </c>
      <c r="H699" s="4" t="str">
        <f t="array" aca="1" ref="H699" ca="1">SUBSTITUTE(SUBSTITUTE(_xlfn.TEXTJOIN("",TRUE,IF(ISERR(MID(C699,ROW(INDIRECT("1:100")),1)+0),MID(C699,ROW(INDIRECT("1:100")),1),"")),")",""),"(","")</f>
        <v>Utilities and public transportation</v>
      </c>
    </row>
    <row r="700" spans="1:8" x14ac:dyDescent="0.25">
      <c r="A700">
        <v>2016</v>
      </c>
      <c r="B700">
        <v>12</v>
      </c>
      <c r="C700" t="s">
        <v>36</v>
      </c>
      <c r="D700">
        <v>4.03</v>
      </c>
      <c r="E700">
        <v>-1.1000000000000001</v>
      </c>
      <c r="F700">
        <v>-4.7E-2</v>
      </c>
      <c r="H700" s="4" t="str">
        <f t="array" aca="1" ref="H700" ca="1">SUBSTITUTE(SUBSTITUTE(_xlfn.TEXTJOIN("",TRUE,IF(ISERR(MID(C700,ROW(INDIRECT("1:100")),1)+0),MID(C700,ROW(INDIRECT("1:100")),1),"")),")",""),"(","")</f>
        <v>Household furnishings and operations</v>
      </c>
    </row>
    <row r="701" spans="1:8" x14ac:dyDescent="0.25">
      <c r="A701">
        <v>2016</v>
      </c>
      <c r="B701">
        <v>12</v>
      </c>
      <c r="C701" t="s">
        <v>12</v>
      </c>
      <c r="D701">
        <v>3.1709999999999998</v>
      </c>
      <c r="E701">
        <v>2.1</v>
      </c>
      <c r="F701">
        <v>6.7000000000000004E-2</v>
      </c>
      <c r="H701" s="4" t="str">
        <f t="array" aca="1" ref="H701" ca="1">SUBSTITUTE(SUBSTITUTE(_xlfn.TEXTJOIN("",TRUE,IF(ISERR(MID(C701,ROW(INDIRECT("1:100")),1)+0),MID(C701,ROW(INDIRECT("1:100")),1),"")),")",""),"(","")</f>
        <v>Other goods and services</v>
      </c>
    </row>
    <row r="702" spans="1:8" x14ac:dyDescent="0.25">
      <c r="A702">
        <v>2017</v>
      </c>
      <c r="B702">
        <v>1</v>
      </c>
      <c r="C702" t="s">
        <v>14</v>
      </c>
      <c r="D702">
        <v>100</v>
      </c>
      <c r="E702">
        <v>2.5</v>
      </c>
      <c r="H702" s="4" t="str">
        <f t="array" aca="1" ref="H702" ca="1">SUBSTITUTE(SUBSTITUTE(_xlfn.TEXTJOIN("",TRUE,IF(ISERR(MID(C702,ROW(INDIRECT("1:100")),1)+0),MID(C702,ROW(INDIRECT("1:100")),1),"")),")",""),"(","")</f>
        <v>All items</v>
      </c>
    </row>
    <row r="703" spans="1:8" x14ac:dyDescent="0.25">
      <c r="A703">
        <v>2017</v>
      </c>
      <c r="B703">
        <v>1</v>
      </c>
      <c r="C703" t="s">
        <v>15</v>
      </c>
      <c r="D703">
        <v>13.698</v>
      </c>
      <c r="E703">
        <v>-0.2</v>
      </c>
      <c r="F703">
        <v>-2.1999999999999999E-2</v>
      </c>
      <c r="H703" s="4" t="str">
        <f t="array" aca="1" ref="H703" ca="1">SUBSTITUTE(SUBSTITUTE(_xlfn.TEXTJOIN("",TRUE,IF(ISERR(MID(C703,ROW(INDIRECT("1:100")),1)+0),MID(C703,ROW(INDIRECT("1:100")),1),"")),")",""),"(","")</f>
        <v>Food</v>
      </c>
    </row>
    <row r="704" spans="1:8" x14ac:dyDescent="0.25">
      <c r="A704">
        <v>2017</v>
      </c>
      <c r="B704">
        <v>1</v>
      </c>
      <c r="C704" t="s">
        <v>16</v>
      </c>
      <c r="D704">
        <v>7.0389999999999997</v>
      </c>
      <c r="E704">
        <v>10.8</v>
      </c>
      <c r="F704">
        <v>0.72099999999999997</v>
      </c>
      <c r="H704" s="4" t="str">
        <f t="array" aca="1" ref="H704" ca="1">SUBSTITUTE(SUBSTITUTE(_xlfn.TEXTJOIN("",TRUE,IF(ISERR(MID(C704,ROW(INDIRECT("1:100")),1)+0),MID(C704,ROW(INDIRECT("1:100")),1),"")),")",""),"(","")</f>
        <v>Energy</v>
      </c>
    </row>
    <row r="705" spans="1:8" x14ac:dyDescent="0.25">
      <c r="A705">
        <v>2017</v>
      </c>
      <c r="B705">
        <v>1</v>
      </c>
      <c r="C705" t="s">
        <v>17</v>
      </c>
      <c r="D705">
        <v>79.263000000000005</v>
      </c>
      <c r="E705">
        <v>2.2999999999999998</v>
      </c>
      <c r="F705">
        <v>1.8009999999999999</v>
      </c>
      <c r="H705" s="4" t="str">
        <f t="array" aca="1" ref="H705" ca="1">SUBSTITUTE(SUBSTITUTE(_xlfn.TEXTJOIN("",TRUE,IF(ISERR(MID(C705,ROW(INDIRECT("1:100")),1)+0),MID(C705,ROW(INDIRECT("1:100")),1),"")),")",""),"(","")</f>
        <v>All items less food and energy</v>
      </c>
    </row>
    <row r="706" spans="1:8" x14ac:dyDescent="0.25">
      <c r="A706">
        <v>2017</v>
      </c>
      <c r="B706">
        <v>1</v>
      </c>
      <c r="C706" t="s">
        <v>18</v>
      </c>
      <c r="H706" s="4" t="str">
        <f t="array" aca="1" ref="H706" ca="1">SUBSTITUTE(SUBSTITUTE(_xlfn.TEXTJOIN("",TRUE,IF(ISERR(MID(C706,ROW(INDIRECT("1:100")),1)+0),MID(C706,ROW(INDIRECT("1:100")),1),"")),")",""),"(","")</f>
        <v>Special aggregate indexes</v>
      </c>
    </row>
    <row r="707" spans="1:8" x14ac:dyDescent="0.25">
      <c r="A707">
        <v>2017</v>
      </c>
      <c r="B707">
        <v>1</v>
      </c>
      <c r="C707" t="s">
        <v>19</v>
      </c>
      <c r="D707">
        <v>86.302000000000007</v>
      </c>
      <c r="E707">
        <v>2.9</v>
      </c>
      <c r="F707">
        <v>2.5219999999999998</v>
      </c>
      <c r="H707" s="4" t="str">
        <f t="array" aca="1" ref="H707" ca="1">SUBSTITUTE(SUBSTITUTE(_xlfn.TEXTJOIN("",TRUE,IF(ISERR(MID(C707,ROW(INDIRECT("1:100")),1)+0),MID(C707,ROW(INDIRECT("1:100")),1),"")),")",""),"(","")</f>
        <v>All items less food</v>
      </c>
    </row>
    <row r="708" spans="1:8" x14ac:dyDescent="0.25">
      <c r="A708">
        <v>2017</v>
      </c>
      <c r="B708">
        <v>1</v>
      </c>
      <c r="C708" t="s">
        <v>20</v>
      </c>
      <c r="D708">
        <v>66.347999999999999</v>
      </c>
      <c r="E708">
        <v>2</v>
      </c>
      <c r="F708">
        <v>1.321</v>
      </c>
      <c r="H708" s="4" t="str">
        <f t="array" aca="1" ref="H708" ca="1">SUBSTITUTE(SUBSTITUTE(_xlfn.TEXTJOIN("",TRUE,IF(ISERR(MID(C708,ROW(INDIRECT("1:100")),1)+0),MID(C708,ROW(INDIRECT("1:100")),1),"")),")",""),"(","")</f>
        <v>All items less shelter</v>
      </c>
    </row>
    <row r="709" spans="1:8" x14ac:dyDescent="0.25">
      <c r="A709">
        <v>2017</v>
      </c>
      <c r="B709">
        <v>1</v>
      </c>
      <c r="C709" t="s">
        <v>21</v>
      </c>
      <c r="D709">
        <v>52.651000000000003</v>
      </c>
      <c r="E709">
        <v>2.5</v>
      </c>
      <c r="F709">
        <v>1.343</v>
      </c>
      <c r="H709" s="4" t="str">
        <f t="array" aca="1" ref="H709" ca="1">SUBSTITUTE(SUBSTITUTE(_xlfn.TEXTJOIN("",TRUE,IF(ISERR(MID(C709,ROW(INDIRECT("1:100")),1)+0),MID(C709,ROW(INDIRECT("1:100")),1),"")),")",""),"(","")</f>
        <v>All items less food and shelter</v>
      </c>
    </row>
    <row r="710" spans="1:8" x14ac:dyDescent="0.25">
      <c r="A710">
        <v>2017</v>
      </c>
      <c r="B710">
        <v>1</v>
      </c>
      <c r="C710" t="s">
        <v>22</v>
      </c>
      <c r="D710">
        <v>45.612000000000002</v>
      </c>
      <c r="E710">
        <v>1.3</v>
      </c>
      <c r="F710">
        <v>0.622</v>
      </c>
      <c r="H710" s="4" t="str">
        <f t="array" aca="1" ref="H710" ca="1">SUBSTITUTE(SUBSTITUTE(_xlfn.TEXTJOIN("",TRUE,IF(ISERR(MID(C710,ROW(INDIRECT("1:100")),1)+0),MID(C710,ROW(INDIRECT("1:100")),1),"")),")",""),"(","")</f>
        <v>All items less food, shelter, and energy</v>
      </c>
    </row>
    <row r="711" spans="1:8" x14ac:dyDescent="0.25">
      <c r="A711">
        <v>2017</v>
      </c>
      <c r="B711">
        <v>1</v>
      </c>
      <c r="C711" t="s">
        <v>23</v>
      </c>
      <c r="D711">
        <v>43.625999999999998</v>
      </c>
      <c r="E711">
        <v>1.6</v>
      </c>
      <c r="F711">
        <v>0.69899999999999995</v>
      </c>
      <c r="H711" s="4" t="str">
        <f t="array" aca="1" ref="H711" ca="1">SUBSTITUTE(SUBSTITUTE(_xlfn.TEXTJOIN("",TRUE,IF(ISERR(MID(C711,ROW(INDIRECT("1:100")),1)+0),MID(C711,ROW(INDIRECT("1:100")),1),"")),")",""),"(","")</f>
        <v>All items less food, shelter, energy, and used cars and trucks</v>
      </c>
    </row>
    <row r="712" spans="1:8" x14ac:dyDescent="0.25">
      <c r="A712">
        <v>2017</v>
      </c>
      <c r="B712">
        <v>1</v>
      </c>
      <c r="C712" t="s">
        <v>24</v>
      </c>
      <c r="D712">
        <v>91.460999999999999</v>
      </c>
      <c r="E712">
        <v>2.4</v>
      </c>
      <c r="F712">
        <v>2.1749999999999998</v>
      </c>
      <c r="H712" s="4" t="str">
        <f t="array" aca="1" ref="H712" ca="1">SUBSTITUTE(SUBSTITUTE(_xlfn.TEXTJOIN("",TRUE,IF(ISERR(MID(C712,ROW(INDIRECT("1:100")),1)+0),MID(C712,ROW(INDIRECT("1:100")),1),"")),")",""),"(","")</f>
        <v>All items less medical care</v>
      </c>
    </row>
    <row r="713" spans="1:8" x14ac:dyDescent="0.25">
      <c r="A713">
        <v>2017</v>
      </c>
      <c r="B713">
        <v>1</v>
      </c>
      <c r="C713" t="s">
        <v>25</v>
      </c>
      <c r="D713">
        <v>92.960999999999999</v>
      </c>
      <c r="E713">
        <v>1.9</v>
      </c>
      <c r="F713">
        <v>1.7789999999999999</v>
      </c>
      <c r="H713" s="4" t="str">
        <f t="array" aca="1" ref="H713" ca="1">SUBSTITUTE(SUBSTITUTE(_xlfn.TEXTJOIN("",TRUE,IF(ISERR(MID(C713,ROW(INDIRECT("1:100")),1)+0),MID(C713,ROW(INDIRECT("1:100")),1),"")),")",""),"(","")</f>
        <v>All items less energy</v>
      </c>
    </row>
    <row r="714" spans="1:8" x14ac:dyDescent="0.25">
      <c r="A714">
        <v>2017</v>
      </c>
      <c r="B714">
        <v>1</v>
      </c>
      <c r="C714" t="s">
        <v>26</v>
      </c>
      <c r="D714">
        <v>36.246000000000002</v>
      </c>
      <c r="E714">
        <v>1.5</v>
      </c>
      <c r="F714">
        <v>0.54500000000000004</v>
      </c>
      <c r="H714" s="4" t="str">
        <f t="array" aca="1" ref="H714" ca="1">SUBSTITUTE(SUBSTITUTE(_xlfn.TEXTJOIN("",TRUE,IF(ISERR(MID(C714,ROW(INDIRECT("1:100")),1)+0),MID(C714,ROW(INDIRECT("1:100")),1),"")),")",""),"(","")</f>
        <v>Commodities</v>
      </c>
    </row>
    <row r="715" spans="1:8" x14ac:dyDescent="0.25">
      <c r="A715">
        <v>2017</v>
      </c>
      <c r="B715">
        <v>1</v>
      </c>
      <c r="C715" t="s">
        <v>27</v>
      </c>
      <c r="D715">
        <v>63.753999999999998</v>
      </c>
      <c r="E715">
        <v>3.1</v>
      </c>
      <c r="F715">
        <v>1.9550000000000001</v>
      </c>
      <c r="H715" s="4" t="str">
        <f t="array" aca="1" ref="H715" ca="1">SUBSTITUTE(SUBSTITUTE(_xlfn.TEXTJOIN("",TRUE,IF(ISERR(MID(C715,ROW(INDIRECT("1:100")),1)+0),MID(C715,ROW(INDIRECT("1:100")),1),"")),")",""),"(","")</f>
        <v>Services</v>
      </c>
    </row>
    <row r="716" spans="1:8" x14ac:dyDescent="0.25">
      <c r="A716">
        <v>2017</v>
      </c>
      <c r="B716">
        <v>1</v>
      </c>
      <c r="C716" t="s">
        <v>28</v>
      </c>
      <c r="D716">
        <v>9.26</v>
      </c>
      <c r="E716">
        <v>-1.6</v>
      </c>
      <c r="F716">
        <v>-0.153</v>
      </c>
      <c r="H716" s="4" t="str">
        <f t="array" aca="1" ref="H716" ca="1">SUBSTITUTE(SUBSTITUTE(_xlfn.TEXTJOIN("",TRUE,IF(ISERR(MID(C716,ROW(INDIRECT("1:100")),1)+0),MID(C716,ROW(INDIRECT("1:100")),1),"")),")",""),"(","")</f>
        <v>Durables</v>
      </c>
    </row>
    <row r="717" spans="1:8" x14ac:dyDescent="0.25">
      <c r="A717">
        <v>2017</v>
      </c>
      <c r="B717">
        <v>1</v>
      </c>
      <c r="C717" t="s">
        <v>29</v>
      </c>
      <c r="D717">
        <v>26.986000000000001</v>
      </c>
      <c r="E717">
        <v>2.6</v>
      </c>
      <c r="F717">
        <v>0.69899999999999995</v>
      </c>
      <c r="H717" s="4" t="str">
        <f t="array" aca="1" ref="H717" ca="1">SUBSTITUTE(SUBSTITUTE(_xlfn.TEXTJOIN("",TRUE,IF(ISERR(MID(C717,ROW(INDIRECT("1:100")),1)+0),MID(C717,ROW(INDIRECT("1:100")),1),"")),")",""),"(","")</f>
        <v>Nondurables</v>
      </c>
    </row>
    <row r="718" spans="1:8" x14ac:dyDescent="0.25">
      <c r="A718">
        <v>2017</v>
      </c>
      <c r="B718">
        <v>1</v>
      </c>
      <c r="C718" t="s">
        <v>8</v>
      </c>
      <c r="D718">
        <v>42.634</v>
      </c>
      <c r="E718">
        <v>3.1</v>
      </c>
      <c r="F718">
        <v>1.3240000000000001</v>
      </c>
      <c r="H718" s="4" t="str">
        <f t="array" aca="1" ref="H718" ca="1">SUBSTITUTE(SUBSTITUTE(_xlfn.TEXTJOIN("",TRUE,IF(ISERR(MID(C718,ROW(INDIRECT("1:100")),1)+0),MID(C718,ROW(INDIRECT("1:100")),1),"")),")",""),"(","")</f>
        <v>Housing</v>
      </c>
    </row>
    <row r="719" spans="1:8" x14ac:dyDescent="0.25">
      <c r="A719">
        <v>2017</v>
      </c>
      <c r="B719">
        <v>1</v>
      </c>
      <c r="C719" t="s">
        <v>30</v>
      </c>
      <c r="D719">
        <v>6.984</v>
      </c>
      <c r="E719">
        <v>-0.3</v>
      </c>
      <c r="F719">
        <v>-2.3E-2</v>
      </c>
      <c r="H719" s="4" t="str">
        <f t="array" aca="1" ref="H719" ca="1">SUBSTITUTE(SUBSTITUTE(_xlfn.TEXTJOIN("",TRUE,IF(ISERR(MID(C719,ROW(INDIRECT("1:100")),1)+0),MID(C719,ROW(INDIRECT("1:100")),1),"")),")",""),"(","")</f>
        <v>Education and communication</v>
      </c>
    </row>
    <row r="720" spans="1:8" x14ac:dyDescent="0.25">
      <c r="A720">
        <v>2017</v>
      </c>
      <c r="B720">
        <v>1</v>
      </c>
      <c r="C720" t="s">
        <v>31</v>
      </c>
      <c r="D720">
        <v>5.6630000000000003</v>
      </c>
      <c r="E720">
        <v>1.1000000000000001</v>
      </c>
      <c r="F720">
        <v>6.3E-2</v>
      </c>
      <c r="H720" s="4" t="str">
        <f t="array" aca="1" ref="H720" ca="1">SUBSTITUTE(SUBSTITUTE(_xlfn.TEXTJOIN("",TRUE,IF(ISERR(MID(C720,ROW(INDIRECT("1:100")),1)+0),MID(C720,ROW(INDIRECT("1:100")),1),"")),")",""),"(","")</f>
        <v>Recreation</v>
      </c>
    </row>
    <row r="721" spans="1:8" x14ac:dyDescent="0.25">
      <c r="A721">
        <v>2017</v>
      </c>
      <c r="B721">
        <v>1</v>
      </c>
      <c r="C721" t="s">
        <v>6</v>
      </c>
      <c r="D721">
        <v>14.648999999999999</v>
      </c>
      <c r="E721">
        <v>-0.1</v>
      </c>
      <c r="F721">
        <v>-0.01</v>
      </c>
      <c r="H721" s="4" t="str">
        <f t="array" aca="1" ref="H721" ca="1">SUBSTITUTE(SUBSTITUTE(_xlfn.TEXTJOIN("",TRUE,IF(ISERR(MID(C721,ROW(INDIRECT("1:100")),1)+0),MID(C721,ROW(INDIRECT("1:100")),1),"")),")",""),"(","")</f>
        <v>Food and beverages</v>
      </c>
    </row>
    <row r="722" spans="1:8" x14ac:dyDescent="0.25">
      <c r="A722">
        <v>2017</v>
      </c>
      <c r="B722">
        <v>1</v>
      </c>
      <c r="C722" t="s">
        <v>32</v>
      </c>
      <c r="D722">
        <v>11.875999999999999</v>
      </c>
      <c r="E722">
        <v>1.5</v>
      </c>
      <c r="F722">
        <v>0.17699999999999999</v>
      </c>
      <c r="H722" s="4" t="str">
        <f t="array" aca="1" ref="H722" ca="1">SUBSTITUTE(SUBSTITUTE(_xlfn.TEXTJOIN("",TRUE,IF(ISERR(MID(C722,ROW(INDIRECT("1:100")),1)+0),MID(C722,ROW(INDIRECT("1:100")),1),"")),")",""),"(","")</f>
        <v>Other services</v>
      </c>
    </row>
    <row r="723" spans="1:8" x14ac:dyDescent="0.25">
      <c r="A723">
        <v>2017</v>
      </c>
      <c r="B723">
        <v>1</v>
      </c>
      <c r="C723" t="s">
        <v>33</v>
      </c>
      <c r="D723">
        <v>2.343</v>
      </c>
      <c r="E723">
        <v>1</v>
      </c>
      <c r="F723">
        <v>2.5000000000000001E-2</v>
      </c>
      <c r="H723" s="4" t="str">
        <f t="array" aca="1" ref="H723" ca="1">SUBSTITUTE(SUBSTITUTE(_xlfn.TEXTJOIN("",TRUE,IF(ISERR(MID(C723,ROW(INDIRECT("1:100")),1)+0),MID(C723,ROW(INDIRECT("1:100")),1),"")),")",""),"(","")</f>
        <v>Apparel less footwear</v>
      </c>
    </row>
    <row r="724" spans="1:8" x14ac:dyDescent="0.25">
      <c r="A724">
        <v>2017</v>
      </c>
      <c r="B724">
        <v>1</v>
      </c>
      <c r="C724" t="s">
        <v>34</v>
      </c>
      <c r="D724">
        <v>4.9539999999999997</v>
      </c>
      <c r="E724">
        <v>3.6</v>
      </c>
      <c r="F724">
        <v>0.17599999999999999</v>
      </c>
      <c r="H724" s="4" t="str">
        <f t="array" aca="1" ref="H724" ca="1">SUBSTITUTE(SUBSTITUTE(_xlfn.TEXTJOIN("",TRUE,IF(ISERR(MID(C724,ROW(INDIRECT("1:100")),1)+0),MID(C724,ROW(INDIRECT("1:100")),1),"")),")",""),"(","")</f>
        <v>Fuels and utilities</v>
      </c>
    </row>
    <row r="725" spans="1:8" x14ac:dyDescent="0.25">
      <c r="A725">
        <v>2017</v>
      </c>
      <c r="B725">
        <v>1</v>
      </c>
      <c r="C725" t="s">
        <v>11</v>
      </c>
      <c r="D725">
        <v>8.5389999999999997</v>
      </c>
      <c r="E725">
        <v>3.9</v>
      </c>
      <c r="F725">
        <v>0.32500000000000001</v>
      </c>
      <c r="H725" s="4" t="str">
        <f t="array" aca="1" ref="H725" ca="1">SUBSTITUTE(SUBSTITUTE(_xlfn.TEXTJOIN("",TRUE,IF(ISERR(MID(C725,ROW(INDIRECT("1:100")),1)+0),MID(C725,ROW(INDIRECT("1:100")),1),"")),")",""),"(","")</f>
        <v>Medical care</v>
      </c>
    </row>
    <row r="726" spans="1:8" x14ac:dyDescent="0.25">
      <c r="A726">
        <v>2017</v>
      </c>
      <c r="B726">
        <v>1</v>
      </c>
      <c r="C726" t="s">
        <v>7</v>
      </c>
      <c r="D726">
        <v>15.318</v>
      </c>
      <c r="E726">
        <v>4.8</v>
      </c>
      <c r="F726">
        <v>0.72599999999999998</v>
      </c>
      <c r="H726" s="4" t="str">
        <f t="array" aca="1" ref="H726" ca="1">SUBSTITUTE(SUBSTITUTE(_xlfn.TEXTJOIN("",TRUE,IF(ISERR(MID(C726,ROW(INDIRECT("1:100")),1)+0),MID(C726,ROW(INDIRECT("1:100")),1),"")),")",""),"(","")</f>
        <v>Transportation</v>
      </c>
    </row>
    <row r="727" spans="1:8" x14ac:dyDescent="0.25">
      <c r="A727">
        <v>2017</v>
      </c>
      <c r="B727">
        <v>1</v>
      </c>
      <c r="C727" t="s">
        <v>35</v>
      </c>
      <c r="D727">
        <v>9.85</v>
      </c>
      <c r="E727">
        <v>1.4</v>
      </c>
      <c r="F727">
        <v>0.13500000000000001</v>
      </c>
      <c r="H727" s="4" t="str">
        <f t="array" aca="1" ref="H727" ca="1">SUBSTITUTE(SUBSTITUTE(_xlfn.TEXTJOIN("",TRUE,IF(ISERR(MID(C727,ROW(INDIRECT("1:100")),1)+0),MID(C727,ROW(INDIRECT("1:100")),1),"")),")",""),"(","")</f>
        <v>Utilities and public transportation</v>
      </c>
    </row>
    <row r="728" spans="1:8" x14ac:dyDescent="0.25">
      <c r="A728">
        <v>2017</v>
      </c>
      <c r="B728">
        <v>1</v>
      </c>
      <c r="C728" t="s">
        <v>36</v>
      </c>
      <c r="D728">
        <v>4.0289999999999999</v>
      </c>
      <c r="E728">
        <v>-0.8</v>
      </c>
      <c r="F728">
        <v>-3.1E-2</v>
      </c>
      <c r="H728" s="4" t="str">
        <f t="array" aca="1" ref="H728" ca="1">SUBSTITUTE(SUBSTITUTE(_xlfn.TEXTJOIN("",TRUE,IF(ISERR(MID(C728,ROW(INDIRECT("1:100")),1)+0),MID(C728,ROW(INDIRECT("1:100")),1),"")),")",""),"(","")</f>
        <v>Household furnishings and operations</v>
      </c>
    </row>
    <row r="729" spans="1:8" x14ac:dyDescent="0.25">
      <c r="A729">
        <v>2017</v>
      </c>
      <c r="B729">
        <v>1</v>
      </c>
      <c r="C729" t="s">
        <v>12</v>
      </c>
      <c r="D729">
        <v>3.1779999999999999</v>
      </c>
      <c r="E729">
        <v>2</v>
      </c>
      <c r="F729">
        <v>6.5000000000000002E-2</v>
      </c>
      <c r="H729" s="4" t="str">
        <f t="array" aca="1" ref="H729" ca="1">SUBSTITUTE(SUBSTITUTE(_xlfn.TEXTJOIN("",TRUE,IF(ISERR(MID(C729,ROW(INDIRECT("1:100")),1)+0),MID(C729,ROW(INDIRECT("1:100")),1),"")),")",""),"(","")</f>
        <v>Other goods and services</v>
      </c>
    </row>
    <row r="730" spans="1:8" x14ac:dyDescent="0.25">
      <c r="A730">
        <v>2017</v>
      </c>
      <c r="B730">
        <v>2</v>
      </c>
      <c r="C730" t="s">
        <v>14</v>
      </c>
      <c r="D730">
        <v>100</v>
      </c>
      <c r="E730">
        <v>2.7</v>
      </c>
      <c r="H730" s="4" t="str">
        <f t="array" aca="1" ref="H730" ca="1">SUBSTITUTE(SUBSTITUTE(_xlfn.TEXTJOIN("",TRUE,IF(ISERR(MID(C730,ROW(INDIRECT("1:100")),1)+0),MID(C730,ROW(INDIRECT("1:100")),1),"")),")",""),"(","")</f>
        <v>All items</v>
      </c>
    </row>
    <row r="731" spans="1:8" x14ac:dyDescent="0.25">
      <c r="A731">
        <v>2017</v>
      </c>
      <c r="B731">
        <v>2</v>
      </c>
      <c r="C731" t="s">
        <v>15</v>
      </c>
      <c r="D731">
        <v>13.669</v>
      </c>
      <c r="E731">
        <v>0</v>
      </c>
      <c r="F731">
        <v>0</v>
      </c>
      <c r="H731" s="4" t="str">
        <f t="array" aca="1" ref="H731" ca="1">SUBSTITUTE(SUBSTITUTE(_xlfn.TEXTJOIN("",TRUE,IF(ISERR(MID(C731,ROW(INDIRECT("1:100")),1)+0),MID(C731,ROW(INDIRECT("1:100")),1),"")),")",""),"(","")</f>
        <v>Food</v>
      </c>
    </row>
    <row r="732" spans="1:8" x14ac:dyDescent="0.25">
      <c r="A732">
        <v>2017</v>
      </c>
      <c r="B732">
        <v>2</v>
      </c>
      <c r="C732" t="s">
        <v>16</v>
      </c>
      <c r="D732">
        <v>7.226</v>
      </c>
      <c r="E732">
        <v>15.2</v>
      </c>
      <c r="F732">
        <v>0.96899999999999997</v>
      </c>
      <c r="H732" s="4" t="str">
        <f t="array" aca="1" ref="H732" ca="1">SUBSTITUTE(SUBSTITUTE(_xlfn.TEXTJOIN("",TRUE,IF(ISERR(MID(C732,ROW(INDIRECT("1:100")),1)+0),MID(C732,ROW(INDIRECT("1:100")),1),"")),")",""),"(","")</f>
        <v>Energy</v>
      </c>
    </row>
    <row r="733" spans="1:8" x14ac:dyDescent="0.25">
      <c r="A733">
        <v>2017</v>
      </c>
      <c r="B733">
        <v>2</v>
      </c>
      <c r="C733" t="s">
        <v>17</v>
      </c>
      <c r="D733">
        <v>79.103999999999999</v>
      </c>
      <c r="E733">
        <v>2.2000000000000002</v>
      </c>
      <c r="F733">
        <v>1.77</v>
      </c>
      <c r="H733" s="4" t="str">
        <f t="array" aca="1" ref="H733" ca="1">SUBSTITUTE(SUBSTITUTE(_xlfn.TEXTJOIN("",TRUE,IF(ISERR(MID(C733,ROW(INDIRECT("1:100")),1)+0),MID(C733,ROW(INDIRECT("1:100")),1),"")),")",""),"(","")</f>
        <v>All items less food and energy</v>
      </c>
    </row>
    <row r="734" spans="1:8" x14ac:dyDescent="0.25">
      <c r="A734">
        <v>2017</v>
      </c>
      <c r="B734">
        <v>2</v>
      </c>
      <c r="C734" t="s">
        <v>18</v>
      </c>
      <c r="H734" s="4" t="str">
        <f t="array" aca="1" ref="H734" ca="1">SUBSTITUTE(SUBSTITUTE(_xlfn.TEXTJOIN("",TRUE,IF(ISERR(MID(C734,ROW(INDIRECT("1:100")),1)+0),MID(C734,ROW(INDIRECT("1:100")),1),"")),")",""),"(","")</f>
        <v>Special aggregate indexes</v>
      </c>
    </row>
    <row r="735" spans="1:8" x14ac:dyDescent="0.25">
      <c r="A735">
        <v>2017</v>
      </c>
      <c r="B735">
        <v>2</v>
      </c>
      <c r="C735" t="s">
        <v>19</v>
      </c>
      <c r="D735">
        <v>86.331000000000003</v>
      </c>
      <c r="E735">
        <v>3.2</v>
      </c>
      <c r="F735">
        <v>2.7389999999999999</v>
      </c>
      <c r="H735" s="4" t="str">
        <f t="array" aca="1" ref="H735" ca="1">SUBSTITUTE(SUBSTITUTE(_xlfn.TEXTJOIN("",TRUE,IF(ISERR(MID(C735,ROW(INDIRECT("1:100")),1)+0),MID(C735,ROW(INDIRECT("1:100")),1),"")),")",""),"(","")</f>
        <v>All items less food</v>
      </c>
    </row>
    <row r="736" spans="1:8" x14ac:dyDescent="0.25">
      <c r="A736">
        <v>2017</v>
      </c>
      <c r="B736">
        <v>2</v>
      </c>
      <c r="C736" t="s">
        <v>20</v>
      </c>
      <c r="D736">
        <v>66.435000000000002</v>
      </c>
      <c r="E736">
        <v>2.2999999999999998</v>
      </c>
      <c r="F736">
        <v>1.5660000000000001</v>
      </c>
      <c r="H736" s="4" t="str">
        <f t="array" aca="1" ref="H736" ca="1">SUBSTITUTE(SUBSTITUTE(_xlfn.TEXTJOIN("",TRUE,IF(ISERR(MID(C736,ROW(INDIRECT("1:100")),1)+0),MID(C736,ROW(INDIRECT("1:100")),1),"")),")",""),"(","")</f>
        <v>All items less shelter</v>
      </c>
    </row>
    <row r="737" spans="1:8" x14ac:dyDescent="0.25">
      <c r="A737">
        <v>2017</v>
      </c>
      <c r="B737">
        <v>2</v>
      </c>
      <c r="C737" t="s">
        <v>21</v>
      </c>
      <c r="D737">
        <v>52.765000000000001</v>
      </c>
      <c r="E737">
        <v>3</v>
      </c>
      <c r="F737">
        <v>1.5669999999999999</v>
      </c>
      <c r="H737" s="4" t="str">
        <f t="array" aca="1" ref="H737" ca="1">SUBSTITUTE(SUBSTITUTE(_xlfn.TEXTJOIN("",TRUE,IF(ISERR(MID(C737,ROW(INDIRECT("1:100")),1)+0),MID(C737,ROW(INDIRECT("1:100")),1),"")),")",""),"(","")</f>
        <v>All items less food and shelter</v>
      </c>
    </row>
    <row r="738" spans="1:8" x14ac:dyDescent="0.25">
      <c r="A738">
        <v>2017</v>
      </c>
      <c r="B738">
        <v>2</v>
      </c>
      <c r="C738" t="s">
        <v>22</v>
      </c>
      <c r="D738">
        <v>45.539000000000001</v>
      </c>
      <c r="E738">
        <v>1.3</v>
      </c>
      <c r="F738">
        <v>0.59799999999999998</v>
      </c>
      <c r="H738" s="4" t="str">
        <f t="array" aca="1" ref="H738" ca="1">SUBSTITUTE(SUBSTITUTE(_xlfn.TEXTJOIN("",TRUE,IF(ISERR(MID(C738,ROW(INDIRECT("1:100")),1)+0),MID(C738,ROW(INDIRECT("1:100")),1),"")),")",""),"(","")</f>
        <v>All items less food, shelter, and energy</v>
      </c>
    </row>
    <row r="739" spans="1:8" x14ac:dyDescent="0.25">
      <c r="A739">
        <v>2017</v>
      </c>
      <c r="B739">
        <v>2</v>
      </c>
      <c r="C739" t="s">
        <v>23</v>
      </c>
      <c r="D739">
        <v>43.566000000000003</v>
      </c>
      <c r="E739">
        <v>1.6</v>
      </c>
      <c r="F739">
        <v>0.68799999999999994</v>
      </c>
      <c r="H739" s="4" t="str">
        <f t="array" aca="1" ref="H739" ca="1">SUBSTITUTE(SUBSTITUTE(_xlfn.TEXTJOIN("",TRUE,IF(ISERR(MID(C739,ROW(INDIRECT("1:100")),1)+0),MID(C739,ROW(INDIRECT("1:100")),1),"")),")",""),"(","")</f>
        <v>All items less food, shelter, energy, and used cars and trucks</v>
      </c>
    </row>
    <row r="740" spans="1:8" x14ac:dyDescent="0.25">
      <c r="A740">
        <v>2017</v>
      </c>
      <c r="B740">
        <v>2</v>
      </c>
      <c r="C740" t="s">
        <v>24</v>
      </c>
      <c r="D740">
        <v>91.47</v>
      </c>
      <c r="E740">
        <v>2.7</v>
      </c>
      <c r="F740">
        <v>2.4369999999999998</v>
      </c>
      <c r="H740" s="4" t="str">
        <f t="array" aca="1" ref="H740" ca="1">SUBSTITUTE(SUBSTITUTE(_xlfn.TEXTJOIN("",TRUE,IF(ISERR(MID(C740,ROW(INDIRECT("1:100")),1)+0),MID(C740,ROW(INDIRECT("1:100")),1),"")),")",""),"(","")</f>
        <v>All items less medical care</v>
      </c>
    </row>
    <row r="741" spans="1:8" x14ac:dyDescent="0.25">
      <c r="A741">
        <v>2017</v>
      </c>
      <c r="B741">
        <v>2</v>
      </c>
      <c r="C741" t="s">
        <v>25</v>
      </c>
      <c r="D741">
        <v>92.774000000000001</v>
      </c>
      <c r="E741">
        <v>1.9</v>
      </c>
      <c r="F741">
        <v>1.7689999999999999</v>
      </c>
      <c r="H741" s="4" t="str">
        <f t="array" aca="1" ref="H741" ca="1">SUBSTITUTE(SUBSTITUTE(_xlfn.TEXTJOIN("",TRUE,IF(ISERR(MID(C741,ROW(INDIRECT("1:100")),1)+0),MID(C741,ROW(INDIRECT("1:100")),1),"")),")",""),"(","")</f>
        <v>All items less energy</v>
      </c>
    </row>
    <row r="742" spans="1:8" x14ac:dyDescent="0.25">
      <c r="A742">
        <v>2017</v>
      </c>
      <c r="B742">
        <v>2</v>
      </c>
      <c r="C742" t="s">
        <v>26</v>
      </c>
      <c r="D742">
        <v>36.357999999999997</v>
      </c>
      <c r="E742">
        <v>2</v>
      </c>
      <c r="F742">
        <v>0.73499999999999999</v>
      </c>
      <c r="H742" s="4" t="str">
        <f t="array" aca="1" ref="H742" ca="1">SUBSTITUTE(SUBSTITUTE(_xlfn.TEXTJOIN("",TRUE,IF(ISERR(MID(C742,ROW(INDIRECT("1:100")),1)+0),MID(C742,ROW(INDIRECT("1:100")),1),"")),")",""),"(","")</f>
        <v>Commodities</v>
      </c>
    </row>
    <row r="743" spans="1:8" x14ac:dyDescent="0.25">
      <c r="A743">
        <v>2017</v>
      </c>
      <c r="B743">
        <v>2</v>
      </c>
      <c r="C743" t="s">
        <v>27</v>
      </c>
      <c r="D743">
        <v>63.642000000000003</v>
      </c>
      <c r="E743">
        <v>3.2</v>
      </c>
      <c r="F743">
        <v>2.0030000000000001</v>
      </c>
      <c r="H743" s="4" t="str">
        <f t="array" aca="1" ref="H743" ca="1">SUBSTITUTE(SUBSTITUTE(_xlfn.TEXTJOIN("",TRUE,IF(ISERR(MID(C743,ROW(INDIRECT("1:100")),1)+0),MID(C743,ROW(INDIRECT("1:100")),1),"")),")",""),"(","")</f>
        <v>Services</v>
      </c>
    </row>
    <row r="744" spans="1:8" x14ac:dyDescent="0.25">
      <c r="A744">
        <v>2017</v>
      </c>
      <c r="B744">
        <v>2</v>
      </c>
      <c r="C744" t="s">
        <v>28</v>
      </c>
      <c r="D744">
        <v>9.2690000000000001</v>
      </c>
      <c r="E744">
        <v>-1.8</v>
      </c>
      <c r="F744">
        <v>-0.17199999999999999</v>
      </c>
      <c r="H744" s="4" t="str">
        <f t="array" aca="1" ref="H744" ca="1">SUBSTITUTE(SUBSTITUTE(_xlfn.TEXTJOIN("",TRUE,IF(ISERR(MID(C744,ROW(INDIRECT("1:100")),1)+0),MID(C744,ROW(INDIRECT("1:100")),1),"")),")",""),"(","")</f>
        <v>Durables</v>
      </c>
    </row>
    <row r="745" spans="1:8" x14ac:dyDescent="0.25">
      <c r="A745">
        <v>2017</v>
      </c>
      <c r="B745">
        <v>2</v>
      </c>
      <c r="C745" t="s">
        <v>29</v>
      </c>
      <c r="D745">
        <v>27.088999999999999</v>
      </c>
      <c r="E745">
        <v>3.4</v>
      </c>
      <c r="F745">
        <v>0.90700000000000003</v>
      </c>
      <c r="H745" s="4" t="str">
        <f t="array" aca="1" ref="H745" ca="1">SUBSTITUTE(SUBSTITUTE(_xlfn.TEXTJOIN("",TRUE,IF(ISERR(MID(C745,ROW(INDIRECT("1:100")),1)+0),MID(C745,ROW(INDIRECT("1:100")),1),"")),")",""),"(","")</f>
        <v>Nondurables</v>
      </c>
    </row>
    <row r="746" spans="1:8" x14ac:dyDescent="0.25">
      <c r="A746">
        <v>2017</v>
      </c>
      <c r="B746">
        <v>2</v>
      </c>
      <c r="C746" t="s">
        <v>8</v>
      </c>
      <c r="D746">
        <v>42.584000000000003</v>
      </c>
      <c r="E746">
        <v>3.2</v>
      </c>
      <c r="F746">
        <v>1.351</v>
      </c>
      <c r="H746" s="4" t="str">
        <f t="array" aca="1" ref="H746" ca="1">SUBSTITUTE(SUBSTITUTE(_xlfn.TEXTJOIN("",TRUE,IF(ISERR(MID(C746,ROW(INDIRECT("1:100")),1)+0),MID(C746,ROW(INDIRECT("1:100")),1),"")),")",""),"(","")</f>
        <v>Housing</v>
      </c>
    </row>
    <row r="747" spans="1:8" x14ac:dyDescent="0.25">
      <c r="A747">
        <v>2017</v>
      </c>
      <c r="B747">
        <v>2</v>
      </c>
      <c r="C747" t="s">
        <v>30</v>
      </c>
      <c r="D747">
        <v>6.9420000000000002</v>
      </c>
      <c r="E747">
        <v>-0.3</v>
      </c>
      <c r="F747">
        <v>-2.3E-2</v>
      </c>
      <c r="H747" s="4" t="str">
        <f t="array" aca="1" ref="H747" ca="1">SUBSTITUTE(SUBSTITUTE(_xlfn.TEXTJOIN("",TRUE,IF(ISERR(MID(C747,ROW(INDIRECT("1:100")),1)+0),MID(C747,ROW(INDIRECT("1:100")),1),"")),")",""),"(","")</f>
        <v>Education and communication</v>
      </c>
    </row>
    <row r="748" spans="1:8" x14ac:dyDescent="0.25">
      <c r="A748">
        <v>2017</v>
      </c>
      <c r="B748">
        <v>2</v>
      </c>
      <c r="C748" t="s">
        <v>31</v>
      </c>
      <c r="D748">
        <v>5.6680000000000001</v>
      </c>
      <c r="E748">
        <v>1.5</v>
      </c>
      <c r="F748">
        <v>8.5999999999999993E-2</v>
      </c>
      <c r="H748" s="4" t="str">
        <f t="array" aca="1" ref="H748" ca="1">SUBSTITUTE(SUBSTITUTE(_xlfn.TEXTJOIN("",TRUE,IF(ISERR(MID(C748,ROW(INDIRECT("1:100")),1)+0),MID(C748,ROW(INDIRECT("1:100")),1),"")),")",""),"(","")</f>
        <v>Recreation</v>
      </c>
    </row>
    <row r="749" spans="1:8" x14ac:dyDescent="0.25">
      <c r="A749">
        <v>2017</v>
      </c>
      <c r="B749">
        <v>2</v>
      </c>
      <c r="C749" t="s">
        <v>6</v>
      </c>
      <c r="D749">
        <v>14.62</v>
      </c>
      <c r="E749">
        <v>0.1</v>
      </c>
      <c r="F749">
        <v>8.0000000000000002E-3</v>
      </c>
      <c r="H749" s="4" t="str">
        <f t="array" aca="1" ref="H749" ca="1">SUBSTITUTE(SUBSTITUTE(_xlfn.TEXTJOIN("",TRUE,IF(ISERR(MID(C749,ROW(INDIRECT("1:100")),1)+0),MID(C749,ROW(INDIRECT("1:100")),1),"")),")",""),"(","")</f>
        <v>Food and beverages</v>
      </c>
    </row>
    <row r="750" spans="1:8" x14ac:dyDescent="0.25">
      <c r="A750">
        <v>2017</v>
      </c>
      <c r="B750">
        <v>2</v>
      </c>
      <c r="C750" t="s">
        <v>32</v>
      </c>
      <c r="D750">
        <v>11.843999999999999</v>
      </c>
      <c r="E750">
        <v>1.6</v>
      </c>
      <c r="F750">
        <v>0.189</v>
      </c>
      <c r="H750" s="4" t="str">
        <f t="array" aca="1" ref="H750" ca="1">SUBSTITUTE(SUBSTITUTE(_xlfn.TEXTJOIN("",TRUE,IF(ISERR(MID(C750,ROW(INDIRECT("1:100")),1)+0),MID(C750,ROW(INDIRECT("1:100")),1),"")),")",""),"(","")</f>
        <v>Other services</v>
      </c>
    </row>
    <row r="751" spans="1:8" x14ac:dyDescent="0.25">
      <c r="A751">
        <v>2017</v>
      </c>
      <c r="B751">
        <v>2</v>
      </c>
      <c r="C751" t="s">
        <v>33</v>
      </c>
      <c r="D751">
        <v>2.347</v>
      </c>
      <c r="E751">
        <v>0.9</v>
      </c>
      <c r="F751">
        <v>2.1000000000000001E-2</v>
      </c>
      <c r="H751" s="4" t="str">
        <f t="array" aca="1" ref="H751" ca="1">SUBSTITUTE(SUBSTITUTE(_xlfn.TEXTJOIN("",TRUE,IF(ISERR(MID(C751,ROW(INDIRECT("1:100")),1)+0),MID(C751,ROW(INDIRECT("1:100")),1),"")),")",""),"(","")</f>
        <v>Apparel less footwear</v>
      </c>
    </row>
    <row r="752" spans="1:8" x14ac:dyDescent="0.25">
      <c r="A752">
        <v>2017</v>
      </c>
      <c r="B752">
        <v>2</v>
      </c>
      <c r="C752" t="s">
        <v>34</v>
      </c>
      <c r="D752">
        <v>4.99</v>
      </c>
      <c r="E752">
        <v>4.3</v>
      </c>
      <c r="F752">
        <v>0.21199999999999999</v>
      </c>
      <c r="H752" s="4" t="str">
        <f t="array" aca="1" ref="H752" ca="1">SUBSTITUTE(SUBSTITUTE(_xlfn.TEXTJOIN("",TRUE,IF(ISERR(MID(C752,ROW(INDIRECT("1:100")),1)+0),MID(C752,ROW(INDIRECT("1:100")),1),"")),")",""),"(","")</f>
        <v>Fuels and utilities</v>
      </c>
    </row>
    <row r="753" spans="1:8" x14ac:dyDescent="0.25">
      <c r="A753">
        <v>2017</v>
      </c>
      <c r="B753">
        <v>2</v>
      </c>
      <c r="C753" t="s">
        <v>11</v>
      </c>
      <c r="D753">
        <v>8.5299999999999994</v>
      </c>
      <c r="E753">
        <v>3.5</v>
      </c>
      <c r="F753">
        <v>0.30099999999999999</v>
      </c>
      <c r="H753" s="4" t="str">
        <f t="array" aca="1" ref="H753" ca="1">SUBSTITUTE(SUBSTITUTE(_xlfn.TEXTJOIN("",TRUE,IF(ISERR(MID(C753,ROW(INDIRECT("1:100")),1)+0),MID(C753,ROW(INDIRECT("1:100")),1),"")),")",""),"(","")</f>
        <v>Medical care</v>
      </c>
    </row>
    <row r="754" spans="1:8" x14ac:dyDescent="0.25">
      <c r="A754">
        <v>2017</v>
      </c>
      <c r="B754">
        <v>2</v>
      </c>
      <c r="C754" t="s">
        <v>7</v>
      </c>
      <c r="D754">
        <v>15.465</v>
      </c>
      <c r="E754">
        <v>6.3</v>
      </c>
      <c r="F754">
        <v>0.93799999999999994</v>
      </c>
      <c r="H754" s="4" t="str">
        <f t="array" aca="1" ref="H754" ca="1">SUBSTITUTE(SUBSTITUTE(_xlfn.TEXTJOIN("",TRUE,IF(ISERR(MID(C754,ROW(INDIRECT("1:100")),1)+0),MID(C754,ROW(INDIRECT("1:100")),1),"")),")",""),"(","")</f>
        <v>Transportation</v>
      </c>
    </row>
    <row r="755" spans="1:8" x14ac:dyDescent="0.25">
      <c r="A755">
        <v>2017</v>
      </c>
      <c r="B755">
        <v>2</v>
      </c>
      <c r="C755" t="s">
        <v>35</v>
      </c>
      <c r="D755">
        <v>9.8699999999999992</v>
      </c>
      <c r="E755">
        <v>1.8</v>
      </c>
      <c r="F755">
        <v>0.184</v>
      </c>
      <c r="H755" s="4" t="str">
        <f t="array" aca="1" ref="H755" ca="1">SUBSTITUTE(SUBSTITUTE(_xlfn.TEXTJOIN("",TRUE,IF(ISERR(MID(C755,ROW(INDIRECT("1:100")),1)+0),MID(C755,ROW(INDIRECT("1:100")),1),"")),")",""),"(","")</f>
        <v>Utilities and public transportation</v>
      </c>
    </row>
    <row r="756" spans="1:8" x14ac:dyDescent="0.25">
      <c r="A756">
        <v>2017</v>
      </c>
      <c r="B756">
        <v>2</v>
      </c>
      <c r="C756" t="s">
        <v>36</v>
      </c>
      <c r="D756">
        <v>4.0289999999999999</v>
      </c>
      <c r="E756">
        <v>-0.8</v>
      </c>
      <c r="F756">
        <v>-3.3000000000000002E-2</v>
      </c>
      <c r="H756" s="4" t="str">
        <f t="array" aca="1" ref="H756" ca="1">SUBSTITUTE(SUBSTITUTE(_xlfn.TEXTJOIN("",TRUE,IF(ISERR(MID(C756,ROW(INDIRECT("1:100")),1)+0),MID(C756,ROW(INDIRECT("1:100")),1),"")),")",""),"(","")</f>
        <v>Household furnishings and operations</v>
      </c>
    </row>
    <row r="757" spans="1:8" x14ac:dyDescent="0.25">
      <c r="A757">
        <v>2017</v>
      </c>
      <c r="B757">
        <v>2</v>
      </c>
      <c r="C757" t="s">
        <v>12</v>
      </c>
      <c r="D757">
        <v>3.1629999999999998</v>
      </c>
      <c r="E757">
        <v>2</v>
      </c>
      <c r="F757">
        <v>6.3E-2</v>
      </c>
      <c r="H757" s="4" t="str">
        <f t="array" aca="1" ref="H757" ca="1">SUBSTITUTE(SUBSTITUTE(_xlfn.TEXTJOIN("",TRUE,IF(ISERR(MID(C757,ROW(INDIRECT("1:100")),1)+0),MID(C757,ROW(INDIRECT("1:100")),1),"")),")",""),"(","")</f>
        <v>Other goods and services</v>
      </c>
    </row>
    <row r="758" spans="1:8" x14ac:dyDescent="0.25">
      <c r="A758">
        <v>2017</v>
      </c>
      <c r="B758">
        <v>3</v>
      </c>
      <c r="C758" t="s">
        <v>14</v>
      </c>
      <c r="D758">
        <v>100</v>
      </c>
      <c r="E758">
        <v>2.4</v>
      </c>
      <c r="H758" s="4" t="str">
        <f t="array" aca="1" ref="H758" ca="1">SUBSTITUTE(SUBSTITUTE(_xlfn.TEXTJOIN("",TRUE,IF(ISERR(MID(C758,ROW(INDIRECT("1:100")),1)+0),MID(C758,ROW(INDIRECT("1:100")),1),"")),")",""),"(","")</f>
        <v>All items</v>
      </c>
    </row>
    <row r="759" spans="1:8" x14ac:dyDescent="0.25">
      <c r="A759">
        <v>2017</v>
      </c>
      <c r="B759">
        <v>3</v>
      </c>
      <c r="C759" t="s">
        <v>15</v>
      </c>
      <c r="D759">
        <v>13.657</v>
      </c>
      <c r="E759">
        <v>0.5</v>
      </c>
      <c r="F759">
        <v>6.7000000000000004E-2</v>
      </c>
      <c r="H759" s="4" t="str">
        <f t="array" aca="1" ref="H759" ca="1">SUBSTITUTE(SUBSTITUTE(_xlfn.TEXTJOIN("",TRUE,IF(ISERR(MID(C759,ROW(INDIRECT("1:100")),1)+0),MID(C759,ROW(INDIRECT("1:100")),1),"")),")",""),"(","")</f>
        <v>Food</v>
      </c>
    </row>
    <row r="760" spans="1:8" x14ac:dyDescent="0.25">
      <c r="A760">
        <v>2017</v>
      </c>
      <c r="B760">
        <v>3</v>
      </c>
      <c r="C760" t="s">
        <v>16</v>
      </c>
      <c r="D760">
        <v>7.1529999999999996</v>
      </c>
      <c r="E760">
        <v>10.9</v>
      </c>
      <c r="F760">
        <v>0.72299999999999998</v>
      </c>
      <c r="H760" s="4" t="str">
        <f t="array" aca="1" ref="H760" ca="1">SUBSTITUTE(SUBSTITUTE(_xlfn.TEXTJOIN("",TRUE,IF(ISERR(MID(C760,ROW(INDIRECT("1:100")),1)+0),MID(C760,ROW(INDIRECT("1:100")),1),"")),")",""),"(","")</f>
        <v>Energy</v>
      </c>
    </row>
    <row r="761" spans="1:8" x14ac:dyDescent="0.25">
      <c r="A761">
        <v>2017</v>
      </c>
      <c r="B761">
        <v>3</v>
      </c>
      <c r="C761" t="s">
        <v>17</v>
      </c>
      <c r="D761">
        <v>79.191000000000003</v>
      </c>
      <c r="E761">
        <v>2</v>
      </c>
      <c r="F761">
        <v>1.591</v>
      </c>
      <c r="H761" s="4" t="str">
        <f t="array" aca="1" ref="H761" ca="1">SUBSTITUTE(SUBSTITUTE(_xlfn.TEXTJOIN("",TRUE,IF(ISERR(MID(C761,ROW(INDIRECT("1:100")),1)+0),MID(C761,ROW(INDIRECT("1:100")),1),"")),")",""),"(","")</f>
        <v>All items less food and energy</v>
      </c>
    </row>
    <row r="762" spans="1:8" x14ac:dyDescent="0.25">
      <c r="A762">
        <v>2017</v>
      </c>
      <c r="B762">
        <v>3</v>
      </c>
      <c r="C762" t="s">
        <v>18</v>
      </c>
      <c r="H762" s="4" t="str">
        <f t="array" aca="1" ref="H762" ca="1">SUBSTITUTE(SUBSTITUTE(_xlfn.TEXTJOIN("",TRUE,IF(ISERR(MID(C762,ROW(INDIRECT("1:100")),1)+0),MID(C762,ROW(INDIRECT("1:100")),1),"")),")",""),"(","")</f>
        <v>Special aggregate indexes</v>
      </c>
    </row>
    <row r="763" spans="1:8" x14ac:dyDescent="0.25">
      <c r="A763">
        <v>2017</v>
      </c>
      <c r="B763">
        <v>3</v>
      </c>
      <c r="C763" t="s">
        <v>19</v>
      </c>
      <c r="D763">
        <v>86.343000000000004</v>
      </c>
      <c r="E763">
        <v>2.7</v>
      </c>
      <c r="F763">
        <v>2.3140000000000001</v>
      </c>
      <c r="H763" s="4" t="str">
        <f t="array" aca="1" ref="H763" ca="1">SUBSTITUTE(SUBSTITUTE(_xlfn.TEXTJOIN("",TRUE,IF(ISERR(MID(C763,ROW(INDIRECT("1:100")),1)+0),MID(C763,ROW(INDIRECT("1:100")),1),"")),")",""),"(","")</f>
        <v>All items less food</v>
      </c>
    </row>
    <row r="764" spans="1:8" x14ac:dyDescent="0.25">
      <c r="A764">
        <v>2017</v>
      </c>
      <c r="B764">
        <v>3</v>
      </c>
      <c r="C764" t="s">
        <v>20</v>
      </c>
      <c r="D764">
        <v>66.438999999999993</v>
      </c>
      <c r="E764">
        <v>1.8</v>
      </c>
      <c r="F764">
        <v>1.232</v>
      </c>
      <c r="H764" s="4" t="str">
        <f t="array" aca="1" ref="H764" ca="1">SUBSTITUTE(SUBSTITUTE(_xlfn.TEXTJOIN("",TRUE,IF(ISERR(MID(C764,ROW(INDIRECT("1:100")),1)+0),MID(C764,ROW(INDIRECT("1:100")),1),"")),")",""),"(","")</f>
        <v>All items less shelter</v>
      </c>
    </row>
    <row r="765" spans="1:8" x14ac:dyDescent="0.25">
      <c r="A765">
        <v>2017</v>
      </c>
      <c r="B765">
        <v>3</v>
      </c>
      <c r="C765" t="s">
        <v>21</v>
      </c>
      <c r="D765">
        <v>52.783000000000001</v>
      </c>
      <c r="E765">
        <v>2.2000000000000002</v>
      </c>
      <c r="F765">
        <v>1.1659999999999999</v>
      </c>
      <c r="H765" s="4" t="str">
        <f t="array" aca="1" ref="H765" ca="1">SUBSTITUTE(SUBSTITUTE(_xlfn.TEXTJOIN("",TRUE,IF(ISERR(MID(C765,ROW(INDIRECT("1:100")),1)+0),MID(C765,ROW(INDIRECT("1:100")),1),"")),")",""),"(","")</f>
        <v>All items less food and shelter</v>
      </c>
    </row>
    <row r="766" spans="1:8" x14ac:dyDescent="0.25">
      <c r="A766">
        <v>2017</v>
      </c>
      <c r="B766">
        <v>3</v>
      </c>
      <c r="C766" t="s">
        <v>22</v>
      </c>
      <c r="D766">
        <v>45.63</v>
      </c>
      <c r="E766">
        <v>1</v>
      </c>
      <c r="F766">
        <v>0.443</v>
      </c>
      <c r="H766" s="4" t="str">
        <f t="array" aca="1" ref="H766" ca="1">SUBSTITUTE(SUBSTITUTE(_xlfn.TEXTJOIN("",TRUE,IF(ISERR(MID(C766,ROW(INDIRECT("1:100")),1)+0),MID(C766,ROW(INDIRECT("1:100")),1),"")),")",""),"(","")</f>
        <v>All items less food, shelter, and energy</v>
      </c>
    </row>
    <row r="767" spans="1:8" x14ac:dyDescent="0.25">
      <c r="A767">
        <v>2017</v>
      </c>
      <c r="B767">
        <v>3</v>
      </c>
      <c r="C767" t="s">
        <v>23</v>
      </c>
      <c r="D767">
        <v>43.655999999999999</v>
      </c>
      <c r="E767">
        <v>1.2</v>
      </c>
      <c r="F767">
        <v>0.54200000000000004</v>
      </c>
      <c r="H767" s="4" t="str">
        <f t="array" aca="1" ref="H767" ca="1">SUBSTITUTE(SUBSTITUTE(_xlfn.TEXTJOIN("",TRUE,IF(ISERR(MID(C767,ROW(INDIRECT("1:100")),1)+0),MID(C767,ROW(INDIRECT("1:100")),1),"")),")",""),"(","")</f>
        <v>All items less food, shelter, energy, and used cars and trucks</v>
      </c>
    </row>
    <row r="768" spans="1:8" x14ac:dyDescent="0.25">
      <c r="A768">
        <v>2017</v>
      </c>
      <c r="B768">
        <v>3</v>
      </c>
      <c r="C768" t="s">
        <v>24</v>
      </c>
      <c r="D768">
        <v>91.444999999999993</v>
      </c>
      <c r="E768">
        <v>2.2999999999999998</v>
      </c>
      <c r="F768">
        <v>2.0870000000000002</v>
      </c>
      <c r="H768" s="4" t="str">
        <f t="array" aca="1" ref="H768" ca="1">SUBSTITUTE(SUBSTITUTE(_xlfn.TEXTJOIN("",TRUE,IF(ISERR(MID(C768,ROW(INDIRECT("1:100")),1)+0),MID(C768,ROW(INDIRECT("1:100")),1),"")),")",""),"(","")</f>
        <v>All items less medical care</v>
      </c>
    </row>
    <row r="769" spans="1:8" x14ac:dyDescent="0.25">
      <c r="A769">
        <v>2017</v>
      </c>
      <c r="B769">
        <v>3</v>
      </c>
      <c r="C769" t="s">
        <v>25</v>
      </c>
      <c r="D769">
        <v>92.846999999999994</v>
      </c>
      <c r="E769">
        <v>1.8</v>
      </c>
      <c r="F769">
        <v>1.6579999999999999</v>
      </c>
      <c r="H769" s="4" t="str">
        <f t="array" aca="1" ref="H769" ca="1">SUBSTITUTE(SUBSTITUTE(_xlfn.TEXTJOIN("",TRUE,IF(ISERR(MID(C769,ROW(INDIRECT("1:100")),1)+0),MID(C769,ROW(INDIRECT("1:100")),1),"")),")",""),"(","")</f>
        <v>All items less energy</v>
      </c>
    </row>
    <row r="770" spans="1:8" x14ac:dyDescent="0.25">
      <c r="A770">
        <v>2017</v>
      </c>
      <c r="B770">
        <v>3</v>
      </c>
      <c r="C770" t="s">
        <v>26</v>
      </c>
      <c r="D770">
        <v>36.305999999999997</v>
      </c>
      <c r="E770">
        <v>1.5</v>
      </c>
      <c r="F770">
        <v>0.55500000000000005</v>
      </c>
      <c r="H770" s="4" t="str">
        <f t="array" aca="1" ref="H770" ca="1">SUBSTITUTE(SUBSTITUTE(_xlfn.TEXTJOIN("",TRUE,IF(ISERR(MID(C770,ROW(INDIRECT("1:100")),1)+0),MID(C770,ROW(INDIRECT("1:100")),1),"")),")",""),"(","")</f>
        <v>Commodities</v>
      </c>
    </row>
    <row r="771" spans="1:8" x14ac:dyDescent="0.25">
      <c r="A771">
        <v>2017</v>
      </c>
      <c r="B771">
        <v>3</v>
      </c>
      <c r="C771" t="s">
        <v>27</v>
      </c>
      <c r="D771">
        <v>63.694000000000003</v>
      </c>
      <c r="E771">
        <v>2.9</v>
      </c>
      <c r="F771">
        <v>1.8260000000000001</v>
      </c>
      <c r="H771" s="4" t="str">
        <f t="array" aca="1" ref="H771" ca="1">SUBSTITUTE(SUBSTITUTE(_xlfn.TEXTJOIN("",TRUE,IF(ISERR(MID(C771,ROW(INDIRECT("1:100")),1)+0),MID(C771,ROW(INDIRECT("1:100")),1),"")),")",""),"(","")</f>
        <v>Services</v>
      </c>
    </row>
    <row r="772" spans="1:8" x14ac:dyDescent="0.25">
      <c r="A772">
        <v>2017</v>
      </c>
      <c r="B772">
        <v>3</v>
      </c>
      <c r="C772" t="s">
        <v>28</v>
      </c>
      <c r="D772">
        <v>9.2560000000000002</v>
      </c>
      <c r="E772">
        <v>-2</v>
      </c>
      <c r="F772">
        <v>-0.19400000000000001</v>
      </c>
      <c r="H772" s="4" t="str">
        <f t="array" aca="1" ref="H772" ca="1">SUBSTITUTE(SUBSTITUTE(_xlfn.TEXTJOIN("",TRUE,IF(ISERR(MID(C772,ROW(INDIRECT("1:100")),1)+0),MID(C772,ROW(INDIRECT("1:100")),1),"")),")",""),"(","")</f>
        <v>Durables</v>
      </c>
    </row>
    <row r="773" spans="1:8" x14ac:dyDescent="0.25">
      <c r="A773">
        <v>2017</v>
      </c>
      <c r="B773">
        <v>3</v>
      </c>
      <c r="C773" t="s">
        <v>29</v>
      </c>
      <c r="D773">
        <v>27.05</v>
      </c>
      <c r="E773">
        <v>2.8</v>
      </c>
      <c r="F773">
        <v>0.749</v>
      </c>
      <c r="H773" s="4" t="str">
        <f t="array" aca="1" ref="H773" ca="1">SUBSTITUTE(SUBSTITUTE(_xlfn.TEXTJOIN("",TRUE,IF(ISERR(MID(C773,ROW(INDIRECT("1:100")),1)+0),MID(C773,ROW(INDIRECT("1:100")),1),"")),")",""),"(","")</f>
        <v>Nondurables</v>
      </c>
    </row>
    <row r="774" spans="1:8" x14ac:dyDescent="0.25">
      <c r="A774">
        <v>2017</v>
      </c>
      <c r="B774">
        <v>3</v>
      </c>
      <c r="C774" t="s">
        <v>8</v>
      </c>
      <c r="D774">
        <v>42.579000000000001</v>
      </c>
      <c r="E774">
        <v>3.1</v>
      </c>
      <c r="F774">
        <v>1.3120000000000001</v>
      </c>
      <c r="H774" s="4" t="str">
        <f t="array" aca="1" ref="H774" ca="1">SUBSTITUTE(SUBSTITUTE(_xlfn.TEXTJOIN("",TRUE,IF(ISERR(MID(C774,ROW(INDIRECT("1:100")),1)+0),MID(C774,ROW(INDIRECT("1:100")),1),"")),")",""),"(","")</f>
        <v>Housing</v>
      </c>
    </row>
    <row r="775" spans="1:8" x14ac:dyDescent="0.25">
      <c r="A775">
        <v>2017</v>
      </c>
      <c r="B775">
        <v>3</v>
      </c>
      <c r="C775" t="s">
        <v>30</v>
      </c>
      <c r="D775">
        <v>6.9080000000000004</v>
      </c>
      <c r="E775">
        <v>-2.2000000000000002</v>
      </c>
      <c r="F775">
        <v>-0.155</v>
      </c>
      <c r="H775" s="4" t="str">
        <f t="array" aca="1" ref="H775" ca="1">SUBSTITUTE(SUBSTITUTE(_xlfn.TEXTJOIN("",TRUE,IF(ISERR(MID(C775,ROW(INDIRECT("1:100")),1)+0),MID(C775,ROW(INDIRECT("1:100")),1),"")),")",""),"(","")</f>
        <v>Education and communication</v>
      </c>
    </row>
    <row r="776" spans="1:8" x14ac:dyDescent="0.25">
      <c r="A776">
        <v>2017</v>
      </c>
      <c r="B776">
        <v>3</v>
      </c>
      <c r="C776" t="s">
        <v>31</v>
      </c>
      <c r="D776">
        <v>5.7</v>
      </c>
      <c r="E776">
        <v>1.3</v>
      </c>
      <c r="F776">
        <v>7.3999999999999996E-2</v>
      </c>
      <c r="H776" s="4" t="str">
        <f t="array" aca="1" ref="H776" ca="1">SUBSTITUTE(SUBSTITUTE(_xlfn.TEXTJOIN("",TRUE,IF(ISERR(MID(C776,ROW(INDIRECT("1:100")),1)+0),MID(C776,ROW(INDIRECT("1:100")),1),"")),")",""),"(","")</f>
        <v>Recreation</v>
      </c>
    </row>
    <row r="777" spans="1:8" x14ac:dyDescent="0.25">
      <c r="A777">
        <v>2017</v>
      </c>
      <c r="B777">
        <v>3</v>
      </c>
      <c r="C777" t="s">
        <v>6</v>
      </c>
      <c r="D777">
        <v>14.605</v>
      </c>
      <c r="E777">
        <v>0.5</v>
      </c>
      <c r="F777">
        <v>7.8E-2</v>
      </c>
      <c r="H777" s="4" t="str">
        <f t="array" aca="1" ref="H777" ca="1">SUBSTITUTE(SUBSTITUTE(_xlfn.TEXTJOIN("",TRUE,IF(ISERR(MID(C777,ROW(INDIRECT("1:100")),1)+0),MID(C777,ROW(INDIRECT("1:100")),1),"")),")",""),"(","")</f>
        <v>Food and beverages</v>
      </c>
    </row>
    <row r="778" spans="1:8" x14ac:dyDescent="0.25">
      <c r="A778">
        <v>2017</v>
      </c>
      <c r="B778">
        <v>3</v>
      </c>
      <c r="C778" t="s">
        <v>32</v>
      </c>
      <c r="D778">
        <v>11.843999999999999</v>
      </c>
      <c r="E778">
        <v>0.4</v>
      </c>
      <c r="F778">
        <v>4.9000000000000002E-2</v>
      </c>
      <c r="H778" s="4" t="str">
        <f t="array" aca="1" ref="H778" ca="1">SUBSTITUTE(SUBSTITUTE(_xlfn.TEXTJOIN("",TRUE,IF(ISERR(MID(C778,ROW(INDIRECT("1:100")),1)+0),MID(C778,ROW(INDIRECT("1:100")),1),"")),")",""),"(","")</f>
        <v>Other services</v>
      </c>
    </row>
    <row r="779" spans="1:8" x14ac:dyDescent="0.25">
      <c r="A779">
        <v>2017</v>
      </c>
      <c r="B779">
        <v>3</v>
      </c>
      <c r="C779" t="s">
        <v>33</v>
      </c>
      <c r="D779">
        <v>2.4129999999999998</v>
      </c>
      <c r="E779">
        <v>0.8</v>
      </c>
      <c r="F779">
        <v>0.02</v>
      </c>
      <c r="H779" s="4" t="str">
        <f t="array" aca="1" ref="H779" ca="1">SUBSTITUTE(SUBSTITUTE(_xlfn.TEXTJOIN("",TRUE,IF(ISERR(MID(C779,ROW(INDIRECT("1:100")),1)+0),MID(C779,ROW(INDIRECT("1:100")),1),"")),")",""),"(","")</f>
        <v>Apparel less footwear</v>
      </c>
    </row>
    <row r="780" spans="1:8" x14ac:dyDescent="0.25">
      <c r="A780">
        <v>2017</v>
      </c>
      <c r="B780">
        <v>3</v>
      </c>
      <c r="C780" t="s">
        <v>34</v>
      </c>
      <c r="D780">
        <v>4.9989999999999997</v>
      </c>
      <c r="E780">
        <v>3.9</v>
      </c>
      <c r="F780">
        <v>0.193</v>
      </c>
      <c r="H780" s="4" t="str">
        <f t="array" aca="1" ref="H780" ca="1">SUBSTITUTE(SUBSTITUTE(_xlfn.TEXTJOIN("",TRUE,IF(ISERR(MID(C780,ROW(INDIRECT("1:100")),1)+0),MID(C780,ROW(INDIRECT("1:100")),1),"")),")",""),"(","")</f>
        <v>Fuels and utilities</v>
      </c>
    </row>
    <row r="781" spans="1:8" x14ac:dyDescent="0.25">
      <c r="A781">
        <v>2017</v>
      </c>
      <c r="B781">
        <v>3</v>
      </c>
      <c r="C781" t="s">
        <v>11</v>
      </c>
      <c r="D781">
        <v>8.5549999999999997</v>
      </c>
      <c r="E781">
        <v>3.5</v>
      </c>
      <c r="F781">
        <v>0.29399999999999998</v>
      </c>
      <c r="H781" s="4" t="str">
        <f t="array" aca="1" ref="H781" ca="1">SUBSTITUTE(SUBSTITUTE(_xlfn.TEXTJOIN("",TRUE,IF(ISERR(MID(C781,ROW(INDIRECT("1:100")),1)+0),MID(C781,ROW(INDIRECT("1:100")),1),"")),")",""),"(","")</f>
        <v>Medical care</v>
      </c>
    </row>
    <row r="782" spans="1:8" x14ac:dyDescent="0.25">
      <c r="A782">
        <v>2017</v>
      </c>
      <c r="B782">
        <v>3</v>
      </c>
      <c r="C782" t="s">
        <v>7</v>
      </c>
      <c r="D782">
        <v>15.404999999999999</v>
      </c>
      <c r="E782">
        <v>4.5999999999999996</v>
      </c>
      <c r="F782">
        <v>0.69899999999999995</v>
      </c>
      <c r="H782" s="4" t="str">
        <f t="array" aca="1" ref="H782" ca="1">SUBSTITUTE(SUBSTITUTE(_xlfn.TEXTJOIN("",TRUE,IF(ISERR(MID(C782,ROW(INDIRECT("1:100")),1)+0),MID(C782,ROW(INDIRECT("1:100")),1),"")),")",""),"(","")</f>
        <v>Transportation</v>
      </c>
    </row>
    <row r="783" spans="1:8" x14ac:dyDescent="0.25">
      <c r="A783">
        <v>2017</v>
      </c>
      <c r="B783">
        <v>3</v>
      </c>
      <c r="C783" t="s">
        <v>35</v>
      </c>
      <c r="D783">
        <v>9.8949999999999996</v>
      </c>
      <c r="E783">
        <v>0.5</v>
      </c>
      <c r="F783">
        <v>4.9000000000000002E-2</v>
      </c>
      <c r="H783" s="4" t="str">
        <f t="array" aca="1" ref="H783" ca="1">SUBSTITUTE(SUBSTITUTE(_xlfn.TEXTJOIN("",TRUE,IF(ISERR(MID(C783,ROW(INDIRECT("1:100")),1)+0),MID(C783,ROW(INDIRECT("1:100")),1),"")),")",""),"(","")</f>
        <v>Utilities and public transportation</v>
      </c>
    </row>
    <row r="784" spans="1:8" x14ac:dyDescent="0.25">
      <c r="A784">
        <v>2017</v>
      </c>
      <c r="B784">
        <v>3</v>
      </c>
      <c r="C784" t="s">
        <v>36</v>
      </c>
      <c r="D784">
        <v>4.0190000000000001</v>
      </c>
      <c r="E784">
        <v>-0.7</v>
      </c>
      <c r="F784">
        <v>-2.8000000000000001E-2</v>
      </c>
      <c r="H784" s="4" t="str">
        <f t="array" aca="1" ref="H784" ca="1">SUBSTITUTE(SUBSTITUTE(_xlfn.TEXTJOIN("",TRUE,IF(ISERR(MID(C784,ROW(INDIRECT("1:100")),1)+0),MID(C784,ROW(INDIRECT("1:100")),1),"")),")",""),"(","")</f>
        <v>Household furnishings and operations</v>
      </c>
    </row>
    <row r="785" spans="1:8" x14ac:dyDescent="0.25">
      <c r="A785">
        <v>2017</v>
      </c>
      <c r="B785">
        <v>3</v>
      </c>
      <c r="C785" t="s">
        <v>12</v>
      </c>
      <c r="D785">
        <v>3.1560000000000001</v>
      </c>
      <c r="E785">
        <v>1.8</v>
      </c>
      <c r="F785">
        <v>5.8000000000000003E-2</v>
      </c>
      <c r="H785" s="4" t="str">
        <f t="array" aca="1" ref="H785" ca="1">SUBSTITUTE(SUBSTITUTE(_xlfn.TEXTJOIN("",TRUE,IF(ISERR(MID(C785,ROW(INDIRECT("1:100")),1)+0),MID(C785,ROW(INDIRECT("1:100")),1),"")),")",""),"(","")</f>
        <v>Other goods and services</v>
      </c>
    </row>
    <row r="786" spans="1:8" x14ac:dyDescent="0.25">
      <c r="A786">
        <v>2017</v>
      </c>
      <c r="B786">
        <v>4</v>
      </c>
      <c r="C786" t="s">
        <v>14</v>
      </c>
      <c r="D786">
        <v>100</v>
      </c>
      <c r="E786">
        <v>2.2000000000000002</v>
      </c>
      <c r="H786" s="4" t="str">
        <f t="array" aca="1" ref="H786" ca="1">SUBSTITUTE(SUBSTITUTE(_xlfn.TEXTJOIN("",TRUE,IF(ISERR(MID(C786,ROW(INDIRECT("1:100")),1)+0),MID(C786,ROW(INDIRECT("1:100")),1),"")),")",""),"(","")</f>
        <v>All items</v>
      </c>
    </row>
    <row r="787" spans="1:8" x14ac:dyDescent="0.25">
      <c r="A787">
        <v>2017</v>
      </c>
      <c r="B787">
        <v>4</v>
      </c>
      <c r="C787" t="s">
        <v>15</v>
      </c>
      <c r="D787">
        <v>13.666</v>
      </c>
      <c r="E787">
        <v>0.5</v>
      </c>
      <c r="F787">
        <v>7.3999999999999996E-2</v>
      </c>
      <c r="H787" s="4" t="str">
        <f t="array" aca="1" ref="H787" ca="1">SUBSTITUTE(SUBSTITUTE(_xlfn.TEXTJOIN("",TRUE,IF(ISERR(MID(C787,ROW(INDIRECT("1:100")),1)+0),MID(C787,ROW(INDIRECT("1:100")),1),"")),")",""),"(","")</f>
        <v>Food</v>
      </c>
    </row>
    <row r="788" spans="1:8" x14ac:dyDescent="0.25">
      <c r="A788">
        <v>2017</v>
      </c>
      <c r="B788">
        <v>4</v>
      </c>
      <c r="C788" t="s">
        <v>16</v>
      </c>
      <c r="D788">
        <v>7.1609999999999996</v>
      </c>
      <c r="E788">
        <v>9.3000000000000007</v>
      </c>
      <c r="F788">
        <v>0.63300000000000001</v>
      </c>
      <c r="H788" s="4" t="str">
        <f t="array" aca="1" ref="H788" ca="1">SUBSTITUTE(SUBSTITUTE(_xlfn.TEXTJOIN("",TRUE,IF(ISERR(MID(C788,ROW(INDIRECT("1:100")),1)+0),MID(C788,ROW(INDIRECT("1:100")),1),"")),")",""),"(","")</f>
        <v>Energy</v>
      </c>
    </row>
    <row r="789" spans="1:8" x14ac:dyDescent="0.25">
      <c r="A789">
        <v>2017</v>
      </c>
      <c r="B789">
        <v>4</v>
      </c>
      <c r="C789" t="s">
        <v>17</v>
      </c>
      <c r="D789">
        <v>79.173000000000002</v>
      </c>
      <c r="E789">
        <v>1.9</v>
      </c>
      <c r="F789">
        <v>1.4930000000000001</v>
      </c>
      <c r="H789" s="4" t="str">
        <f t="array" aca="1" ref="H789" ca="1">SUBSTITUTE(SUBSTITUTE(_xlfn.TEXTJOIN("",TRUE,IF(ISERR(MID(C789,ROW(INDIRECT("1:100")),1)+0),MID(C789,ROW(INDIRECT("1:100")),1),"")),")",""),"(","")</f>
        <v>All items less food and energy</v>
      </c>
    </row>
    <row r="790" spans="1:8" x14ac:dyDescent="0.25">
      <c r="A790">
        <v>2017</v>
      </c>
      <c r="B790">
        <v>4</v>
      </c>
      <c r="C790" t="s">
        <v>18</v>
      </c>
      <c r="H790" s="4" t="str">
        <f t="array" aca="1" ref="H790" ca="1">SUBSTITUTE(SUBSTITUTE(_xlfn.TEXTJOIN("",TRUE,IF(ISERR(MID(C790,ROW(INDIRECT("1:100")),1)+0),MID(C790,ROW(INDIRECT("1:100")),1),"")),")",""),"(","")</f>
        <v>Special aggregate indexes</v>
      </c>
    </row>
    <row r="791" spans="1:8" x14ac:dyDescent="0.25">
      <c r="A791">
        <v>2017</v>
      </c>
      <c r="B791">
        <v>4</v>
      </c>
      <c r="C791" t="s">
        <v>19</v>
      </c>
      <c r="D791">
        <v>86.334000000000003</v>
      </c>
      <c r="E791">
        <v>2.5</v>
      </c>
      <c r="F791">
        <v>2.1259999999999999</v>
      </c>
      <c r="H791" s="4" t="str">
        <f t="array" aca="1" ref="H791" ca="1">SUBSTITUTE(SUBSTITUTE(_xlfn.TEXTJOIN("",TRUE,IF(ISERR(MID(C791,ROW(INDIRECT("1:100")),1)+0),MID(C791,ROW(INDIRECT("1:100")),1),"")),")",""),"(","")</f>
        <v>All items less food</v>
      </c>
    </row>
    <row r="792" spans="1:8" x14ac:dyDescent="0.25">
      <c r="A792">
        <v>2017</v>
      </c>
      <c r="B792">
        <v>4</v>
      </c>
      <c r="C792" t="s">
        <v>20</v>
      </c>
      <c r="D792">
        <v>66.397999999999996</v>
      </c>
      <c r="E792">
        <v>1.6</v>
      </c>
      <c r="F792">
        <v>1.0549999999999999</v>
      </c>
      <c r="H792" s="4" t="str">
        <f t="array" aca="1" ref="H792" ca="1">SUBSTITUTE(SUBSTITUTE(_xlfn.TEXTJOIN("",TRUE,IF(ISERR(MID(C792,ROW(INDIRECT("1:100")),1)+0),MID(C792,ROW(INDIRECT("1:100")),1),"")),")",""),"(","")</f>
        <v>All items less shelter</v>
      </c>
    </row>
    <row r="793" spans="1:8" x14ac:dyDescent="0.25">
      <c r="A793">
        <v>2017</v>
      </c>
      <c r="B793">
        <v>4</v>
      </c>
      <c r="C793" t="s">
        <v>21</v>
      </c>
      <c r="D793">
        <v>52.731999999999999</v>
      </c>
      <c r="E793">
        <v>1.9</v>
      </c>
      <c r="F793">
        <v>0.98</v>
      </c>
      <c r="H793" s="4" t="str">
        <f t="array" aca="1" ref="H793" ca="1">SUBSTITUTE(SUBSTITUTE(_xlfn.TEXTJOIN("",TRUE,IF(ISERR(MID(C793,ROW(INDIRECT("1:100")),1)+0),MID(C793,ROW(INDIRECT("1:100")),1),"")),")",""),"(","")</f>
        <v>All items less food and shelter</v>
      </c>
    </row>
    <row r="794" spans="1:8" x14ac:dyDescent="0.25">
      <c r="A794">
        <v>2017</v>
      </c>
      <c r="B794">
        <v>4</v>
      </c>
      <c r="C794" t="s">
        <v>22</v>
      </c>
      <c r="D794">
        <v>45.570999999999998</v>
      </c>
      <c r="E794">
        <v>0.8</v>
      </c>
      <c r="F794">
        <v>0.34799999999999998</v>
      </c>
      <c r="H794" s="4" t="str">
        <f t="array" aca="1" ref="H794" ca="1">SUBSTITUTE(SUBSTITUTE(_xlfn.TEXTJOIN("",TRUE,IF(ISERR(MID(C794,ROW(INDIRECT("1:100")),1)+0),MID(C794,ROW(INDIRECT("1:100")),1),"")),")",""),"(","")</f>
        <v>All items less food, shelter, and energy</v>
      </c>
    </row>
    <row r="795" spans="1:8" x14ac:dyDescent="0.25">
      <c r="A795">
        <v>2017</v>
      </c>
      <c r="B795">
        <v>4</v>
      </c>
      <c r="C795" t="s">
        <v>23</v>
      </c>
      <c r="D795">
        <v>43.576999999999998</v>
      </c>
      <c r="E795">
        <v>1</v>
      </c>
      <c r="F795">
        <v>0.44700000000000001</v>
      </c>
      <c r="H795" s="4" t="str">
        <f t="array" aca="1" ref="H795" ca="1">SUBSTITUTE(SUBSTITUTE(_xlfn.TEXTJOIN("",TRUE,IF(ISERR(MID(C795,ROW(INDIRECT("1:100")),1)+0),MID(C795,ROW(INDIRECT("1:100")),1),"")),")",""),"(","")</f>
        <v>All items less food, shelter, energy, and used cars and trucks</v>
      </c>
    </row>
    <row r="796" spans="1:8" x14ac:dyDescent="0.25">
      <c r="A796">
        <v>2017</v>
      </c>
      <c r="B796">
        <v>4</v>
      </c>
      <c r="C796" t="s">
        <v>24</v>
      </c>
      <c r="D796">
        <v>91.451999999999998</v>
      </c>
      <c r="E796">
        <v>2.1</v>
      </c>
      <c r="F796">
        <v>1.95</v>
      </c>
      <c r="H796" s="4" t="str">
        <f t="array" aca="1" ref="H796" ca="1">SUBSTITUTE(SUBSTITUTE(_xlfn.TEXTJOIN("",TRUE,IF(ISERR(MID(C796,ROW(INDIRECT("1:100")),1)+0),MID(C796,ROW(INDIRECT("1:100")),1),"")),")",""),"(","")</f>
        <v>All items less medical care</v>
      </c>
    </row>
    <row r="797" spans="1:8" x14ac:dyDescent="0.25">
      <c r="A797">
        <v>2017</v>
      </c>
      <c r="B797">
        <v>4</v>
      </c>
      <c r="C797" t="s">
        <v>25</v>
      </c>
      <c r="D797">
        <v>92.838999999999999</v>
      </c>
      <c r="E797">
        <v>1.7</v>
      </c>
      <c r="F797">
        <v>1.5669999999999999</v>
      </c>
      <c r="H797" s="4" t="str">
        <f t="array" aca="1" ref="H797" ca="1">SUBSTITUTE(SUBSTITUTE(_xlfn.TEXTJOIN("",TRUE,IF(ISERR(MID(C797,ROW(INDIRECT("1:100")),1)+0),MID(C797,ROW(INDIRECT("1:100")),1),"")),")",""),"(","")</f>
        <v>All items less energy</v>
      </c>
    </row>
    <row r="798" spans="1:8" x14ac:dyDescent="0.25">
      <c r="A798">
        <v>2017</v>
      </c>
      <c r="B798">
        <v>4</v>
      </c>
      <c r="C798" t="s">
        <v>26</v>
      </c>
      <c r="D798">
        <v>36.383000000000003</v>
      </c>
      <c r="E798">
        <v>1.2</v>
      </c>
      <c r="F798">
        <v>0.43</v>
      </c>
      <c r="H798" s="4" t="str">
        <f t="array" aca="1" ref="H798" ca="1">SUBSTITUTE(SUBSTITUTE(_xlfn.TEXTJOIN("",TRUE,IF(ISERR(MID(C798,ROW(INDIRECT("1:100")),1)+0),MID(C798,ROW(INDIRECT("1:100")),1),"")),")",""),"(","")</f>
        <v>Commodities</v>
      </c>
    </row>
    <row r="799" spans="1:8" x14ac:dyDescent="0.25">
      <c r="A799">
        <v>2017</v>
      </c>
      <c r="B799">
        <v>4</v>
      </c>
      <c r="C799" t="s">
        <v>27</v>
      </c>
      <c r="D799">
        <v>63.616999999999997</v>
      </c>
      <c r="E799">
        <v>2.8</v>
      </c>
      <c r="F799">
        <v>1.77</v>
      </c>
      <c r="H799" s="4" t="str">
        <f t="array" aca="1" ref="H799" ca="1">SUBSTITUTE(SUBSTITUTE(_xlfn.TEXTJOIN("",TRUE,IF(ISERR(MID(C799,ROW(INDIRECT("1:100")),1)+0),MID(C799,ROW(INDIRECT("1:100")),1),"")),")",""),"(","")</f>
        <v>Services</v>
      </c>
    </row>
    <row r="800" spans="1:8" x14ac:dyDescent="0.25">
      <c r="A800">
        <v>2017</v>
      </c>
      <c r="B800">
        <v>4</v>
      </c>
      <c r="C800" t="s">
        <v>28</v>
      </c>
      <c r="D800">
        <v>9.25</v>
      </c>
      <c r="E800">
        <v>-2.1</v>
      </c>
      <c r="F800">
        <v>-0.20200000000000001</v>
      </c>
      <c r="H800" s="4" t="str">
        <f t="array" aca="1" ref="H800" ca="1">SUBSTITUTE(SUBSTITUTE(_xlfn.TEXTJOIN("",TRUE,IF(ISERR(MID(C800,ROW(INDIRECT("1:100")),1)+0),MID(C800,ROW(INDIRECT("1:100")),1),"")),")",""),"(","")</f>
        <v>Durables</v>
      </c>
    </row>
    <row r="801" spans="1:8" x14ac:dyDescent="0.25">
      <c r="A801">
        <v>2017</v>
      </c>
      <c r="B801">
        <v>4</v>
      </c>
      <c r="C801" t="s">
        <v>29</v>
      </c>
      <c r="D801">
        <v>27.132999999999999</v>
      </c>
      <c r="E801">
        <v>2.2999999999999998</v>
      </c>
      <c r="F801">
        <v>0.63200000000000001</v>
      </c>
      <c r="H801" s="4" t="str">
        <f t="array" aca="1" ref="H801" ca="1">SUBSTITUTE(SUBSTITUTE(_xlfn.TEXTJOIN("",TRUE,IF(ISERR(MID(C801,ROW(INDIRECT("1:100")),1)+0),MID(C801,ROW(INDIRECT("1:100")),1),"")),")",""),"(","")</f>
        <v>Nondurables</v>
      </c>
    </row>
    <row r="802" spans="1:8" x14ac:dyDescent="0.25">
      <c r="A802">
        <v>2017</v>
      </c>
      <c r="B802">
        <v>4</v>
      </c>
      <c r="C802" t="s">
        <v>8</v>
      </c>
      <c r="D802">
        <v>42.593000000000004</v>
      </c>
      <c r="E802">
        <v>3.2</v>
      </c>
      <c r="F802">
        <v>1.3460000000000001</v>
      </c>
      <c r="H802" s="4" t="str">
        <f t="array" aca="1" ref="H802" ca="1">SUBSTITUTE(SUBSTITUTE(_xlfn.TEXTJOIN("",TRUE,IF(ISERR(MID(C802,ROW(INDIRECT("1:100")),1)+0),MID(C802,ROW(INDIRECT("1:100")),1),"")),")",""),"(","")</f>
        <v>Housing</v>
      </c>
    </row>
    <row r="803" spans="1:8" x14ac:dyDescent="0.25">
      <c r="A803">
        <v>2017</v>
      </c>
      <c r="B803">
        <v>4</v>
      </c>
      <c r="C803" t="s">
        <v>30</v>
      </c>
      <c r="D803">
        <v>6.7750000000000004</v>
      </c>
      <c r="E803">
        <v>-2.5</v>
      </c>
      <c r="F803">
        <v>-0.17899999999999999</v>
      </c>
      <c r="H803" s="4" t="str">
        <f t="array" aca="1" ref="H803" ca="1">SUBSTITUTE(SUBSTITUTE(_xlfn.TEXTJOIN("",TRUE,IF(ISERR(MID(C803,ROW(INDIRECT("1:100")),1)+0),MID(C803,ROW(INDIRECT("1:100")),1),"")),")",""),"(","")</f>
        <v>Education and communication</v>
      </c>
    </row>
    <row r="804" spans="1:8" x14ac:dyDescent="0.25">
      <c r="A804">
        <v>2017</v>
      </c>
      <c r="B804">
        <v>4</v>
      </c>
      <c r="C804" t="s">
        <v>31</v>
      </c>
      <c r="D804">
        <v>5.7050000000000001</v>
      </c>
      <c r="E804">
        <v>1</v>
      </c>
      <c r="F804">
        <v>5.5E-2</v>
      </c>
      <c r="H804" s="4" t="str">
        <f t="array" aca="1" ref="H804" ca="1">SUBSTITUTE(SUBSTITUTE(_xlfn.TEXTJOIN("",TRUE,IF(ISERR(MID(C804,ROW(INDIRECT("1:100")),1)+0),MID(C804,ROW(INDIRECT("1:100")),1),"")),")",""),"(","")</f>
        <v>Recreation</v>
      </c>
    </row>
    <row r="805" spans="1:8" x14ac:dyDescent="0.25">
      <c r="A805">
        <v>2017</v>
      </c>
      <c r="B805">
        <v>4</v>
      </c>
      <c r="C805" t="s">
        <v>6</v>
      </c>
      <c r="D805">
        <v>14.615</v>
      </c>
      <c r="E805">
        <v>0.6</v>
      </c>
      <c r="F805">
        <v>8.5999999999999993E-2</v>
      </c>
      <c r="H805" s="4" t="str">
        <f t="array" aca="1" ref="H805" ca="1">SUBSTITUTE(SUBSTITUTE(_xlfn.TEXTJOIN("",TRUE,IF(ISERR(MID(C805,ROW(INDIRECT("1:100")),1)+0),MID(C805,ROW(INDIRECT("1:100")),1),"")),")",""),"(","")</f>
        <v>Food and beverages</v>
      </c>
    </row>
    <row r="806" spans="1:8" x14ac:dyDescent="0.25">
      <c r="A806">
        <v>2017</v>
      </c>
      <c r="B806">
        <v>4</v>
      </c>
      <c r="C806" t="s">
        <v>32</v>
      </c>
      <c r="D806">
        <v>11.736000000000001</v>
      </c>
      <c r="E806">
        <v>0.2</v>
      </c>
      <c r="F806">
        <v>1.9E-2</v>
      </c>
      <c r="H806" s="4" t="str">
        <f t="array" aca="1" ref="H806" ca="1">SUBSTITUTE(SUBSTITUTE(_xlfn.TEXTJOIN("",TRUE,IF(ISERR(MID(C806,ROW(INDIRECT("1:100")),1)+0),MID(C806,ROW(INDIRECT("1:100")),1),"")),")",""),"(","")</f>
        <v>Other services</v>
      </c>
    </row>
    <row r="807" spans="1:8" x14ac:dyDescent="0.25">
      <c r="A807">
        <v>2017</v>
      </c>
      <c r="B807">
        <v>4</v>
      </c>
      <c r="C807" t="s">
        <v>33</v>
      </c>
      <c r="D807">
        <v>2.4510000000000001</v>
      </c>
      <c r="E807">
        <v>0.4</v>
      </c>
      <c r="F807">
        <v>1.0999999999999999E-2</v>
      </c>
      <c r="H807" s="4" t="str">
        <f t="array" aca="1" ref="H807" ca="1">SUBSTITUTE(SUBSTITUTE(_xlfn.TEXTJOIN("",TRUE,IF(ISERR(MID(C807,ROW(INDIRECT("1:100")),1)+0),MID(C807,ROW(INDIRECT("1:100")),1),"")),")",""),"(","")</f>
        <v>Apparel less footwear</v>
      </c>
    </row>
    <row r="808" spans="1:8" x14ac:dyDescent="0.25">
      <c r="A808">
        <v>2017</v>
      </c>
      <c r="B808">
        <v>4</v>
      </c>
      <c r="C808" t="s">
        <v>34</v>
      </c>
      <c r="D808">
        <v>4.9740000000000002</v>
      </c>
      <c r="E808">
        <v>4.5999999999999996</v>
      </c>
      <c r="F808">
        <v>0.224</v>
      </c>
      <c r="H808" s="4" t="str">
        <f t="array" aca="1" ref="H808" ca="1">SUBSTITUTE(SUBSTITUTE(_xlfn.TEXTJOIN("",TRUE,IF(ISERR(MID(C808,ROW(INDIRECT("1:100")),1)+0),MID(C808,ROW(INDIRECT("1:100")),1),"")),")",""),"(","")</f>
        <v>Fuels and utilities</v>
      </c>
    </row>
    <row r="809" spans="1:8" x14ac:dyDescent="0.25">
      <c r="A809">
        <v>2017</v>
      </c>
      <c r="B809">
        <v>4</v>
      </c>
      <c r="C809" t="s">
        <v>11</v>
      </c>
      <c r="D809">
        <v>8.548</v>
      </c>
      <c r="E809">
        <v>3</v>
      </c>
      <c r="F809">
        <v>0.249</v>
      </c>
      <c r="H809" s="4" t="str">
        <f t="array" aca="1" ref="H809" ca="1">SUBSTITUTE(SUBSTITUTE(_xlfn.TEXTJOIN("",TRUE,IF(ISERR(MID(C809,ROW(INDIRECT("1:100")),1)+0),MID(C809,ROW(INDIRECT("1:100")),1),"")),")",""),"(","")</f>
        <v>Medical care</v>
      </c>
    </row>
    <row r="810" spans="1:8" x14ac:dyDescent="0.25">
      <c r="A810">
        <v>2017</v>
      </c>
      <c r="B810">
        <v>4</v>
      </c>
      <c r="C810" t="s">
        <v>7</v>
      </c>
      <c r="D810">
        <v>15.465999999999999</v>
      </c>
      <c r="E810">
        <v>3.5</v>
      </c>
      <c r="F810">
        <v>0.54300000000000004</v>
      </c>
      <c r="H810" s="4" t="str">
        <f t="array" aca="1" ref="H810" ca="1">SUBSTITUTE(SUBSTITUTE(_xlfn.TEXTJOIN("",TRUE,IF(ISERR(MID(C810,ROW(INDIRECT("1:100")),1)+0),MID(C810,ROW(INDIRECT("1:100")),1),"")),")",""),"(","")</f>
        <v>Transportation</v>
      </c>
    </row>
    <row r="811" spans="1:8" x14ac:dyDescent="0.25">
      <c r="A811">
        <v>2017</v>
      </c>
      <c r="B811">
        <v>4</v>
      </c>
      <c r="C811" t="s">
        <v>35</v>
      </c>
      <c r="D811">
        <v>9.7750000000000004</v>
      </c>
      <c r="E811">
        <v>0.5</v>
      </c>
      <c r="F811">
        <v>5.3999999999999999E-2</v>
      </c>
      <c r="H811" s="4" t="str">
        <f t="array" aca="1" ref="H811" ca="1">SUBSTITUTE(SUBSTITUTE(_xlfn.TEXTJOIN("",TRUE,IF(ISERR(MID(C811,ROW(INDIRECT("1:100")),1)+0),MID(C811,ROW(INDIRECT("1:100")),1),"")),")",""),"(","")</f>
        <v>Utilities and public transportation</v>
      </c>
    </row>
    <row r="812" spans="1:8" x14ac:dyDescent="0.25">
      <c r="A812">
        <v>2017</v>
      </c>
      <c r="B812">
        <v>4</v>
      </c>
      <c r="C812" t="s">
        <v>36</v>
      </c>
      <c r="D812">
        <v>4.0170000000000003</v>
      </c>
      <c r="E812">
        <v>-0.6</v>
      </c>
      <c r="F812">
        <v>-2.3E-2</v>
      </c>
      <c r="H812" s="4" t="str">
        <f t="array" aca="1" ref="H812" ca="1">SUBSTITUTE(SUBSTITUTE(_xlfn.TEXTJOIN("",TRUE,IF(ISERR(MID(C812,ROW(INDIRECT("1:100")),1)+0),MID(C812,ROW(INDIRECT("1:100")),1),"")),")",""),"(","")</f>
        <v>Household furnishings and operations</v>
      </c>
    </row>
    <row r="813" spans="1:8" x14ac:dyDescent="0.25">
      <c r="A813">
        <v>2017</v>
      </c>
      <c r="B813">
        <v>4</v>
      </c>
      <c r="C813" t="s">
        <v>12</v>
      </c>
      <c r="D813">
        <v>3.1560000000000001</v>
      </c>
      <c r="E813">
        <v>2.7</v>
      </c>
      <c r="F813">
        <v>8.4000000000000005E-2</v>
      </c>
      <c r="H813" s="4" t="str">
        <f t="array" aca="1" ref="H813" ca="1">SUBSTITUTE(SUBSTITUTE(_xlfn.TEXTJOIN("",TRUE,IF(ISERR(MID(C813,ROW(INDIRECT("1:100")),1)+0),MID(C813,ROW(INDIRECT("1:100")),1),"")),")",""),"(","")</f>
        <v>Other goods and services</v>
      </c>
    </row>
    <row r="814" spans="1:8" x14ac:dyDescent="0.25">
      <c r="A814">
        <v>2017</v>
      </c>
      <c r="B814">
        <v>5</v>
      </c>
      <c r="C814" t="s">
        <v>14</v>
      </c>
      <c r="D814">
        <v>100</v>
      </c>
      <c r="E814">
        <v>1.9</v>
      </c>
      <c r="H814" s="4" t="str">
        <f t="array" aca="1" ref="H814" ca="1">SUBSTITUTE(SUBSTITUTE(_xlfn.TEXTJOIN("",TRUE,IF(ISERR(MID(C814,ROW(INDIRECT("1:100")),1)+0),MID(C814,ROW(INDIRECT("1:100")),1),"")),")",""),"(","")</f>
        <v>All items</v>
      </c>
    </row>
    <row r="815" spans="1:8" x14ac:dyDescent="0.25">
      <c r="A815">
        <v>2017</v>
      </c>
      <c r="B815">
        <v>5</v>
      </c>
      <c r="C815" t="s">
        <v>15</v>
      </c>
      <c r="D815">
        <v>13.657</v>
      </c>
      <c r="E815">
        <v>0.9</v>
      </c>
      <c r="F815">
        <v>0.12</v>
      </c>
      <c r="H815" s="4" t="str">
        <f t="array" aca="1" ref="H815" ca="1">SUBSTITUTE(SUBSTITUTE(_xlfn.TEXTJOIN("",TRUE,IF(ISERR(MID(C815,ROW(INDIRECT("1:100")),1)+0),MID(C815,ROW(INDIRECT("1:100")),1),"")),")",""),"(","")</f>
        <v>Food</v>
      </c>
    </row>
    <row r="816" spans="1:8" x14ac:dyDescent="0.25">
      <c r="A816">
        <v>2017</v>
      </c>
      <c r="B816">
        <v>5</v>
      </c>
      <c r="C816" t="s">
        <v>16</v>
      </c>
      <c r="D816">
        <v>7.2939999999999996</v>
      </c>
      <c r="E816">
        <v>5.4</v>
      </c>
      <c r="F816">
        <v>0.38300000000000001</v>
      </c>
      <c r="H816" s="4" t="str">
        <f t="array" aca="1" ref="H816" ca="1">SUBSTITUTE(SUBSTITUTE(_xlfn.TEXTJOIN("",TRUE,IF(ISERR(MID(C816,ROW(INDIRECT("1:100")),1)+0),MID(C816,ROW(INDIRECT("1:100")),1),"")),")",""),"(","")</f>
        <v>Energy</v>
      </c>
    </row>
    <row r="817" spans="1:8" x14ac:dyDescent="0.25">
      <c r="A817">
        <v>2017</v>
      </c>
      <c r="B817">
        <v>5</v>
      </c>
      <c r="C817" t="s">
        <v>17</v>
      </c>
      <c r="D817">
        <v>79.049000000000007</v>
      </c>
      <c r="E817">
        <v>1.7</v>
      </c>
      <c r="F817">
        <v>1.3720000000000001</v>
      </c>
      <c r="H817" s="4" t="str">
        <f t="array" aca="1" ref="H817" ca="1">SUBSTITUTE(SUBSTITUTE(_xlfn.TEXTJOIN("",TRUE,IF(ISERR(MID(C817,ROW(INDIRECT("1:100")),1)+0),MID(C817,ROW(INDIRECT("1:100")),1),"")),")",""),"(","")</f>
        <v>All items less food and energy</v>
      </c>
    </row>
    <row r="818" spans="1:8" x14ac:dyDescent="0.25">
      <c r="A818">
        <v>2017</v>
      </c>
      <c r="B818">
        <v>5</v>
      </c>
      <c r="C818" t="s">
        <v>18</v>
      </c>
      <c r="H818" s="4" t="str">
        <f t="array" aca="1" ref="H818" ca="1">SUBSTITUTE(SUBSTITUTE(_xlfn.TEXTJOIN("",TRUE,IF(ISERR(MID(C818,ROW(INDIRECT("1:100")),1)+0),MID(C818,ROW(INDIRECT("1:100")),1),"")),")",""),"(","")</f>
        <v>Special aggregate indexes</v>
      </c>
    </row>
    <row r="819" spans="1:8" x14ac:dyDescent="0.25">
      <c r="A819">
        <v>2017</v>
      </c>
      <c r="B819">
        <v>5</v>
      </c>
      <c r="C819" t="s">
        <v>19</v>
      </c>
      <c r="D819">
        <v>86.343000000000004</v>
      </c>
      <c r="E819">
        <v>2</v>
      </c>
      <c r="F819">
        <v>1.7549999999999999</v>
      </c>
      <c r="H819" s="4" t="str">
        <f t="array" aca="1" ref="H819" ca="1">SUBSTITUTE(SUBSTITUTE(_xlfn.TEXTJOIN("",TRUE,IF(ISERR(MID(C819,ROW(INDIRECT("1:100")),1)+0),MID(C819,ROW(INDIRECT("1:100")),1),"")),")",""),"(","")</f>
        <v>All items less food</v>
      </c>
    </row>
    <row r="820" spans="1:8" x14ac:dyDescent="0.25">
      <c r="A820">
        <v>2017</v>
      </c>
      <c r="B820">
        <v>5</v>
      </c>
      <c r="C820" t="s">
        <v>20</v>
      </c>
      <c r="D820">
        <v>66.421999999999997</v>
      </c>
      <c r="E820">
        <v>1.1000000000000001</v>
      </c>
      <c r="F820">
        <v>0.76800000000000002</v>
      </c>
      <c r="H820" s="4" t="str">
        <f t="array" aca="1" ref="H820" ca="1">SUBSTITUTE(SUBSTITUTE(_xlfn.TEXTJOIN("",TRUE,IF(ISERR(MID(C820,ROW(INDIRECT("1:100")),1)+0),MID(C820,ROW(INDIRECT("1:100")),1),"")),")",""),"(","")</f>
        <v>All items less shelter</v>
      </c>
    </row>
    <row r="821" spans="1:8" x14ac:dyDescent="0.25">
      <c r="A821">
        <v>2017</v>
      </c>
      <c r="B821">
        <v>5</v>
      </c>
      <c r="C821" t="s">
        <v>21</v>
      </c>
      <c r="D821">
        <v>52.765000000000001</v>
      </c>
      <c r="E821">
        <v>1.2</v>
      </c>
      <c r="F821">
        <v>0.64800000000000002</v>
      </c>
      <c r="H821" s="4" t="str">
        <f t="array" aca="1" ref="H821" ca="1">SUBSTITUTE(SUBSTITUTE(_xlfn.TEXTJOIN("",TRUE,IF(ISERR(MID(C821,ROW(INDIRECT("1:100")),1)+0),MID(C821,ROW(INDIRECT("1:100")),1),"")),")",""),"(","")</f>
        <v>All items less food and shelter</v>
      </c>
    </row>
    <row r="822" spans="1:8" x14ac:dyDescent="0.25">
      <c r="A822">
        <v>2017</v>
      </c>
      <c r="B822">
        <v>5</v>
      </c>
      <c r="C822" t="s">
        <v>22</v>
      </c>
      <c r="D822">
        <v>45.472000000000001</v>
      </c>
      <c r="E822">
        <v>0.6</v>
      </c>
      <c r="F822">
        <v>0.26500000000000001</v>
      </c>
      <c r="H822" s="4" t="str">
        <f t="array" aca="1" ref="H822" ca="1">SUBSTITUTE(SUBSTITUTE(_xlfn.TEXTJOIN("",TRUE,IF(ISERR(MID(C822,ROW(INDIRECT("1:100")),1)+0),MID(C822,ROW(INDIRECT("1:100")),1),"")),")",""),"(","")</f>
        <v>All items less food, shelter, and energy</v>
      </c>
    </row>
    <row r="823" spans="1:8" x14ac:dyDescent="0.25">
      <c r="A823">
        <v>2017</v>
      </c>
      <c r="B823">
        <v>5</v>
      </c>
      <c r="C823" t="s">
        <v>23</v>
      </c>
      <c r="D823">
        <v>43.465000000000003</v>
      </c>
      <c r="E823">
        <v>0.8</v>
      </c>
      <c r="F823">
        <v>0.35699999999999998</v>
      </c>
      <c r="H823" s="4" t="str">
        <f t="array" aca="1" ref="H823" ca="1">SUBSTITUTE(SUBSTITUTE(_xlfn.TEXTJOIN("",TRUE,IF(ISERR(MID(C823,ROW(INDIRECT("1:100")),1)+0),MID(C823,ROW(INDIRECT("1:100")),1),"")),")",""),"(","")</f>
        <v>All items less food, shelter, energy, and used cars and trucks</v>
      </c>
    </row>
    <row r="824" spans="1:8" x14ac:dyDescent="0.25">
      <c r="A824">
        <v>2017</v>
      </c>
      <c r="B824">
        <v>5</v>
      </c>
      <c r="C824" t="s">
        <v>24</v>
      </c>
      <c r="D824">
        <v>91.495000000000005</v>
      </c>
      <c r="E824">
        <v>1.8</v>
      </c>
      <c r="F824">
        <v>1.65</v>
      </c>
      <c r="H824" s="4" t="str">
        <f t="array" aca="1" ref="H824" ca="1">SUBSTITUTE(SUBSTITUTE(_xlfn.TEXTJOIN("",TRUE,IF(ISERR(MID(C824,ROW(INDIRECT("1:100")),1)+0),MID(C824,ROW(INDIRECT("1:100")),1),"")),")",""),"(","")</f>
        <v>All items less medical care</v>
      </c>
    </row>
    <row r="825" spans="1:8" x14ac:dyDescent="0.25">
      <c r="A825">
        <v>2017</v>
      </c>
      <c r="B825">
        <v>5</v>
      </c>
      <c r="C825" t="s">
        <v>25</v>
      </c>
      <c r="D825">
        <v>92.706000000000003</v>
      </c>
      <c r="E825">
        <v>1.6</v>
      </c>
      <c r="F825">
        <v>1.492</v>
      </c>
      <c r="H825" s="4" t="str">
        <f t="array" aca="1" ref="H825" ca="1">SUBSTITUTE(SUBSTITUTE(_xlfn.TEXTJOIN("",TRUE,IF(ISERR(MID(C825,ROW(INDIRECT("1:100")),1)+0),MID(C825,ROW(INDIRECT("1:100")),1),"")),")",""),"(","")</f>
        <v>All items less energy</v>
      </c>
    </row>
    <row r="826" spans="1:8" x14ac:dyDescent="0.25">
      <c r="A826">
        <v>2017</v>
      </c>
      <c r="B826">
        <v>5</v>
      </c>
      <c r="C826" t="s">
        <v>26</v>
      </c>
      <c r="D826">
        <v>36.456000000000003</v>
      </c>
      <c r="E826">
        <v>0.5</v>
      </c>
      <c r="F826">
        <v>0.183</v>
      </c>
      <c r="H826" s="4" t="str">
        <f t="array" aca="1" ref="H826" ca="1">SUBSTITUTE(SUBSTITUTE(_xlfn.TEXTJOIN("",TRUE,IF(ISERR(MID(C826,ROW(INDIRECT("1:100")),1)+0),MID(C826,ROW(INDIRECT("1:100")),1),"")),")",""),"(","")</f>
        <v>Commodities</v>
      </c>
    </row>
    <row r="827" spans="1:8" x14ac:dyDescent="0.25">
      <c r="A827">
        <v>2017</v>
      </c>
      <c r="B827">
        <v>5</v>
      </c>
      <c r="C827" t="s">
        <v>27</v>
      </c>
      <c r="D827">
        <v>63.543999999999997</v>
      </c>
      <c r="E827">
        <v>2.7</v>
      </c>
      <c r="F827">
        <v>1.6919999999999999</v>
      </c>
      <c r="H827" s="4" t="str">
        <f t="array" aca="1" ref="H827" ca="1">SUBSTITUTE(SUBSTITUTE(_xlfn.TEXTJOIN("",TRUE,IF(ISERR(MID(C827,ROW(INDIRECT("1:100")),1)+0),MID(C827,ROW(INDIRECT("1:100")),1),"")),")",""),"(","")</f>
        <v>Services</v>
      </c>
    </row>
    <row r="828" spans="1:8" x14ac:dyDescent="0.25">
      <c r="A828">
        <v>2017</v>
      </c>
      <c r="B828">
        <v>5</v>
      </c>
      <c r="C828" t="s">
        <v>28</v>
      </c>
      <c r="D828">
        <v>9.2270000000000003</v>
      </c>
      <c r="E828">
        <v>-1.9</v>
      </c>
      <c r="F828">
        <v>-0.184</v>
      </c>
      <c r="H828" s="4" t="str">
        <f t="array" aca="1" ref="H828" ca="1">SUBSTITUTE(SUBSTITUTE(_xlfn.TEXTJOIN("",TRUE,IF(ISERR(MID(C828,ROW(INDIRECT("1:100")),1)+0),MID(C828,ROW(INDIRECT("1:100")),1),"")),")",""),"(","")</f>
        <v>Durables</v>
      </c>
    </row>
    <row r="829" spans="1:8" x14ac:dyDescent="0.25">
      <c r="A829">
        <v>2017</v>
      </c>
      <c r="B829">
        <v>5</v>
      </c>
      <c r="C829" t="s">
        <v>29</v>
      </c>
      <c r="D829">
        <v>27.228999999999999</v>
      </c>
      <c r="E829">
        <v>1.3</v>
      </c>
      <c r="F829">
        <v>0.36799999999999999</v>
      </c>
      <c r="H829" s="4" t="str">
        <f t="array" aca="1" ref="H829" ca="1">SUBSTITUTE(SUBSTITUTE(_xlfn.TEXTJOIN("",TRUE,IF(ISERR(MID(C829,ROW(INDIRECT("1:100")),1)+0),MID(C829,ROW(INDIRECT("1:100")),1),"")),")",""),"(","")</f>
        <v>Nondurables</v>
      </c>
    </row>
    <row r="830" spans="1:8" x14ac:dyDescent="0.25">
      <c r="A830">
        <v>2017</v>
      </c>
      <c r="B830">
        <v>5</v>
      </c>
      <c r="C830" t="s">
        <v>8</v>
      </c>
      <c r="D830">
        <v>42.558999999999997</v>
      </c>
      <c r="E830">
        <v>3.1</v>
      </c>
      <c r="F830">
        <v>1.3129999999999999</v>
      </c>
      <c r="H830" s="4" t="str">
        <f t="array" aca="1" ref="H830" ca="1">SUBSTITUTE(SUBSTITUTE(_xlfn.TEXTJOIN("",TRUE,IF(ISERR(MID(C830,ROW(INDIRECT("1:100")),1)+0),MID(C830,ROW(INDIRECT("1:100")),1),"")),")",""),"(","")</f>
        <v>Housing</v>
      </c>
    </row>
    <row r="831" spans="1:8" x14ac:dyDescent="0.25">
      <c r="A831">
        <v>2017</v>
      </c>
      <c r="B831">
        <v>5</v>
      </c>
      <c r="C831" t="s">
        <v>30</v>
      </c>
      <c r="D831">
        <v>6.7329999999999997</v>
      </c>
      <c r="E831">
        <v>-2.5</v>
      </c>
      <c r="F831">
        <v>-0.17199999999999999</v>
      </c>
      <c r="H831" s="4" t="str">
        <f t="array" aca="1" ref="H831" ca="1">SUBSTITUTE(SUBSTITUTE(_xlfn.TEXTJOIN("",TRUE,IF(ISERR(MID(C831,ROW(INDIRECT("1:100")),1)+0),MID(C831,ROW(INDIRECT("1:100")),1),"")),")",""),"(","")</f>
        <v>Education and communication</v>
      </c>
    </row>
    <row r="832" spans="1:8" x14ac:dyDescent="0.25">
      <c r="A832">
        <v>2017</v>
      </c>
      <c r="B832">
        <v>5</v>
      </c>
      <c r="C832" t="s">
        <v>31</v>
      </c>
      <c r="D832">
        <v>5.6909999999999998</v>
      </c>
      <c r="E832">
        <v>0.9</v>
      </c>
      <c r="F832">
        <v>5.1999999999999998E-2</v>
      </c>
      <c r="H832" s="4" t="str">
        <f t="array" aca="1" ref="H832" ca="1">SUBSTITUTE(SUBSTITUTE(_xlfn.TEXTJOIN("",TRUE,IF(ISERR(MID(C832,ROW(INDIRECT("1:100")),1)+0),MID(C832,ROW(INDIRECT("1:100")),1),"")),")",""),"(","")</f>
        <v>Recreation</v>
      </c>
    </row>
    <row r="833" spans="1:8" x14ac:dyDescent="0.25">
      <c r="A833">
        <v>2017</v>
      </c>
      <c r="B833">
        <v>5</v>
      </c>
      <c r="C833" t="s">
        <v>6</v>
      </c>
      <c r="D833">
        <v>14.605</v>
      </c>
      <c r="E833">
        <v>0.9</v>
      </c>
      <c r="F833">
        <v>0.129</v>
      </c>
      <c r="H833" s="4" t="str">
        <f t="array" aca="1" ref="H833" ca="1">SUBSTITUTE(SUBSTITUTE(_xlfn.TEXTJOIN("",TRUE,IF(ISERR(MID(C833,ROW(INDIRECT("1:100")),1)+0),MID(C833,ROW(INDIRECT("1:100")),1),"")),")",""),"(","")</f>
        <v>Food and beverages</v>
      </c>
    </row>
    <row r="834" spans="1:8" x14ac:dyDescent="0.25">
      <c r="A834">
        <v>2017</v>
      </c>
      <c r="B834">
        <v>5</v>
      </c>
      <c r="C834" t="s">
        <v>32</v>
      </c>
      <c r="D834">
        <v>11.689</v>
      </c>
      <c r="E834">
        <v>0.1</v>
      </c>
      <c r="F834">
        <v>1.2E-2</v>
      </c>
      <c r="H834" s="4" t="str">
        <f t="array" aca="1" ref="H834" ca="1">SUBSTITUTE(SUBSTITUTE(_xlfn.TEXTJOIN("",TRUE,IF(ISERR(MID(C834,ROW(INDIRECT("1:100")),1)+0),MID(C834,ROW(INDIRECT("1:100")),1),"")),")",""),"(","")</f>
        <v>Other services</v>
      </c>
    </row>
    <row r="835" spans="1:8" x14ac:dyDescent="0.25">
      <c r="A835">
        <v>2017</v>
      </c>
      <c r="B835">
        <v>5</v>
      </c>
      <c r="C835" t="s">
        <v>33</v>
      </c>
      <c r="D835">
        <v>2.4380000000000002</v>
      </c>
      <c r="E835">
        <v>-1.2</v>
      </c>
      <c r="F835">
        <v>-3.1E-2</v>
      </c>
      <c r="H835" s="4" t="str">
        <f t="array" aca="1" ref="H835" ca="1">SUBSTITUTE(SUBSTITUTE(_xlfn.TEXTJOIN("",TRUE,IF(ISERR(MID(C835,ROW(INDIRECT("1:100")),1)+0),MID(C835,ROW(INDIRECT("1:100")),1),"")),")",""),"(","")</f>
        <v>Apparel less footwear</v>
      </c>
    </row>
    <row r="836" spans="1:8" x14ac:dyDescent="0.25">
      <c r="A836">
        <v>2017</v>
      </c>
      <c r="B836">
        <v>5</v>
      </c>
      <c r="C836" t="s">
        <v>34</v>
      </c>
      <c r="D836">
        <v>4.9829999999999997</v>
      </c>
      <c r="E836">
        <v>4.5999999999999996</v>
      </c>
      <c r="F836">
        <v>0.22600000000000001</v>
      </c>
      <c r="H836" s="4" t="str">
        <f t="array" aca="1" ref="H836" ca="1">SUBSTITUTE(SUBSTITUTE(_xlfn.TEXTJOIN("",TRUE,IF(ISERR(MID(C836,ROW(INDIRECT("1:100")),1)+0),MID(C836,ROW(INDIRECT("1:100")),1),"")),")",""),"(","")</f>
        <v>Fuels and utilities</v>
      </c>
    </row>
    <row r="837" spans="1:8" x14ac:dyDescent="0.25">
      <c r="A837">
        <v>2017</v>
      </c>
      <c r="B837">
        <v>5</v>
      </c>
      <c r="C837" t="s">
        <v>11</v>
      </c>
      <c r="D837">
        <v>8.5050000000000008</v>
      </c>
      <c r="E837">
        <v>2.7</v>
      </c>
      <c r="F837">
        <v>0.22500000000000001</v>
      </c>
      <c r="H837" s="4" t="str">
        <f t="array" aca="1" ref="H837" ca="1">SUBSTITUTE(SUBSTITUTE(_xlfn.TEXTJOIN("",TRUE,IF(ISERR(MID(C837,ROW(INDIRECT("1:100")),1)+0),MID(C837,ROW(INDIRECT("1:100")),1),"")),")",""),"(","")</f>
        <v>Medical care</v>
      </c>
    </row>
    <row r="838" spans="1:8" x14ac:dyDescent="0.25">
      <c r="A838">
        <v>2017</v>
      </c>
      <c r="B838">
        <v>5</v>
      </c>
      <c r="C838" t="s">
        <v>7</v>
      </c>
      <c r="D838">
        <v>15.597</v>
      </c>
      <c r="E838">
        <v>1.8</v>
      </c>
      <c r="F838">
        <v>0.28199999999999997</v>
      </c>
      <c r="H838" s="4" t="str">
        <f t="array" aca="1" ref="H838" ca="1">SUBSTITUTE(SUBSTITUTE(_xlfn.TEXTJOIN("",TRUE,IF(ISERR(MID(C838,ROW(INDIRECT("1:100")),1)+0),MID(C838,ROW(INDIRECT("1:100")),1),"")),")",""),"(","")</f>
        <v>Transportation</v>
      </c>
    </row>
    <row r="839" spans="1:8" x14ac:dyDescent="0.25">
      <c r="A839">
        <v>2017</v>
      </c>
      <c r="B839">
        <v>5</v>
      </c>
      <c r="C839" t="s">
        <v>35</v>
      </c>
      <c r="D839">
        <v>9.7780000000000005</v>
      </c>
      <c r="E839">
        <v>0.5</v>
      </c>
      <c r="F839">
        <v>5.3999999999999999E-2</v>
      </c>
      <c r="H839" s="4" t="str">
        <f t="array" aca="1" ref="H839" ca="1">SUBSTITUTE(SUBSTITUTE(_xlfn.TEXTJOIN("",TRUE,IF(ISERR(MID(C839,ROW(INDIRECT("1:100")),1)+0),MID(C839,ROW(INDIRECT("1:100")),1),"")),")",""),"(","")</f>
        <v>Utilities and public transportation</v>
      </c>
    </row>
    <row r="840" spans="1:8" x14ac:dyDescent="0.25">
      <c r="A840">
        <v>2017</v>
      </c>
      <c r="B840">
        <v>5</v>
      </c>
      <c r="C840" t="s">
        <v>36</v>
      </c>
      <c r="D840">
        <v>3.9980000000000002</v>
      </c>
      <c r="E840">
        <v>-0.5</v>
      </c>
      <c r="F840">
        <v>-0.02</v>
      </c>
      <c r="H840" s="4" t="str">
        <f t="array" aca="1" ref="H840" ca="1">SUBSTITUTE(SUBSTITUTE(_xlfn.TEXTJOIN("",TRUE,IF(ISERR(MID(C840,ROW(INDIRECT("1:100")),1)+0),MID(C840,ROW(INDIRECT("1:100")),1),"")),")",""),"(","")</f>
        <v>Household furnishings and operations</v>
      </c>
    </row>
    <row r="841" spans="1:8" x14ac:dyDescent="0.25">
      <c r="A841">
        <v>2017</v>
      </c>
      <c r="B841">
        <v>5</v>
      </c>
      <c r="C841" t="s">
        <v>12</v>
      </c>
      <c r="D841">
        <v>3.1749999999999998</v>
      </c>
      <c r="E841">
        <v>2.4</v>
      </c>
      <c r="F841">
        <v>7.4999999999999997E-2</v>
      </c>
      <c r="H841" s="4" t="str">
        <f t="array" aca="1" ref="H841" ca="1">SUBSTITUTE(SUBSTITUTE(_xlfn.TEXTJOIN("",TRUE,IF(ISERR(MID(C841,ROW(INDIRECT("1:100")),1)+0),MID(C841,ROW(INDIRECT("1:100")),1),"")),")",""),"(","")</f>
        <v>Other goods and services</v>
      </c>
    </row>
    <row r="842" spans="1:8" x14ac:dyDescent="0.25">
      <c r="A842">
        <v>2017</v>
      </c>
      <c r="B842">
        <v>6</v>
      </c>
      <c r="C842" t="s">
        <v>14</v>
      </c>
      <c r="D842">
        <v>100</v>
      </c>
      <c r="E842">
        <v>1.6</v>
      </c>
      <c r="H842" s="4" t="str">
        <f t="array" aca="1" ref="H842" ca="1">SUBSTITUTE(SUBSTITUTE(_xlfn.TEXTJOIN("",TRUE,IF(ISERR(MID(C842,ROW(INDIRECT("1:100")),1)+0),MID(C842,ROW(INDIRECT("1:100")),1),"")),")",""),"(","")</f>
        <v>All items</v>
      </c>
    </row>
    <row r="843" spans="1:8" x14ac:dyDescent="0.25">
      <c r="A843">
        <v>2017</v>
      </c>
      <c r="B843">
        <v>6</v>
      </c>
      <c r="C843" t="s">
        <v>15</v>
      </c>
      <c r="D843">
        <v>13.661</v>
      </c>
      <c r="E843">
        <v>0.9</v>
      </c>
      <c r="F843">
        <v>0.12</v>
      </c>
      <c r="H843" s="4" t="str">
        <f t="array" aca="1" ref="H843" ca="1">SUBSTITUTE(SUBSTITUTE(_xlfn.TEXTJOIN("",TRUE,IF(ISERR(MID(C843,ROW(INDIRECT("1:100")),1)+0),MID(C843,ROW(INDIRECT("1:100")),1),"")),")",""),"(","")</f>
        <v>Food</v>
      </c>
    </row>
    <row r="844" spans="1:8" x14ac:dyDescent="0.25">
      <c r="A844">
        <v>2017</v>
      </c>
      <c r="B844">
        <v>6</v>
      </c>
      <c r="C844" t="s">
        <v>16</v>
      </c>
      <c r="D844">
        <v>7.2969999999999997</v>
      </c>
      <c r="E844">
        <v>2.2999999999999998</v>
      </c>
      <c r="F844">
        <v>0.16800000000000001</v>
      </c>
      <c r="H844" s="4" t="str">
        <f t="array" aca="1" ref="H844" ca="1">SUBSTITUTE(SUBSTITUTE(_xlfn.TEXTJOIN("",TRUE,IF(ISERR(MID(C844,ROW(INDIRECT("1:100")),1)+0),MID(C844,ROW(INDIRECT("1:100")),1),"")),")",""),"(","")</f>
        <v>Energy</v>
      </c>
    </row>
    <row r="845" spans="1:8" x14ac:dyDescent="0.25">
      <c r="A845">
        <v>2017</v>
      </c>
      <c r="B845">
        <v>6</v>
      </c>
      <c r="C845" t="s">
        <v>17</v>
      </c>
      <c r="D845">
        <v>79.042000000000002</v>
      </c>
      <c r="E845">
        <v>1.7</v>
      </c>
      <c r="F845">
        <v>1.345</v>
      </c>
      <c r="H845" s="4" t="str">
        <f t="array" aca="1" ref="H845" ca="1">SUBSTITUTE(SUBSTITUTE(_xlfn.TEXTJOIN("",TRUE,IF(ISERR(MID(C845,ROW(INDIRECT("1:100")),1)+0),MID(C845,ROW(INDIRECT("1:100")),1),"")),")",""),"(","")</f>
        <v>All items less food and energy</v>
      </c>
    </row>
    <row r="846" spans="1:8" x14ac:dyDescent="0.25">
      <c r="A846">
        <v>2017</v>
      </c>
      <c r="B846">
        <v>6</v>
      </c>
      <c r="C846" t="s">
        <v>18</v>
      </c>
      <c r="H846" s="4" t="str">
        <f t="array" aca="1" ref="H846" ca="1">SUBSTITUTE(SUBSTITUTE(_xlfn.TEXTJOIN("",TRUE,IF(ISERR(MID(C846,ROW(INDIRECT("1:100")),1)+0),MID(C846,ROW(INDIRECT("1:100")),1),"")),")",""),"(","")</f>
        <v>Special aggregate indexes</v>
      </c>
    </row>
    <row r="847" spans="1:8" x14ac:dyDescent="0.25">
      <c r="A847">
        <v>2017</v>
      </c>
      <c r="B847">
        <v>6</v>
      </c>
      <c r="C847" t="s">
        <v>19</v>
      </c>
      <c r="D847">
        <v>86.338999999999999</v>
      </c>
      <c r="E847">
        <v>1.8</v>
      </c>
      <c r="F847">
        <v>1.5129999999999999</v>
      </c>
      <c r="H847" s="4" t="str">
        <f t="array" aca="1" ref="H847" ca="1">SUBSTITUTE(SUBSTITUTE(_xlfn.TEXTJOIN("",TRUE,IF(ISERR(MID(C847,ROW(INDIRECT("1:100")),1)+0),MID(C847,ROW(INDIRECT("1:100")),1),"")),")",""),"(","")</f>
        <v>All items less food</v>
      </c>
    </row>
    <row r="848" spans="1:8" x14ac:dyDescent="0.25">
      <c r="A848">
        <v>2017</v>
      </c>
      <c r="B848">
        <v>6</v>
      </c>
      <c r="C848" t="s">
        <v>20</v>
      </c>
      <c r="D848">
        <v>66.361000000000004</v>
      </c>
      <c r="E848">
        <v>0.8</v>
      </c>
      <c r="F848">
        <v>0.55300000000000005</v>
      </c>
      <c r="H848" s="4" t="str">
        <f t="array" aca="1" ref="H848" ca="1">SUBSTITUTE(SUBSTITUTE(_xlfn.TEXTJOIN("",TRUE,IF(ISERR(MID(C848,ROW(INDIRECT("1:100")),1)+0),MID(C848,ROW(INDIRECT("1:100")),1),"")),")",""),"(","")</f>
        <v>All items less shelter</v>
      </c>
    </row>
    <row r="849" spans="1:8" x14ac:dyDescent="0.25">
      <c r="A849">
        <v>2017</v>
      </c>
      <c r="B849">
        <v>6</v>
      </c>
      <c r="C849" t="s">
        <v>21</v>
      </c>
      <c r="D849">
        <v>52.7</v>
      </c>
      <c r="E849">
        <v>0.8</v>
      </c>
      <c r="F849">
        <v>0.433</v>
      </c>
      <c r="H849" s="4" t="str">
        <f t="array" aca="1" ref="H849" ca="1">SUBSTITUTE(SUBSTITUTE(_xlfn.TEXTJOIN("",TRUE,IF(ISERR(MID(C849,ROW(INDIRECT("1:100")),1)+0),MID(C849,ROW(INDIRECT("1:100")),1),"")),")",""),"(","")</f>
        <v>All items less food and shelter</v>
      </c>
    </row>
    <row r="850" spans="1:8" x14ac:dyDescent="0.25">
      <c r="A850">
        <v>2017</v>
      </c>
      <c r="B850">
        <v>6</v>
      </c>
      <c r="C850" t="s">
        <v>22</v>
      </c>
      <c r="D850">
        <v>45.402999999999999</v>
      </c>
      <c r="E850">
        <v>0.6</v>
      </c>
      <c r="F850">
        <v>0.26500000000000001</v>
      </c>
      <c r="H850" s="4" t="str">
        <f t="array" aca="1" ref="H850" ca="1">SUBSTITUTE(SUBSTITUTE(_xlfn.TEXTJOIN("",TRUE,IF(ISERR(MID(C850,ROW(INDIRECT("1:100")),1)+0),MID(C850,ROW(INDIRECT("1:100")),1),"")),")",""),"(","")</f>
        <v>All items less food, shelter, and energy</v>
      </c>
    </row>
    <row r="851" spans="1:8" x14ac:dyDescent="0.25">
      <c r="A851">
        <v>2017</v>
      </c>
      <c r="B851">
        <v>6</v>
      </c>
      <c r="C851" t="s">
        <v>23</v>
      </c>
      <c r="D851">
        <v>43.395000000000003</v>
      </c>
      <c r="E851">
        <v>0.8</v>
      </c>
      <c r="F851">
        <v>0.35599999999999998</v>
      </c>
      <c r="H851" s="4" t="str">
        <f t="array" aca="1" ref="H851" ca="1">SUBSTITUTE(SUBSTITUTE(_xlfn.TEXTJOIN("",TRUE,IF(ISERR(MID(C851,ROW(INDIRECT("1:100")),1)+0),MID(C851,ROW(INDIRECT("1:100")),1),"")),")",""),"(","")</f>
        <v>All items less food, shelter, energy, and used cars and trucks</v>
      </c>
    </row>
    <row r="852" spans="1:8" x14ac:dyDescent="0.25">
      <c r="A852">
        <v>2017</v>
      </c>
      <c r="B852">
        <v>6</v>
      </c>
      <c r="C852" t="s">
        <v>24</v>
      </c>
      <c r="D852">
        <v>91.503</v>
      </c>
      <c r="E852">
        <v>1.5</v>
      </c>
      <c r="F852">
        <v>1.41</v>
      </c>
      <c r="H852" s="4" t="str">
        <f t="array" aca="1" ref="H852" ca="1">SUBSTITUTE(SUBSTITUTE(_xlfn.TEXTJOIN("",TRUE,IF(ISERR(MID(C852,ROW(INDIRECT("1:100")),1)+0),MID(C852,ROW(INDIRECT("1:100")),1),"")),")",""),"(","")</f>
        <v>All items less medical care</v>
      </c>
    </row>
    <row r="853" spans="1:8" x14ac:dyDescent="0.25">
      <c r="A853">
        <v>2017</v>
      </c>
      <c r="B853">
        <v>6</v>
      </c>
      <c r="C853" t="s">
        <v>25</v>
      </c>
      <c r="D853">
        <v>92.703000000000003</v>
      </c>
      <c r="E853">
        <v>1.6</v>
      </c>
      <c r="F853">
        <v>1.4650000000000001</v>
      </c>
      <c r="H853" s="4" t="str">
        <f t="array" aca="1" ref="H853" ca="1">SUBSTITUTE(SUBSTITUTE(_xlfn.TEXTJOIN("",TRUE,IF(ISERR(MID(C853,ROW(INDIRECT("1:100")),1)+0),MID(C853,ROW(INDIRECT("1:100")),1),"")),")",""),"(","")</f>
        <v>All items less energy</v>
      </c>
    </row>
    <row r="854" spans="1:8" x14ac:dyDescent="0.25">
      <c r="A854">
        <v>2017</v>
      </c>
      <c r="B854">
        <v>6</v>
      </c>
      <c r="C854" t="s">
        <v>26</v>
      </c>
      <c r="D854">
        <v>36.314999999999998</v>
      </c>
      <c r="E854">
        <v>0</v>
      </c>
      <c r="F854">
        <v>-6.0000000000000001E-3</v>
      </c>
      <c r="H854" s="4" t="str">
        <f t="array" aca="1" ref="H854" ca="1">SUBSTITUTE(SUBSTITUTE(_xlfn.TEXTJOIN("",TRUE,IF(ISERR(MID(C854,ROW(INDIRECT("1:100")),1)+0),MID(C854,ROW(INDIRECT("1:100")),1),"")),")",""),"(","")</f>
        <v>Commodities</v>
      </c>
    </row>
    <row r="855" spans="1:8" x14ac:dyDescent="0.25">
      <c r="A855">
        <v>2017</v>
      </c>
      <c r="B855">
        <v>6</v>
      </c>
      <c r="C855" t="s">
        <v>27</v>
      </c>
      <c r="D855">
        <v>63.685000000000002</v>
      </c>
      <c r="E855">
        <v>2.6</v>
      </c>
      <c r="F855">
        <v>1.639</v>
      </c>
      <c r="H855" s="4" t="str">
        <f t="array" aca="1" ref="H855" ca="1">SUBSTITUTE(SUBSTITUTE(_xlfn.TEXTJOIN("",TRUE,IF(ISERR(MID(C855,ROW(INDIRECT("1:100")),1)+0),MID(C855,ROW(INDIRECT("1:100")),1),"")),")",""),"(","")</f>
        <v>Services</v>
      </c>
    </row>
    <row r="856" spans="1:8" x14ac:dyDescent="0.25">
      <c r="A856">
        <v>2017</v>
      </c>
      <c r="B856">
        <v>6</v>
      </c>
      <c r="C856" t="s">
        <v>28</v>
      </c>
      <c r="D856">
        <v>9.2070000000000007</v>
      </c>
      <c r="E856">
        <v>-1.8</v>
      </c>
      <c r="F856">
        <v>-0.16800000000000001</v>
      </c>
      <c r="H856" s="4" t="str">
        <f t="array" aca="1" ref="H856" ca="1">SUBSTITUTE(SUBSTITUTE(_xlfn.TEXTJOIN("",TRUE,IF(ISERR(MID(C856,ROW(INDIRECT("1:100")),1)+0),MID(C856,ROW(INDIRECT("1:100")),1),"")),")",""),"(","")</f>
        <v>Durables</v>
      </c>
    </row>
    <row r="857" spans="1:8" x14ac:dyDescent="0.25">
      <c r="A857">
        <v>2017</v>
      </c>
      <c r="B857">
        <v>6</v>
      </c>
      <c r="C857" t="s">
        <v>29</v>
      </c>
      <c r="D857">
        <v>27.108000000000001</v>
      </c>
      <c r="E857">
        <v>0.6</v>
      </c>
      <c r="F857">
        <v>0.16300000000000001</v>
      </c>
      <c r="H857" s="4" t="str">
        <f t="array" aca="1" ref="H857" ca="1">SUBSTITUTE(SUBSTITUTE(_xlfn.TEXTJOIN("",TRUE,IF(ISERR(MID(C857,ROW(INDIRECT("1:100")),1)+0),MID(C857,ROW(INDIRECT("1:100")),1),"")),")",""),"(","")</f>
        <v>Nondurables</v>
      </c>
    </row>
    <row r="858" spans="1:8" x14ac:dyDescent="0.25">
      <c r="A858">
        <v>2017</v>
      </c>
      <c r="B858">
        <v>6</v>
      </c>
      <c r="C858" t="s">
        <v>8</v>
      </c>
      <c r="D858">
        <v>42.668999999999997</v>
      </c>
      <c r="E858">
        <v>3</v>
      </c>
      <c r="F858">
        <v>1.272</v>
      </c>
      <c r="H858" s="4" t="str">
        <f t="array" aca="1" ref="H858" ca="1">SUBSTITUTE(SUBSTITUTE(_xlfn.TEXTJOIN("",TRUE,IF(ISERR(MID(C858,ROW(INDIRECT("1:100")),1)+0),MID(C858,ROW(INDIRECT("1:100")),1),"")),")",""),"(","")</f>
        <v>Housing</v>
      </c>
    </row>
    <row r="859" spans="1:8" x14ac:dyDescent="0.25">
      <c r="A859">
        <v>2017</v>
      </c>
      <c r="B859">
        <v>6</v>
      </c>
      <c r="C859" t="s">
        <v>30</v>
      </c>
      <c r="D859">
        <v>6.7160000000000002</v>
      </c>
      <c r="E859">
        <v>-2.4</v>
      </c>
      <c r="F859">
        <v>-0.17100000000000001</v>
      </c>
      <c r="H859" s="4" t="str">
        <f t="array" aca="1" ref="H859" ca="1">SUBSTITUTE(SUBSTITUTE(_xlfn.TEXTJOIN("",TRUE,IF(ISERR(MID(C859,ROW(INDIRECT("1:100")),1)+0),MID(C859,ROW(INDIRECT("1:100")),1),"")),")",""),"(","")</f>
        <v>Education and communication</v>
      </c>
    </row>
    <row r="860" spans="1:8" x14ac:dyDescent="0.25">
      <c r="A860">
        <v>2017</v>
      </c>
      <c r="B860">
        <v>6</v>
      </c>
      <c r="C860" t="s">
        <v>31</v>
      </c>
      <c r="D860">
        <v>5.6829999999999998</v>
      </c>
      <c r="E860">
        <v>0.8</v>
      </c>
      <c r="F860">
        <v>4.5999999999999999E-2</v>
      </c>
      <c r="H860" s="4" t="str">
        <f t="array" aca="1" ref="H860" ca="1">SUBSTITUTE(SUBSTITUTE(_xlfn.TEXTJOIN("",TRUE,IF(ISERR(MID(C860,ROW(INDIRECT("1:100")),1)+0),MID(C860,ROW(INDIRECT("1:100")),1),"")),")",""),"(","")</f>
        <v>Recreation</v>
      </c>
    </row>
    <row r="861" spans="1:8" x14ac:dyDescent="0.25">
      <c r="A861">
        <v>2017</v>
      </c>
      <c r="B861">
        <v>6</v>
      </c>
      <c r="C861" t="s">
        <v>6</v>
      </c>
      <c r="D861">
        <v>14.605</v>
      </c>
      <c r="E861">
        <v>0.9</v>
      </c>
      <c r="F861">
        <v>0.13</v>
      </c>
      <c r="H861" s="4" t="str">
        <f t="array" aca="1" ref="H861" ca="1">SUBSTITUTE(SUBSTITUTE(_xlfn.TEXTJOIN("",TRUE,IF(ISERR(MID(C861,ROW(INDIRECT("1:100")),1)+0),MID(C861,ROW(INDIRECT("1:100")),1),"")),")",""),"(","")</f>
        <v>Food and beverages</v>
      </c>
    </row>
    <row r="862" spans="1:8" x14ac:dyDescent="0.25">
      <c r="A862">
        <v>2017</v>
      </c>
      <c r="B862">
        <v>6</v>
      </c>
      <c r="C862" t="s">
        <v>32</v>
      </c>
      <c r="D862">
        <v>11.675000000000001</v>
      </c>
      <c r="E862">
        <v>-0.1</v>
      </c>
      <c r="F862">
        <v>-1.0999999999999999E-2</v>
      </c>
      <c r="H862" s="4" t="str">
        <f t="array" aca="1" ref="H862" ca="1">SUBSTITUTE(SUBSTITUTE(_xlfn.TEXTJOIN("",TRUE,IF(ISERR(MID(C862,ROW(INDIRECT("1:100")),1)+0),MID(C862,ROW(INDIRECT("1:100")),1),"")),")",""),"(","")</f>
        <v>Other services</v>
      </c>
    </row>
    <row r="863" spans="1:8" x14ac:dyDescent="0.25">
      <c r="A863">
        <v>2017</v>
      </c>
      <c r="B863">
        <v>6</v>
      </c>
      <c r="C863" t="s">
        <v>33</v>
      </c>
      <c r="D863">
        <v>2.399</v>
      </c>
      <c r="E863">
        <v>-1.4</v>
      </c>
      <c r="F863">
        <v>-3.4000000000000002E-2</v>
      </c>
      <c r="H863" s="4" t="str">
        <f t="array" aca="1" ref="H863" ca="1">SUBSTITUTE(SUBSTITUTE(_xlfn.TEXTJOIN("",TRUE,IF(ISERR(MID(C863,ROW(INDIRECT("1:100")),1)+0),MID(C863,ROW(INDIRECT("1:100")),1),"")),")",""),"(","")</f>
        <v>Apparel less footwear</v>
      </c>
    </row>
    <row r="864" spans="1:8" x14ac:dyDescent="0.25">
      <c r="A864">
        <v>2017</v>
      </c>
      <c r="B864">
        <v>6</v>
      </c>
      <c r="C864" t="s">
        <v>34</v>
      </c>
      <c r="D864">
        <v>5.0380000000000003</v>
      </c>
      <c r="E864">
        <v>4.3</v>
      </c>
      <c r="F864">
        <v>0.216</v>
      </c>
      <c r="H864" s="4" t="str">
        <f t="array" aca="1" ref="H864" ca="1">SUBSTITUTE(SUBSTITUTE(_xlfn.TEXTJOIN("",TRUE,IF(ISERR(MID(C864,ROW(INDIRECT("1:100")),1)+0),MID(C864,ROW(INDIRECT("1:100")),1),"")),")",""),"(","")</f>
        <v>Fuels and utilities</v>
      </c>
    </row>
    <row r="865" spans="1:8" x14ac:dyDescent="0.25">
      <c r="A865">
        <v>2017</v>
      </c>
      <c r="B865">
        <v>6</v>
      </c>
      <c r="C865" t="s">
        <v>11</v>
      </c>
      <c r="D865">
        <v>8.4969999999999999</v>
      </c>
      <c r="E865">
        <v>2.7</v>
      </c>
      <c r="F865">
        <v>0.224</v>
      </c>
      <c r="H865" s="4" t="str">
        <f t="array" aca="1" ref="H865" ca="1">SUBSTITUTE(SUBSTITUTE(_xlfn.TEXTJOIN("",TRUE,IF(ISERR(MID(C865,ROW(INDIRECT("1:100")),1)+0),MID(C865,ROW(INDIRECT("1:100")),1),"")),")",""),"(","")</f>
        <v>Medical care</v>
      </c>
    </row>
    <row r="866" spans="1:8" x14ac:dyDescent="0.25">
      <c r="A866">
        <v>2017</v>
      </c>
      <c r="B866">
        <v>6</v>
      </c>
      <c r="C866" t="s">
        <v>7</v>
      </c>
      <c r="D866">
        <v>15.57</v>
      </c>
      <c r="E866">
        <v>0.5</v>
      </c>
      <c r="F866">
        <v>7.8E-2</v>
      </c>
      <c r="H866" s="4" t="str">
        <f t="array" aca="1" ref="H866" ca="1">SUBSTITUTE(SUBSTITUTE(_xlfn.TEXTJOIN("",TRUE,IF(ISERR(MID(C866,ROW(INDIRECT("1:100")),1)+0),MID(C866,ROW(INDIRECT("1:100")),1),"")),")",""),"(","")</f>
        <v>Transportation</v>
      </c>
    </row>
    <row r="867" spans="1:8" x14ac:dyDescent="0.25">
      <c r="A867">
        <v>2017</v>
      </c>
      <c r="B867">
        <v>6</v>
      </c>
      <c r="C867" t="s">
        <v>35</v>
      </c>
      <c r="D867">
        <v>9.8490000000000002</v>
      </c>
      <c r="E867">
        <v>0.3</v>
      </c>
      <c r="F867">
        <v>2.8000000000000001E-2</v>
      </c>
      <c r="H867" s="4" t="str">
        <f t="array" aca="1" ref="H867" ca="1">SUBSTITUTE(SUBSTITUTE(_xlfn.TEXTJOIN("",TRUE,IF(ISERR(MID(C867,ROW(INDIRECT("1:100")),1)+0),MID(C867,ROW(INDIRECT("1:100")),1),"")),")",""),"(","")</f>
        <v>Utilities and public transportation</v>
      </c>
    </row>
    <row r="868" spans="1:8" x14ac:dyDescent="0.25">
      <c r="A868">
        <v>2017</v>
      </c>
      <c r="B868">
        <v>6</v>
      </c>
      <c r="C868" t="s">
        <v>36</v>
      </c>
      <c r="D868">
        <v>3.992</v>
      </c>
      <c r="E868">
        <v>-0.6</v>
      </c>
      <c r="F868">
        <v>-2.5000000000000001E-2</v>
      </c>
      <c r="H868" s="4" t="str">
        <f t="array" aca="1" ref="H868" ca="1">SUBSTITUTE(SUBSTITUTE(_xlfn.TEXTJOIN("",TRUE,IF(ISERR(MID(C868,ROW(INDIRECT("1:100")),1)+0),MID(C868,ROW(INDIRECT("1:100")),1),"")),")",""),"(","")</f>
        <v>Household furnishings and operations</v>
      </c>
    </row>
    <row r="869" spans="1:8" x14ac:dyDescent="0.25">
      <c r="A869">
        <v>2017</v>
      </c>
      <c r="B869">
        <v>6</v>
      </c>
      <c r="C869" t="s">
        <v>12</v>
      </c>
      <c r="D869">
        <v>3.17</v>
      </c>
      <c r="E869">
        <v>2.4</v>
      </c>
      <c r="F869">
        <v>7.5999999999999998E-2</v>
      </c>
      <c r="H869" s="4" t="str">
        <f t="array" aca="1" ref="H869" ca="1">SUBSTITUTE(SUBSTITUTE(_xlfn.TEXTJOIN("",TRUE,IF(ISERR(MID(C869,ROW(INDIRECT("1:100")),1)+0),MID(C869,ROW(INDIRECT("1:100")),1),"")),")",""),"(","")</f>
        <v>Other goods and services</v>
      </c>
    </row>
    <row r="870" spans="1:8" x14ac:dyDescent="0.25">
      <c r="A870">
        <v>2017</v>
      </c>
      <c r="B870">
        <v>7</v>
      </c>
      <c r="C870" t="s">
        <v>14</v>
      </c>
      <c r="D870">
        <v>100</v>
      </c>
      <c r="E870">
        <v>1.7</v>
      </c>
      <c r="H870" s="4" t="str">
        <f t="array" aca="1" ref="H870" ca="1">SUBSTITUTE(SUBSTITUTE(_xlfn.TEXTJOIN("",TRUE,IF(ISERR(MID(C870,ROW(INDIRECT("1:100")),1)+0),MID(C870,ROW(INDIRECT("1:100")),1),"")),")",""),"(","")</f>
        <v>All items</v>
      </c>
    </row>
    <row r="871" spans="1:8" x14ac:dyDescent="0.25">
      <c r="A871">
        <v>2017</v>
      </c>
      <c r="B871">
        <v>7</v>
      </c>
      <c r="C871" t="s">
        <v>15</v>
      </c>
      <c r="D871">
        <v>13.628</v>
      </c>
      <c r="E871">
        <v>1.1000000000000001</v>
      </c>
      <c r="F871">
        <v>0.14799999999999999</v>
      </c>
      <c r="H871" s="4" t="str">
        <f t="array" aca="1" ref="H871" ca="1">SUBSTITUTE(SUBSTITUTE(_xlfn.TEXTJOIN("",TRUE,IF(ISERR(MID(C871,ROW(INDIRECT("1:100")),1)+0),MID(C871,ROW(INDIRECT("1:100")),1),"")),")",""),"(","")</f>
        <v>Food</v>
      </c>
    </row>
    <row r="872" spans="1:8" x14ac:dyDescent="0.25">
      <c r="A872">
        <v>2017</v>
      </c>
      <c r="B872">
        <v>7</v>
      </c>
      <c r="C872" t="s">
        <v>16</v>
      </c>
      <c r="D872">
        <v>7.3449999999999998</v>
      </c>
      <c r="E872">
        <v>3.4</v>
      </c>
      <c r="F872">
        <v>0.24199999999999999</v>
      </c>
      <c r="H872" s="4" t="str">
        <f t="array" aca="1" ref="H872" ca="1">SUBSTITUTE(SUBSTITUTE(_xlfn.TEXTJOIN("",TRUE,IF(ISERR(MID(C872,ROW(INDIRECT("1:100")),1)+0),MID(C872,ROW(INDIRECT("1:100")),1),"")),")",""),"(","")</f>
        <v>Energy</v>
      </c>
    </row>
    <row r="873" spans="1:8" x14ac:dyDescent="0.25">
      <c r="A873">
        <v>2017</v>
      </c>
      <c r="B873">
        <v>7</v>
      </c>
      <c r="C873" t="s">
        <v>17</v>
      </c>
      <c r="D873">
        <v>79.027000000000001</v>
      </c>
      <c r="E873">
        <v>1.7</v>
      </c>
      <c r="F873">
        <v>1.3380000000000001</v>
      </c>
      <c r="H873" s="4" t="str">
        <f t="array" aca="1" ref="H873" ca="1">SUBSTITUTE(SUBSTITUTE(_xlfn.TEXTJOIN("",TRUE,IF(ISERR(MID(C873,ROW(INDIRECT("1:100")),1)+0),MID(C873,ROW(INDIRECT("1:100")),1),"")),")",""),"(","")</f>
        <v>All items less food and energy</v>
      </c>
    </row>
    <row r="874" spans="1:8" x14ac:dyDescent="0.25">
      <c r="A874">
        <v>2017</v>
      </c>
      <c r="B874">
        <v>7</v>
      </c>
      <c r="C874" t="s">
        <v>18</v>
      </c>
      <c r="H874" s="4" t="str">
        <f t="array" aca="1" ref="H874" ca="1">SUBSTITUTE(SUBSTITUTE(_xlfn.TEXTJOIN("",TRUE,IF(ISERR(MID(C874,ROW(INDIRECT("1:100")),1)+0),MID(C874,ROW(INDIRECT("1:100")),1),"")),")",""),"(","")</f>
        <v>Special aggregate indexes</v>
      </c>
    </row>
    <row r="875" spans="1:8" x14ac:dyDescent="0.25">
      <c r="A875">
        <v>2017</v>
      </c>
      <c r="B875">
        <v>7</v>
      </c>
      <c r="C875" t="s">
        <v>19</v>
      </c>
      <c r="D875">
        <v>86.372</v>
      </c>
      <c r="E875">
        <v>1.8</v>
      </c>
      <c r="F875">
        <v>1.58</v>
      </c>
      <c r="H875" s="4" t="str">
        <f t="array" aca="1" ref="H875" ca="1">SUBSTITUTE(SUBSTITUTE(_xlfn.TEXTJOIN("",TRUE,IF(ISERR(MID(C875,ROW(INDIRECT("1:100")),1)+0),MID(C875,ROW(INDIRECT("1:100")),1),"")),")",""),"(","")</f>
        <v>All items less food</v>
      </c>
    </row>
    <row r="876" spans="1:8" x14ac:dyDescent="0.25">
      <c r="A876">
        <v>2017</v>
      </c>
      <c r="B876">
        <v>7</v>
      </c>
      <c r="C876" t="s">
        <v>20</v>
      </c>
      <c r="D876">
        <v>66.284000000000006</v>
      </c>
      <c r="E876">
        <v>1</v>
      </c>
      <c r="F876">
        <v>0.67300000000000004</v>
      </c>
      <c r="H876" s="4" t="str">
        <f t="array" aca="1" ref="H876" ca="1">SUBSTITUTE(SUBSTITUTE(_xlfn.TEXTJOIN("",TRUE,IF(ISERR(MID(C876,ROW(INDIRECT("1:100")),1)+0),MID(C876,ROW(INDIRECT("1:100")),1),"")),")",""),"(","")</f>
        <v>All items less shelter</v>
      </c>
    </row>
    <row r="877" spans="1:8" x14ac:dyDescent="0.25">
      <c r="A877">
        <v>2017</v>
      </c>
      <c r="B877">
        <v>7</v>
      </c>
      <c r="C877" t="s">
        <v>21</v>
      </c>
      <c r="D877">
        <v>52.655999999999999</v>
      </c>
      <c r="E877">
        <v>1</v>
      </c>
      <c r="F877">
        <v>0.52500000000000002</v>
      </c>
      <c r="H877" s="4" t="str">
        <f t="array" aca="1" ref="H877" ca="1">SUBSTITUTE(SUBSTITUTE(_xlfn.TEXTJOIN("",TRUE,IF(ISERR(MID(C877,ROW(INDIRECT("1:100")),1)+0),MID(C877,ROW(INDIRECT("1:100")),1),"")),")",""),"(","")</f>
        <v>All items less food and shelter</v>
      </c>
    </row>
    <row r="878" spans="1:8" x14ac:dyDescent="0.25">
      <c r="A878">
        <v>2017</v>
      </c>
      <c r="B878">
        <v>7</v>
      </c>
      <c r="C878" t="s">
        <v>22</v>
      </c>
      <c r="D878">
        <v>45.311</v>
      </c>
      <c r="E878">
        <v>0.6</v>
      </c>
      <c r="F878">
        <v>0.28399999999999997</v>
      </c>
      <c r="H878" s="4" t="str">
        <f t="array" aca="1" ref="H878" ca="1">SUBSTITUTE(SUBSTITUTE(_xlfn.TEXTJOIN("",TRUE,IF(ISERR(MID(C878,ROW(INDIRECT("1:100")),1)+0),MID(C878,ROW(INDIRECT("1:100")),1),"")),")",""),"(","")</f>
        <v>All items less food, shelter, and energy</v>
      </c>
    </row>
    <row r="879" spans="1:8" x14ac:dyDescent="0.25">
      <c r="A879">
        <v>2017</v>
      </c>
      <c r="B879">
        <v>7</v>
      </c>
      <c r="C879" t="s">
        <v>23</v>
      </c>
      <c r="D879">
        <v>43.317999999999998</v>
      </c>
      <c r="E879">
        <v>0.8</v>
      </c>
      <c r="F879">
        <v>0.37</v>
      </c>
      <c r="H879" s="4" t="str">
        <f t="array" aca="1" ref="H879" ca="1">SUBSTITUTE(SUBSTITUTE(_xlfn.TEXTJOIN("",TRUE,IF(ISERR(MID(C879,ROW(INDIRECT("1:100")),1)+0),MID(C879,ROW(INDIRECT("1:100")),1),"")),")",""),"(","")</f>
        <v>All items less food, shelter, energy, and used cars and trucks</v>
      </c>
    </row>
    <row r="880" spans="1:8" x14ac:dyDescent="0.25">
      <c r="A880">
        <v>2017</v>
      </c>
      <c r="B880">
        <v>7</v>
      </c>
      <c r="C880" t="s">
        <v>24</v>
      </c>
      <c r="D880">
        <v>91.495999999999995</v>
      </c>
      <c r="E880">
        <v>1.6</v>
      </c>
      <c r="F880">
        <v>1.5089999999999999</v>
      </c>
      <c r="H880" s="4" t="str">
        <f t="array" aca="1" ref="H880" ca="1">SUBSTITUTE(SUBSTITUTE(_xlfn.TEXTJOIN("",TRUE,IF(ISERR(MID(C880,ROW(INDIRECT("1:100")),1)+0),MID(C880,ROW(INDIRECT("1:100")),1),"")),")",""),"(","")</f>
        <v>All items less medical care</v>
      </c>
    </row>
    <row r="881" spans="1:8" x14ac:dyDescent="0.25">
      <c r="A881">
        <v>2017</v>
      </c>
      <c r="B881">
        <v>7</v>
      </c>
      <c r="C881" t="s">
        <v>25</v>
      </c>
      <c r="D881">
        <v>92.655000000000001</v>
      </c>
      <c r="E881">
        <v>1.6</v>
      </c>
      <c r="F881">
        <v>1.486</v>
      </c>
      <c r="H881" s="4" t="str">
        <f t="array" aca="1" ref="H881" ca="1">SUBSTITUTE(SUBSTITUTE(_xlfn.TEXTJOIN("",TRUE,IF(ISERR(MID(C881,ROW(INDIRECT("1:100")),1)+0),MID(C881,ROW(INDIRECT("1:100")),1),"")),")",""),"(","")</f>
        <v>All items less energy</v>
      </c>
    </row>
    <row r="882" spans="1:8" x14ac:dyDescent="0.25">
      <c r="A882">
        <v>2017</v>
      </c>
      <c r="B882">
        <v>7</v>
      </c>
      <c r="C882" t="s">
        <v>26</v>
      </c>
      <c r="D882">
        <v>36.128</v>
      </c>
      <c r="E882">
        <v>0.4</v>
      </c>
      <c r="F882">
        <v>0.13300000000000001</v>
      </c>
      <c r="H882" s="4" t="str">
        <f t="array" aca="1" ref="H882" ca="1">SUBSTITUTE(SUBSTITUTE(_xlfn.TEXTJOIN("",TRUE,IF(ISERR(MID(C882,ROW(INDIRECT("1:100")),1)+0),MID(C882,ROW(INDIRECT("1:100")),1),"")),")",""),"(","")</f>
        <v>Commodities</v>
      </c>
    </row>
    <row r="883" spans="1:8" x14ac:dyDescent="0.25">
      <c r="A883">
        <v>2017</v>
      </c>
      <c r="B883">
        <v>7</v>
      </c>
      <c r="C883" t="s">
        <v>27</v>
      </c>
      <c r="D883">
        <v>63.872</v>
      </c>
      <c r="E883">
        <v>2.5</v>
      </c>
      <c r="F883">
        <v>1.5940000000000001</v>
      </c>
      <c r="H883" s="4" t="str">
        <f t="array" aca="1" ref="H883" ca="1">SUBSTITUTE(SUBSTITUTE(_xlfn.TEXTJOIN("",TRUE,IF(ISERR(MID(C883,ROW(INDIRECT("1:100")),1)+0),MID(C883,ROW(INDIRECT("1:100")),1),"")),")",""),"(","")</f>
        <v>Services</v>
      </c>
    </row>
    <row r="884" spans="1:8" x14ac:dyDescent="0.25">
      <c r="A884">
        <v>2017</v>
      </c>
      <c r="B884">
        <v>7</v>
      </c>
      <c r="C884" t="s">
        <v>28</v>
      </c>
      <c r="D884">
        <v>9.1690000000000005</v>
      </c>
      <c r="E884">
        <v>-2</v>
      </c>
      <c r="F884">
        <v>-0.188</v>
      </c>
      <c r="H884" s="4" t="str">
        <f t="array" aca="1" ref="H884" ca="1">SUBSTITUTE(SUBSTITUTE(_xlfn.TEXTJOIN("",TRUE,IF(ISERR(MID(C884,ROW(INDIRECT("1:100")),1)+0),MID(C884,ROW(INDIRECT("1:100")),1),"")),")",""),"(","")</f>
        <v>Durables</v>
      </c>
    </row>
    <row r="885" spans="1:8" x14ac:dyDescent="0.25">
      <c r="A885">
        <v>2017</v>
      </c>
      <c r="B885">
        <v>7</v>
      </c>
      <c r="C885" t="s">
        <v>29</v>
      </c>
      <c r="D885">
        <v>26.959</v>
      </c>
      <c r="E885">
        <v>1.2</v>
      </c>
      <c r="F885">
        <v>0.32100000000000001</v>
      </c>
      <c r="H885" s="4" t="str">
        <f t="array" aca="1" ref="H885" ca="1">SUBSTITUTE(SUBSTITUTE(_xlfn.TEXTJOIN("",TRUE,IF(ISERR(MID(C885,ROW(INDIRECT("1:100")),1)+0),MID(C885,ROW(INDIRECT("1:100")),1),"")),")",""),"(","")</f>
        <v>Nondurables</v>
      </c>
    </row>
    <row r="886" spans="1:8" x14ac:dyDescent="0.25">
      <c r="A886">
        <v>2017</v>
      </c>
      <c r="B886">
        <v>7</v>
      </c>
      <c r="C886" t="s">
        <v>8</v>
      </c>
      <c r="D886">
        <v>42.844000000000001</v>
      </c>
      <c r="E886">
        <v>2.8</v>
      </c>
      <c r="F886">
        <v>1.202</v>
      </c>
      <c r="H886" s="4" t="str">
        <f t="array" aca="1" ref="H886" ca="1">SUBSTITUTE(SUBSTITUTE(_xlfn.TEXTJOIN("",TRUE,IF(ISERR(MID(C886,ROW(INDIRECT("1:100")),1)+0),MID(C886,ROW(INDIRECT("1:100")),1),"")),")",""),"(","")</f>
        <v>Housing</v>
      </c>
    </row>
    <row r="887" spans="1:8" x14ac:dyDescent="0.25">
      <c r="A887">
        <v>2017</v>
      </c>
      <c r="B887">
        <v>7</v>
      </c>
      <c r="C887" t="s">
        <v>30</v>
      </c>
      <c r="D887">
        <v>6.7069999999999999</v>
      </c>
      <c r="E887">
        <v>-2.5</v>
      </c>
      <c r="F887">
        <v>-0.17100000000000001</v>
      </c>
      <c r="H887" s="4" t="str">
        <f t="array" aca="1" ref="H887" ca="1">SUBSTITUTE(SUBSTITUTE(_xlfn.TEXTJOIN("",TRUE,IF(ISERR(MID(C887,ROW(INDIRECT("1:100")),1)+0),MID(C887,ROW(INDIRECT("1:100")),1),"")),")",""),"(","")</f>
        <v>Education and communication</v>
      </c>
    </row>
    <row r="888" spans="1:8" x14ac:dyDescent="0.25">
      <c r="A888">
        <v>2017</v>
      </c>
      <c r="B888">
        <v>7</v>
      </c>
      <c r="C888" t="s">
        <v>31</v>
      </c>
      <c r="D888">
        <v>5.6749999999999998</v>
      </c>
      <c r="E888">
        <v>1.3</v>
      </c>
      <c r="F888">
        <v>7.2999999999999995E-2</v>
      </c>
      <c r="H888" s="4" t="str">
        <f t="array" aca="1" ref="H888" ca="1">SUBSTITUTE(SUBSTITUTE(_xlfn.TEXTJOIN("",TRUE,IF(ISERR(MID(C888,ROW(INDIRECT("1:100")),1)+0),MID(C888,ROW(INDIRECT("1:100")),1),"")),")",""),"(","")</f>
        <v>Recreation</v>
      </c>
    </row>
    <row r="889" spans="1:8" x14ac:dyDescent="0.25">
      <c r="A889">
        <v>2017</v>
      </c>
      <c r="B889">
        <v>7</v>
      </c>
      <c r="C889" t="s">
        <v>6</v>
      </c>
      <c r="D889">
        <v>14.571</v>
      </c>
      <c r="E889">
        <v>1.1000000000000001</v>
      </c>
      <c r="F889">
        <v>0.158</v>
      </c>
      <c r="H889" s="4" t="str">
        <f t="array" aca="1" ref="H889" ca="1">SUBSTITUTE(SUBSTITUTE(_xlfn.TEXTJOIN("",TRUE,IF(ISERR(MID(C889,ROW(INDIRECT("1:100")),1)+0),MID(C889,ROW(INDIRECT("1:100")),1),"")),")",""),"(","")</f>
        <v>Food and beverages</v>
      </c>
    </row>
    <row r="890" spans="1:8" x14ac:dyDescent="0.25">
      <c r="A890">
        <v>2017</v>
      </c>
      <c r="B890">
        <v>7</v>
      </c>
      <c r="C890" t="s">
        <v>32</v>
      </c>
      <c r="D890">
        <v>11.666</v>
      </c>
      <c r="E890">
        <v>0</v>
      </c>
      <c r="F890">
        <v>4.0000000000000001E-3</v>
      </c>
      <c r="H890" s="4" t="str">
        <f t="array" aca="1" ref="H890" ca="1">SUBSTITUTE(SUBSTITUTE(_xlfn.TEXTJOIN("",TRUE,IF(ISERR(MID(C890,ROW(INDIRECT("1:100")),1)+0),MID(C890,ROW(INDIRECT("1:100")),1),"")),")",""),"(","")</f>
        <v>Other services</v>
      </c>
    </row>
    <row r="891" spans="1:8" x14ac:dyDescent="0.25">
      <c r="A891">
        <v>2017</v>
      </c>
      <c r="B891">
        <v>7</v>
      </c>
      <c r="C891" t="s">
        <v>33</v>
      </c>
      <c r="D891">
        <v>2.3559999999999999</v>
      </c>
      <c r="E891">
        <v>-0.8</v>
      </c>
      <c r="F891">
        <v>-1.9E-2</v>
      </c>
      <c r="H891" s="4" t="str">
        <f t="array" aca="1" ref="H891" ca="1">SUBSTITUTE(SUBSTITUTE(_xlfn.TEXTJOIN("",TRUE,IF(ISERR(MID(C891,ROW(INDIRECT("1:100")),1)+0),MID(C891,ROW(INDIRECT("1:100")),1),"")),")",""),"(","")</f>
        <v>Apparel less footwear</v>
      </c>
    </row>
    <row r="892" spans="1:8" x14ac:dyDescent="0.25">
      <c r="A892">
        <v>2017</v>
      </c>
      <c r="B892">
        <v>7</v>
      </c>
      <c r="C892" t="s">
        <v>34</v>
      </c>
      <c r="D892">
        <v>5.1470000000000002</v>
      </c>
      <c r="E892">
        <v>3.6</v>
      </c>
      <c r="F892">
        <v>0.182</v>
      </c>
      <c r="H892" s="4" t="str">
        <f t="array" aca="1" ref="H892" ca="1">SUBSTITUTE(SUBSTITUTE(_xlfn.TEXTJOIN("",TRUE,IF(ISERR(MID(C892,ROW(INDIRECT("1:100")),1)+0),MID(C892,ROW(INDIRECT("1:100")),1),"")),")",""),"(","")</f>
        <v>Fuels and utilities</v>
      </c>
    </row>
    <row r="893" spans="1:8" x14ac:dyDescent="0.25">
      <c r="A893">
        <v>2017</v>
      </c>
      <c r="B893">
        <v>7</v>
      </c>
      <c r="C893" t="s">
        <v>11</v>
      </c>
      <c r="D893">
        <v>8.5039999999999996</v>
      </c>
      <c r="E893">
        <v>2.6</v>
      </c>
      <c r="F893">
        <v>0.218</v>
      </c>
      <c r="H893" s="4" t="str">
        <f t="array" aca="1" ref="H893" ca="1">SUBSTITUTE(SUBSTITUTE(_xlfn.TEXTJOIN("",TRUE,IF(ISERR(MID(C893,ROW(INDIRECT("1:100")),1)+0),MID(C893,ROW(INDIRECT("1:100")),1),"")),")",""),"(","")</f>
        <v>Medical care</v>
      </c>
    </row>
    <row r="894" spans="1:8" x14ac:dyDescent="0.25">
      <c r="A894">
        <v>2017</v>
      </c>
      <c r="B894">
        <v>7</v>
      </c>
      <c r="C894" t="s">
        <v>7</v>
      </c>
      <c r="D894">
        <v>15.483000000000001</v>
      </c>
      <c r="E894">
        <v>1.2</v>
      </c>
      <c r="F894">
        <v>0.182</v>
      </c>
      <c r="H894" s="4" t="str">
        <f t="array" aca="1" ref="H894" ca="1">SUBSTITUTE(SUBSTITUTE(_xlfn.TEXTJOIN("",TRUE,IF(ISERR(MID(C894,ROW(INDIRECT("1:100")),1)+0),MID(C894,ROW(INDIRECT("1:100")),1),"")),")",""),"(","")</f>
        <v>Transportation</v>
      </c>
    </row>
    <row r="895" spans="1:8" x14ac:dyDescent="0.25">
      <c r="A895">
        <v>2017</v>
      </c>
      <c r="B895">
        <v>7</v>
      </c>
      <c r="C895" t="s">
        <v>35</v>
      </c>
      <c r="D895">
        <v>9.9390000000000001</v>
      </c>
      <c r="E895">
        <v>0.2</v>
      </c>
      <c r="F895">
        <v>1.4999999999999999E-2</v>
      </c>
      <c r="H895" s="4" t="str">
        <f t="array" aca="1" ref="H895" ca="1">SUBSTITUTE(SUBSTITUTE(_xlfn.TEXTJOIN("",TRUE,IF(ISERR(MID(C895,ROW(INDIRECT("1:100")),1)+0),MID(C895,ROW(INDIRECT("1:100")),1),"")),")",""),"(","")</f>
        <v>Utilities and public transportation</v>
      </c>
    </row>
    <row r="896" spans="1:8" x14ac:dyDescent="0.25">
      <c r="A896">
        <v>2017</v>
      </c>
      <c r="B896">
        <v>7</v>
      </c>
      <c r="C896" t="s">
        <v>36</v>
      </c>
      <c r="D896">
        <v>3.9809999999999999</v>
      </c>
      <c r="E896">
        <v>-0.9</v>
      </c>
      <c r="F896">
        <v>-3.5000000000000003E-2</v>
      </c>
      <c r="H896" s="4" t="str">
        <f t="array" aca="1" ref="H896" ca="1">SUBSTITUTE(SUBSTITUTE(_xlfn.TEXTJOIN("",TRUE,IF(ISERR(MID(C896,ROW(INDIRECT("1:100")),1)+0),MID(C896,ROW(INDIRECT("1:100")),1),"")),")",""),"(","")</f>
        <v>Household furnishings and operations</v>
      </c>
    </row>
    <row r="897" spans="1:8" x14ac:dyDescent="0.25">
      <c r="A897">
        <v>2017</v>
      </c>
      <c r="B897">
        <v>7</v>
      </c>
      <c r="C897" t="s">
        <v>12</v>
      </c>
      <c r="D897">
        <v>3.1760000000000002</v>
      </c>
      <c r="E897">
        <v>2.5</v>
      </c>
      <c r="F897">
        <v>7.9000000000000001E-2</v>
      </c>
      <c r="H897" s="4" t="str">
        <f t="array" aca="1" ref="H897" ca="1">SUBSTITUTE(SUBSTITUTE(_xlfn.TEXTJOIN("",TRUE,IF(ISERR(MID(C897,ROW(INDIRECT("1:100")),1)+0),MID(C897,ROW(INDIRECT("1:100")),1),"")),")",""),"(","")</f>
        <v>Other goods and services</v>
      </c>
    </row>
    <row r="898" spans="1:8" x14ac:dyDescent="0.25">
      <c r="A898">
        <v>2017</v>
      </c>
      <c r="B898">
        <v>8</v>
      </c>
      <c r="C898" t="s">
        <v>14</v>
      </c>
      <c r="D898">
        <v>100</v>
      </c>
      <c r="E898">
        <v>1.9</v>
      </c>
      <c r="H898" s="4" t="str">
        <f t="array" aca="1" ref="H898" ca="1">SUBSTITUTE(SUBSTITUTE(_xlfn.TEXTJOIN("",TRUE,IF(ISERR(MID(C898,ROW(INDIRECT("1:100")),1)+0),MID(C898,ROW(INDIRECT("1:100")),1),"")),")",""),"(","")</f>
        <v>All items</v>
      </c>
    </row>
    <row r="899" spans="1:8" x14ac:dyDescent="0.25">
      <c r="A899">
        <v>2017</v>
      </c>
      <c r="B899">
        <v>8</v>
      </c>
      <c r="C899" t="s">
        <v>15</v>
      </c>
      <c r="D899">
        <v>13.667999999999999</v>
      </c>
      <c r="E899">
        <v>1.1000000000000001</v>
      </c>
      <c r="F899">
        <v>0.154</v>
      </c>
      <c r="H899" s="4" t="str">
        <f t="array" aca="1" ref="H899" ca="1">SUBSTITUTE(SUBSTITUTE(_xlfn.TEXTJOIN("",TRUE,IF(ISERR(MID(C899,ROW(INDIRECT("1:100")),1)+0),MID(C899,ROW(INDIRECT("1:100")),1),"")),")",""),"(","")</f>
        <v>Food</v>
      </c>
    </row>
    <row r="900" spans="1:8" x14ac:dyDescent="0.25">
      <c r="A900">
        <v>2017</v>
      </c>
      <c r="B900">
        <v>8</v>
      </c>
      <c r="C900" t="s">
        <v>16</v>
      </c>
      <c r="D900">
        <v>7.2750000000000004</v>
      </c>
      <c r="E900">
        <v>6.4</v>
      </c>
      <c r="F900">
        <v>0.45100000000000001</v>
      </c>
      <c r="H900" s="4" t="str">
        <f t="array" aca="1" ref="H900" ca="1">SUBSTITUTE(SUBSTITUTE(_xlfn.TEXTJOIN("",TRUE,IF(ISERR(MID(C900,ROW(INDIRECT("1:100")),1)+0),MID(C900,ROW(INDIRECT("1:100")),1),"")),")",""),"(","")</f>
        <v>Energy</v>
      </c>
    </row>
    <row r="901" spans="1:8" x14ac:dyDescent="0.25">
      <c r="A901">
        <v>2017</v>
      </c>
      <c r="B901">
        <v>8</v>
      </c>
      <c r="C901" t="s">
        <v>17</v>
      </c>
      <c r="D901">
        <v>79.057000000000002</v>
      </c>
      <c r="E901">
        <v>1.7</v>
      </c>
      <c r="F901">
        <v>1.3340000000000001</v>
      </c>
      <c r="H901" s="4" t="str">
        <f t="array" aca="1" ref="H901" ca="1">SUBSTITUTE(SUBSTITUTE(_xlfn.TEXTJOIN("",TRUE,IF(ISERR(MID(C901,ROW(INDIRECT("1:100")),1)+0),MID(C901,ROW(INDIRECT("1:100")),1),"")),")",""),"(","")</f>
        <v>All items less food and energy</v>
      </c>
    </row>
    <row r="902" spans="1:8" x14ac:dyDescent="0.25">
      <c r="A902">
        <v>2017</v>
      </c>
      <c r="B902">
        <v>8</v>
      </c>
      <c r="C902" t="s">
        <v>18</v>
      </c>
      <c r="H902" s="4" t="str">
        <f t="array" aca="1" ref="H902" ca="1">SUBSTITUTE(SUBSTITUTE(_xlfn.TEXTJOIN("",TRUE,IF(ISERR(MID(C902,ROW(INDIRECT("1:100")),1)+0),MID(C902,ROW(INDIRECT("1:100")),1),"")),")",""),"(","")</f>
        <v>Special aggregate indexes</v>
      </c>
    </row>
    <row r="903" spans="1:8" x14ac:dyDescent="0.25">
      <c r="A903">
        <v>2017</v>
      </c>
      <c r="B903">
        <v>8</v>
      </c>
      <c r="C903" t="s">
        <v>19</v>
      </c>
      <c r="D903">
        <v>86.331999999999994</v>
      </c>
      <c r="E903">
        <v>2.1</v>
      </c>
      <c r="F903">
        <v>1.7849999999999999</v>
      </c>
      <c r="H903" s="4" t="str">
        <f t="array" aca="1" ref="H903" ca="1">SUBSTITUTE(SUBSTITUTE(_xlfn.TEXTJOIN("",TRUE,IF(ISERR(MID(C903,ROW(INDIRECT("1:100")),1)+0),MID(C903,ROW(INDIRECT("1:100")),1),"")),")",""),"(","")</f>
        <v>All items less food</v>
      </c>
    </row>
    <row r="904" spans="1:8" x14ac:dyDescent="0.25">
      <c r="A904">
        <v>2017</v>
      </c>
      <c r="B904">
        <v>8</v>
      </c>
      <c r="C904" t="s">
        <v>20</v>
      </c>
      <c r="D904">
        <v>66.206999999999994</v>
      </c>
      <c r="E904">
        <v>1.3</v>
      </c>
      <c r="F904">
        <v>0.83799999999999997</v>
      </c>
      <c r="H904" s="4" t="str">
        <f t="array" aca="1" ref="H904" ca="1">SUBSTITUTE(SUBSTITUTE(_xlfn.TEXTJOIN("",TRUE,IF(ISERR(MID(C904,ROW(INDIRECT("1:100")),1)+0),MID(C904,ROW(INDIRECT("1:100")),1),"")),")",""),"(","")</f>
        <v>All items less shelter</v>
      </c>
    </row>
    <row r="905" spans="1:8" x14ac:dyDescent="0.25">
      <c r="A905">
        <v>2017</v>
      </c>
      <c r="B905">
        <v>8</v>
      </c>
      <c r="C905" t="s">
        <v>21</v>
      </c>
      <c r="D905">
        <v>52.539000000000001</v>
      </c>
      <c r="E905">
        <v>1.3</v>
      </c>
      <c r="F905">
        <v>0.68400000000000005</v>
      </c>
      <c r="H905" s="4" t="str">
        <f t="array" aca="1" ref="H905" ca="1">SUBSTITUTE(SUBSTITUTE(_xlfn.TEXTJOIN("",TRUE,IF(ISERR(MID(C905,ROW(INDIRECT("1:100")),1)+0),MID(C905,ROW(INDIRECT("1:100")),1),"")),")",""),"(","")</f>
        <v>All items less food and shelter</v>
      </c>
    </row>
    <row r="906" spans="1:8" x14ac:dyDescent="0.25">
      <c r="A906">
        <v>2017</v>
      </c>
      <c r="B906">
        <v>8</v>
      </c>
      <c r="C906" t="s">
        <v>22</v>
      </c>
      <c r="D906">
        <v>45.264000000000003</v>
      </c>
      <c r="E906">
        <v>0.5</v>
      </c>
      <c r="F906">
        <v>0.23200000000000001</v>
      </c>
      <c r="H906" s="4" t="str">
        <f t="array" aca="1" ref="H906" ca="1">SUBSTITUTE(SUBSTITUTE(_xlfn.TEXTJOIN("",TRUE,IF(ISERR(MID(C906,ROW(INDIRECT("1:100")),1)+0),MID(C906,ROW(INDIRECT("1:100")),1),"")),")",""),"(","")</f>
        <v>All items less food, shelter, and energy</v>
      </c>
    </row>
    <row r="907" spans="1:8" x14ac:dyDescent="0.25">
      <c r="A907">
        <v>2017</v>
      </c>
      <c r="B907">
        <v>8</v>
      </c>
      <c r="C907" t="s">
        <v>23</v>
      </c>
      <c r="D907">
        <v>43.276000000000003</v>
      </c>
      <c r="E907">
        <v>0.7</v>
      </c>
      <c r="F907">
        <v>0.312</v>
      </c>
      <c r="H907" s="4" t="str">
        <f t="array" aca="1" ref="H907" ca="1">SUBSTITUTE(SUBSTITUTE(_xlfn.TEXTJOIN("",TRUE,IF(ISERR(MID(C907,ROW(INDIRECT("1:100")),1)+0),MID(C907,ROW(INDIRECT("1:100")),1),"")),")",""),"(","")</f>
        <v>All items less food, shelter, energy, and used cars and trucks</v>
      </c>
    </row>
    <row r="908" spans="1:8" x14ac:dyDescent="0.25">
      <c r="A908">
        <v>2017</v>
      </c>
      <c r="B908">
        <v>8</v>
      </c>
      <c r="C908" t="s">
        <v>24</v>
      </c>
      <c r="D908">
        <v>91.457999999999998</v>
      </c>
      <c r="E908">
        <v>2</v>
      </c>
      <c r="F908">
        <v>1.784</v>
      </c>
      <c r="H908" s="4" t="str">
        <f t="array" aca="1" ref="H908" ca="1">SUBSTITUTE(SUBSTITUTE(_xlfn.TEXTJOIN("",TRUE,IF(ISERR(MID(C908,ROW(INDIRECT("1:100")),1)+0),MID(C908,ROW(INDIRECT("1:100")),1),"")),")",""),"(","")</f>
        <v>All items less medical care</v>
      </c>
    </row>
    <row r="909" spans="1:8" x14ac:dyDescent="0.25">
      <c r="A909">
        <v>2017</v>
      </c>
      <c r="B909">
        <v>8</v>
      </c>
      <c r="C909" t="s">
        <v>25</v>
      </c>
      <c r="D909">
        <v>92.724999999999994</v>
      </c>
      <c r="E909">
        <v>1.6</v>
      </c>
      <c r="F909">
        <v>1.488</v>
      </c>
      <c r="H909" s="4" t="str">
        <f t="array" aca="1" ref="H909" ca="1">SUBSTITUTE(SUBSTITUTE(_xlfn.TEXTJOIN("",TRUE,IF(ISERR(MID(C909,ROW(INDIRECT("1:100")),1)+0),MID(C909,ROW(INDIRECT("1:100")),1),"")),")",""),"(","")</f>
        <v>All items less energy</v>
      </c>
    </row>
    <row r="910" spans="1:8" x14ac:dyDescent="0.25">
      <c r="A910">
        <v>2017</v>
      </c>
      <c r="B910">
        <v>8</v>
      </c>
      <c r="C910" t="s">
        <v>26</v>
      </c>
      <c r="D910">
        <v>36.018000000000001</v>
      </c>
      <c r="E910">
        <v>0.9</v>
      </c>
      <c r="F910">
        <v>0.33</v>
      </c>
      <c r="H910" s="4" t="str">
        <f t="array" aca="1" ref="H910" ca="1">SUBSTITUTE(SUBSTITUTE(_xlfn.TEXTJOIN("",TRUE,IF(ISERR(MID(C910,ROW(INDIRECT("1:100")),1)+0),MID(C910,ROW(INDIRECT("1:100")),1),"")),")",""),"(","")</f>
        <v>Commodities</v>
      </c>
    </row>
    <row r="911" spans="1:8" x14ac:dyDescent="0.25">
      <c r="A911">
        <v>2017</v>
      </c>
      <c r="B911">
        <v>8</v>
      </c>
      <c r="C911" t="s">
        <v>27</v>
      </c>
      <c r="D911">
        <v>63.981999999999999</v>
      </c>
      <c r="E911">
        <v>2.5</v>
      </c>
      <c r="F911">
        <v>1.609</v>
      </c>
      <c r="H911" s="4" t="str">
        <f t="array" aca="1" ref="H911" ca="1">SUBSTITUTE(SUBSTITUTE(_xlfn.TEXTJOIN("",TRUE,IF(ISERR(MID(C911,ROW(INDIRECT("1:100")),1)+0),MID(C911,ROW(INDIRECT("1:100")),1),"")),")",""),"(","")</f>
        <v>Services</v>
      </c>
    </row>
    <row r="912" spans="1:8" x14ac:dyDescent="0.25">
      <c r="A912">
        <v>2017</v>
      </c>
      <c r="B912">
        <v>8</v>
      </c>
      <c r="C912" t="s">
        <v>28</v>
      </c>
      <c r="D912">
        <v>9.1219999999999999</v>
      </c>
      <c r="E912">
        <v>-1.9</v>
      </c>
      <c r="F912">
        <v>-0.183</v>
      </c>
      <c r="H912" s="4" t="str">
        <f t="array" aca="1" ref="H912" ca="1">SUBSTITUTE(SUBSTITUTE(_xlfn.TEXTJOIN("",TRUE,IF(ISERR(MID(C912,ROW(INDIRECT("1:100")),1)+0),MID(C912,ROW(INDIRECT("1:100")),1),"")),")",""),"(","")</f>
        <v>Durables</v>
      </c>
    </row>
    <row r="913" spans="1:8" x14ac:dyDescent="0.25">
      <c r="A913">
        <v>2017</v>
      </c>
      <c r="B913">
        <v>8</v>
      </c>
      <c r="C913" t="s">
        <v>29</v>
      </c>
      <c r="D913">
        <v>26.896000000000001</v>
      </c>
      <c r="E913">
        <v>1.9</v>
      </c>
      <c r="F913">
        <v>0.51300000000000001</v>
      </c>
      <c r="H913" s="4" t="str">
        <f t="array" aca="1" ref="H913" ca="1">SUBSTITUTE(SUBSTITUTE(_xlfn.TEXTJOIN("",TRUE,IF(ISERR(MID(C913,ROW(INDIRECT("1:100")),1)+0),MID(C913,ROW(INDIRECT("1:100")),1),"")),")",""),"(","")</f>
        <v>Nondurables</v>
      </c>
    </row>
    <row r="914" spans="1:8" x14ac:dyDescent="0.25">
      <c r="A914">
        <v>2017</v>
      </c>
      <c r="B914">
        <v>8</v>
      </c>
      <c r="C914" t="s">
        <v>8</v>
      </c>
      <c r="D914">
        <v>42.914999999999999</v>
      </c>
      <c r="E914">
        <v>2.9</v>
      </c>
      <c r="F914">
        <v>1.2370000000000001</v>
      </c>
      <c r="H914" s="4" t="str">
        <f t="array" aca="1" ref="H914" ca="1">SUBSTITUTE(SUBSTITUTE(_xlfn.TEXTJOIN("",TRUE,IF(ISERR(MID(C914,ROW(INDIRECT("1:100")),1)+0),MID(C914,ROW(INDIRECT("1:100")),1),"")),")",""),"(","")</f>
        <v>Housing</v>
      </c>
    </row>
    <row r="915" spans="1:8" x14ac:dyDescent="0.25">
      <c r="A915">
        <v>2017</v>
      </c>
      <c r="B915">
        <v>8</v>
      </c>
      <c r="C915" t="s">
        <v>30</v>
      </c>
      <c r="D915">
        <v>6.7060000000000004</v>
      </c>
      <c r="E915">
        <v>-2.6</v>
      </c>
      <c r="F915">
        <v>-0.182</v>
      </c>
      <c r="H915" s="4" t="str">
        <f t="array" aca="1" ref="H915" ca="1">SUBSTITUTE(SUBSTITUTE(_xlfn.TEXTJOIN("",TRUE,IF(ISERR(MID(C915,ROW(INDIRECT("1:100")),1)+0),MID(C915,ROW(INDIRECT("1:100")),1),"")),")",""),"(","")</f>
        <v>Education and communication</v>
      </c>
    </row>
    <row r="916" spans="1:8" x14ac:dyDescent="0.25">
      <c r="A916">
        <v>2017</v>
      </c>
      <c r="B916">
        <v>8</v>
      </c>
      <c r="C916" t="s">
        <v>31</v>
      </c>
      <c r="D916">
        <v>5.6959999999999997</v>
      </c>
      <c r="E916">
        <v>1.5</v>
      </c>
      <c r="F916">
        <v>8.5000000000000006E-2</v>
      </c>
      <c r="H916" s="4" t="str">
        <f t="array" aca="1" ref="H916" ca="1">SUBSTITUTE(SUBSTITUTE(_xlfn.TEXTJOIN("",TRUE,IF(ISERR(MID(C916,ROW(INDIRECT("1:100")),1)+0),MID(C916,ROW(INDIRECT("1:100")),1),"")),")",""),"(","")</f>
        <v>Recreation</v>
      </c>
    </row>
    <row r="917" spans="1:8" x14ac:dyDescent="0.25">
      <c r="A917">
        <v>2017</v>
      </c>
      <c r="B917">
        <v>8</v>
      </c>
      <c r="C917" t="s">
        <v>6</v>
      </c>
      <c r="D917">
        <v>14.612</v>
      </c>
      <c r="E917">
        <v>1.1000000000000001</v>
      </c>
      <c r="F917">
        <v>0.16600000000000001</v>
      </c>
      <c r="H917" s="4" t="str">
        <f t="array" aca="1" ref="H917" ca="1">SUBSTITUTE(SUBSTITUTE(_xlfn.TEXTJOIN("",TRUE,IF(ISERR(MID(C917,ROW(INDIRECT("1:100")),1)+0),MID(C917,ROW(INDIRECT("1:100")),1),"")),")",""),"(","")</f>
        <v>Food and beverages</v>
      </c>
    </row>
    <row r="918" spans="1:8" x14ac:dyDescent="0.25">
      <c r="A918">
        <v>2017</v>
      </c>
      <c r="B918">
        <v>8</v>
      </c>
      <c r="C918" t="s">
        <v>32</v>
      </c>
      <c r="D918">
        <v>11.691000000000001</v>
      </c>
      <c r="E918">
        <v>0.2</v>
      </c>
      <c r="F918">
        <v>0.02</v>
      </c>
      <c r="H918" s="4" t="str">
        <f t="array" aca="1" ref="H918" ca="1">SUBSTITUTE(SUBSTITUTE(_xlfn.TEXTJOIN("",TRUE,IF(ISERR(MID(C918,ROW(INDIRECT("1:100")),1)+0),MID(C918,ROW(INDIRECT("1:100")),1),"")),")",""),"(","")</f>
        <v>Other services</v>
      </c>
    </row>
    <row r="919" spans="1:8" x14ac:dyDescent="0.25">
      <c r="A919">
        <v>2017</v>
      </c>
      <c r="B919">
        <v>8</v>
      </c>
      <c r="C919" t="s">
        <v>33</v>
      </c>
      <c r="D919">
        <v>2.3149999999999999</v>
      </c>
      <c r="E919">
        <v>-0.5</v>
      </c>
      <c r="F919">
        <v>-1.2E-2</v>
      </c>
      <c r="H919" s="4" t="str">
        <f t="array" aca="1" ref="H919" ca="1">SUBSTITUTE(SUBSTITUTE(_xlfn.TEXTJOIN("",TRUE,IF(ISERR(MID(C919,ROW(INDIRECT("1:100")),1)+0),MID(C919,ROW(INDIRECT("1:100")),1),"")),")",""),"(","")</f>
        <v>Apparel less footwear</v>
      </c>
    </row>
    <row r="920" spans="1:8" x14ac:dyDescent="0.25">
      <c r="A920">
        <v>2017</v>
      </c>
      <c r="B920">
        <v>8</v>
      </c>
      <c r="C920" t="s">
        <v>34</v>
      </c>
      <c r="D920">
        <v>5.1550000000000002</v>
      </c>
      <c r="E920">
        <v>3.2</v>
      </c>
      <c r="F920">
        <v>0.16300000000000001</v>
      </c>
      <c r="H920" s="4" t="str">
        <f t="array" aca="1" ref="H920" ca="1">SUBSTITUTE(SUBSTITUTE(_xlfn.TEXTJOIN("",TRUE,IF(ISERR(MID(C920,ROW(INDIRECT("1:100")),1)+0),MID(C920,ROW(INDIRECT("1:100")),1),"")),")",""),"(","")</f>
        <v>Fuels and utilities</v>
      </c>
    </row>
    <row r="921" spans="1:8" x14ac:dyDescent="0.25">
      <c r="A921">
        <v>2017</v>
      </c>
      <c r="B921">
        <v>8</v>
      </c>
      <c r="C921" t="s">
        <v>11</v>
      </c>
      <c r="D921">
        <v>8.5419999999999998</v>
      </c>
      <c r="E921">
        <v>1.8</v>
      </c>
      <c r="F921">
        <v>0.155</v>
      </c>
      <c r="H921" s="4" t="str">
        <f t="array" aca="1" ref="H921" ca="1">SUBSTITUTE(SUBSTITUTE(_xlfn.TEXTJOIN("",TRUE,IF(ISERR(MID(C921,ROW(INDIRECT("1:100")),1)+0),MID(C921,ROW(INDIRECT("1:100")),1),"")),")",""),"(","")</f>
        <v>Medical care</v>
      </c>
    </row>
    <row r="922" spans="1:8" x14ac:dyDescent="0.25">
      <c r="A922">
        <v>2017</v>
      </c>
      <c r="B922">
        <v>8</v>
      </c>
      <c r="C922" t="s">
        <v>7</v>
      </c>
      <c r="D922">
        <v>15.356</v>
      </c>
      <c r="E922">
        <v>2.8</v>
      </c>
      <c r="F922">
        <v>0.42699999999999999</v>
      </c>
      <c r="H922" s="4" t="str">
        <f t="array" aca="1" ref="H922" ca="1">SUBSTITUTE(SUBSTITUTE(_xlfn.TEXTJOIN("",TRUE,IF(ISERR(MID(C922,ROW(INDIRECT("1:100")),1)+0),MID(C922,ROW(INDIRECT("1:100")),1),"")),")",""),"(","")</f>
        <v>Transportation</v>
      </c>
    </row>
    <row r="923" spans="1:8" x14ac:dyDescent="0.25">
      <c r="A923">
        <v>2017</v>
      </c>
      <c r="B923">
        <v>8</v>
      </c>
      <c r="C923" t="s">
        <v>35</v>
      </c>
      <c r="D923">
        <v>9.9090000000000007</v>
      </c>
      <c r="E923">
        <v>-0.1</v>
      </c>
      <c r="F923">
        <v>-6.0000000000000001E-3</v>
      </c>
      <c r="H923" s="4" t="str">
        <f t="array" aca="1" ref="H923" ca="1">SUBSTITUTE(SUBSTITUTE(_xlfn.TEXTJOIN("",TRUE,IF(ISERR(MID(C923,ROW(INDIRECT("1:100")),1)+0),MID(C923,ROW(INDIRECT("1:100")),1),"")),")",""),"(","")</f>
        <v>Utilities and public transportation</v>
      </c>
    </row>
    <row r="924" spans="1:8" x14ac:dyDescent="0.25">
      <c r="A924">
        <v>2017</v>
      </c>
      <c r="B924">
        <v>8</v>
      </c>
      <c r="C924" t="s">
        <v>36</v>
      </c>
      <c r="D924">
        <v>3.9670000000000001</v>
      </c>
      <c r="E924">
        <v>-0.7</v>
      </c>
      <c r="F924">
        <v>-2.7E-2</v>
      </c>
      <c r="H924" s="4" t="str">
        <f t="array" aca="1" ref="H924" ca="1">SUBSTITUTE(SUBSTITUTE(_xlfn.TEXTJOIN("",TRUE,IF(ISERR(MID(C924,ROW(INDIRECT("1:100")),1)+0),MID(C924,ROW(INDIRECT("1:100")),1),"")),")",""),"(","")</f>
        <v>Household furnishings and operations</v>
      </c>
    </row>
    <row r="925" spans="1:8" x14ac:dyDescent="0.25">
      <c r="A925">
        <v>2017</v>
      </c>
      <c r="B925">
        <v>8</v>
      </c>
      <c r="C925" t="s">
        <v>12</v>
      </c>
      <c r="D925">
        <v>3.1850000000000001</v>
      </c>
      <c r="E925">
        <v>2.2000000000000002</v>
      </c>
      <c r="F925">
        <v>6.9000000000000006E-2</v>
      </c>
      <c r="H925" s="4" t="str">
        <f t="array" aca="1" ref="H925" ca="1">SUBSTITUTE(SUBSTITUTE(_xlfn.TEXTJOIN("",TRUE,IF(ISERR(MID(C925,ROW(INDIRECT("1:100")),1)+0),MID(C925,ROW(INDIRECT("1:100")),1),"")),")",""),"(","")</f>
        <v>Other goods and services</v>
      </c>
    </row>
    <row r="926" spans="1:8" x14ac:dyDescent="0.25">
      <c r="A926">
        <v>2017</v>
      </c>
      <c r="B926">
        <v>9</v>
      </c>
      <c r="C926" t="s">
        <v>14</v>
      </c>
      <c r="D926">
        <v>100</v>
      </c>
      <c r="E926">
        <v>2.2000000000000002</v>
      </c>
      <c r="H926" s="4" t="str">
        <f t="array" aca="1" ref="H926" ca="1">SUBSTITUTE(SUBSTITUTE(_xlfn.TEXTJOIN("",TRUE,IF(ISERR(MID(C926,ROW(INDIRECT("1:100")),1)+0),MID(C926,ROW(INDIRECT("1:100")),1),"")),")",""),"(","")</f>
        <v>All items</v>
      </c>
    </row>
    <row r="927" spans="1:8" x14ac:dyDescent="0.25">
      <c r="A927">
        <v>2017</v>
      </c>
      <c r="B927">
        <v>9</v>
      </c>
      <c r="C927" t="s">
        <v>15</v>
      </c>
      <c r="D927">
        <v>13.643000000000001</v>
      </c>
      <c r="E927">
        <v>1.2</v>
      </c>
      <c r="F927">
        <v>0.17</v>
      </c>
      <c r="H927" s="4" t="str">
        <f t="array" aca="1" ref="H927" ca="1">SUBSTITUTE(SUBSTITUTE(_xlfn.TEXTJOIN("",TRUE,IF(ISERR(MID(C927,ROW(INDIRECT("1:100")),1)+0),MID(C927,ROW(INDIRECT("1:100")),1),"")),")",""),"(","")</f>
        <v>Food</v>
      </c>
    </row>
    <row r="928" spans="1:8" x14ac:dyDescent="0.25">
      <c r="A928">
        <v>2017</v>
      </c>
      <c r="B928">
        <v>9</v>
      </c>
      <c r="C928" t="s">
        <v>16</v>
      </c>
      <c r="D928">
        <v>7.3719999999999999</v>
      </c>
      <c r="E928">
        <v>10.1</v>
      </c>
      <c r="F928">
        <v>0.72299999999999998</v>
      </c>
      <c r="H928" s="4" t="str">
        <f t="array" aca="1" ref="H928" ca="1">SUBSTITUTE(SUBSTITUTE(_xlfn.TEXTJOIN("",TRUE,IF(ISERR(MID(C928,ROW(INDIRECT("1:100")),1)+0),MID(C928,ROW(INDIRECT("1:100")),1),"")),")",""),"(","")</f>
        <v>Energy</v>
      </c>
    </row>
    <row r="929" spans="1:8" x14ac:dyDescent="0.25">
      <c r="A929">
        <v>2017</v>
      </c>
      <c r="B929">
        <v>9</v>
      </c>
      <c r="C929" t="s">
        <v>17</v>
      </c>
      <c r="D929">
        <v>78.984999999999999</v>
      </c>
      <c r="E929">
        <v>1.7</v>
      </c>
      <c r="F929">
        <v>1.339</v>
      </c>
      <c r="H929" s="4" t="str">
        <f t="array" aca="1" ref="H929" ca="1">SUBSTITUTE(SUBSTITUTE(_xlfn.TEXTJOIN("",TRUE,IF(ISERR(MID(C929,ROW(INDIRECT("1:100")),1)+0),MID(C929,ROW(INDIRECT("1:100")),1),"")),")",""),"(","")</f>
        <v>All items less food and energy</v>
      </c>
    </row>
    <row r="930" spans="1:8" x14ac:dyDescent="0.25">
      <c r="A930">
        <v>2017</v>
      </c>
      <c r="B930">
        <v>9</v>
      </c>
      <c r="C930" t="s">
        <v>18</v>
      </c>
      <c r="H930" s="4" t="str">
        <f t="array" aca="1" ref="H930" ca="1">SUBSTITUTE(SUBSTITUTE(_xlfn.TEXTJOIN("",TRUE,IF(ISERR(MID(C930,ROW(INDIRECT("1:100")),1)+0),MID(C930,ROW(INDIRECT("1:100")),1),"")),")",""),"(","")</f>
        <v>Special aggregate indexes</v>
      </c>
    </row>
    <row r="931" spans="1:8" x14ac:dyDescent="0.25">
      <c r="A931">
        <v>2017</v>
      </c>
      <c r="B931">
        <v>9</v>
      </c>
      <c r="C931" t="s">
        <v>19</v>
      </c>
      <c r="D931">
        <v>86.356999999999999</v>
      </c>
      <c r="E931">
        <v>2.4</v>
      </c>
      <c r="F931">
        <v>2.0630000000000002</v>
      </c>
      <c r="H931" s="4" t="str">
        <f t="array" aca="1" ref="H931" ca="1">SUBSTITUTE(SUBSTITUTE(_xlfn.TEXTJOIN("",TRUE,IF(ISERR(MID(C931,ROW(INDIRECT("1:100")),1)+0),MID(C931,ROW(INDIRECT("1:100")),1),"")),")",""),"(","")</f>
        <v>All items less food</v>
      </c>
    </row>
    <row r="932" spans="1:8" x14ac:dyDescent="0.25">
      <c r="A932">
        <v>2017</v>
      </c>
      <c r="B932">
        <v>9</v>
      </c>
      <c r="C932" t="s">
        <v>20</v>
      </c>
      <c r="D932">
        <v>66.168000000000006</v>
      </c>
      <c r="E932">
        <v>1.7</v>
      </c>
      <c r="F932">
        <v>1.1519999999999999</v>
      </c>
      <c r="H932" s="4" t="str">
        <f t="array" aca="1" ref="H932" ca="1">SUBSTITUTE(SUBSTITUTE(_xlfn.TEXTJOIN("",TRUE,IF(ISERR(MID(C932,ROW(INDIRECT("1:100")),1)+0),MID(C932,ROW(INDIRECT("1:100")),1),"")),")",""),"(","")</f>
        <v>All items less shelter</v>
      </c>
    </row>
    <row r="933" spans="1:8" x14ac:dyDescent="0.25">
      <c r="A933">
        <v>2017</v>
      </c>
      <c r="B933">
        <v>9</v>
      </c>
      <c r="C933" t="s">
        <v>21</v>
      </c>
      <c r="D933">
        <v>52.524999999999999</v>
      </c>
      <c r="E933">
        <v>1.9</v>
      </c>
      <c r="F933">
        <v>0.98199999999999998</v>
      </c>
      <c r="H933" s="4" t="str">
        <f t="array" aca="1" ref="H933" ca="1">SUBSTITUTE(SUBSTITUTE(_xlfn.TEXTJOIN("",TRUE,IF(ISERR(MID(C933,ROW(INDIRECT("1:100")),1)+0),MID(C933,ROW(INDIRECT("1:100")),1),"")),")",""),"(","")</f>
        <v>All items less food and shelter</v>
      </c>
    </row>
    <row r="934" spans="1:8" x14ac:dyDescent="0.25">
      <c r="A934">
        <v>2017</v>
      </c>
      <c r="B934">
        <v>9</v>
      </c>
      <c r="C934" t="s">
        <v>22</v>
      </c>
      <c r="D934">
        <v>45.152999999999999</v>
      </c>
      <c r="E934">
        <v>0.6</v>
      </c>
      <c r="F934">
        <v>0.25800000000000001</v>
      </c>
      <c r="H934" s="4" t="str">
        <f t="array" aca="1" ref="H934" ca="1">SUBSTITUTE(SUBSTITUTE(_xlfn.TEXTJOIN("",TRUE,IF(ISERR(MID(C934,ROW(INDIRECT("1:100")),1)+0),MID(C934,ROW(INDIRECT("1:100")),1),"")),")",""),"(","")</f>
        <v>All items less food, shelter, and energy</v>
      </c>
    </row>
    <row r="935" spans="1:8" x14ac:dyDescent="0.25">
      <c r="A935">
        <v>2017</v>
      </c>
      <c r="B935">
        <v>9</v>
      </c>
      <c r="C935" t="s">
        <v>23</v>
      </c>
      <c r="D935">
        <v>43.173000000000002</v>
      </c>
      <c r="E935">
        <v>0.8</v>
      </c>
      <c r="F935">
        <v>0.33600000000000002</v>
      </c>
      <c r="H935" s="4" t="str">
        <f t="array" aca="1" ref="H935" ca="1">SUBSTITUTE(SUBSTITUTE(_xlfn.TEXTJOIN("",TRUE,IF(ISERR(MID(C935,ROW(INDIRECT("1:100")),1)+0),MID(C935,ROW(INDIRECT("1:100")),1),"")),")",""),"(","")</f>
        <v>All items less food, shelter, energy, and used cars and trucks</v>
      </c>
    </row>
    <row r="936" spans="1:8" x14ac:dyDescent="0.25">
      <c r="A936">
        <v>2017</v>
      </c>
      <c r="B936">
        <v>9</v>
      </c>
      <c r="C936" t="s">
        <v>24</v>
      </c>
      <c r="D936">
        <v>91.47</v>
      </c>
      <c r="E936">
        <v>2.2999999999999998</v>
      </c>
      <c r="F936">
        <v>2.1</v>
      </c>
      <c r="H936" s="4" t="str">
        <f t="array" aca="1" ref="H936" ca="1">SUBSTITUTE(SUBSTITUTE(_xlfn.TEXTJOIN("",TRUE,IF(ISERR(MID(C936,ROW(INDIRECT("1:100")),1)+0),MID(C936,ROW(INDIRECT("1:100")),1),"")),")",""),"(","")</f>
        <v>All items less medical care</v>
      </c>
    </row>
    <row r="937" spans="1:8" x14ac:dyDescent="0.25">
      <c r="A937">
        <v>2017</v>
      </c>
      <c r="B937">
        <v>9</v>
      </c>
      <c r="C937" t="s">
        <v>25</v>
      </c>
      <c r="D937">
        <v>92.628</v>
      </c>
      <c r="E937">
        <v>1.6</v>
      </c>
      <c r="F937">
        <v>1.51</v>
      </c>
      <c r="H937" s="4" t="str">
        <f t="array" aca="1" ref="H937" ca="1">SUBSTITUTE(SUBSTITUTE(_xlfn.TEXTJOIN("",TRUE,IF(ISERR(MID(C937,ROW(INDIRECT("1:100")),1)+0),MID(C937,ROW(INDIRECT("1:100")),1),"")),")",""),"(","")</f>
        <v>All items less energy</v>
      </c>
    </row>
    <row r="938" spans="1:8" x14ac:dyDescent="0.25">
      <c r="A938">
        <v>2017</v>
      </c>
      <c r="B938">
        <v>9</v>
      </c>
      <c r="C938" t="s">
        <v>26</v>
      </c>
      <c r="D938">
        <v>36.054000000000002</v>
      </c>
      <c r="E938">
        <v>1.7</v>
      </c>
      <c r="F938">
        <v>0.61899999999999999</v>
      </c>
      <c r="H938" s="4" t="str">
        <f t="array" aca="1" ref="H938" ca="1">SUBSTITUTE(SUBSTITUTE(_xlfn.TEXTJOIN("",TRUE,IF(ISERR(MID(C938,ROW(INDIRECT("1:100")),1)+0),MID(C938,ROW(INDIRECT("1:100")),1),"")),")",""),"(","")</f>
        <v>Commodities</v>
      </c>
    </row>
    <row r="939" spans="1:8" x14ac:dyDescent="0.25">
      <c r="A939">
        <v>2017</v>
      </c>
      <c r="B939">
        <v>9</v>
      </c>
      <c r="C939" t="s">
        <v>27</v>
      </c>
      <c r="D939">
        <v>63.945999999999998</v>
      </c>
      <c r="E939">
        <v>2.5</v>
      </c>
      <c r="F939">
        <v>1.6140000000000001</v>
      </c>
      <c r="H939" s="4" t="str">
        <f t="array" aca="1" ref="H939" ca="1">SUBSTITUTE(SUBSTITUTE(_xlfn.TEXTJOIN("",TRUE,IF(ISERR(MID(C939,ROW(INDIRECT("1:100")),1)+0),MID(C939,ROW(INDIRECT("1:100")),1),"")),")",""),"(","")</f>
        <v>Services</v>
      </c>
    </row>
    <row r="940" spans="1:8" x14ac:dyDescent="0.25">
      <c r="A940">
        <v>2017</v>
      </c>
      <c r="B940">
        <v>9</v>
      </c>
      <c r="C940" t="s">
        <v>28</v>
      </c>
      <c r="D940">
        <v>9.06</v>
      </c>
      <c r="E940">
        <v>-2.1</v>
      </c>
      <c r="F940">
        <v>-0.19600000000000001</v>
      </c>
      <c r="H940" s="4" t="str">
        <f t="array" aca="1" ref="H940" ca="1">SUBSTITUTE(SUBSTITUTE(_xlfn.TEXTJOIN("",TRUE,IF(ISERR(MID(C940,ROW(INDIRECT("1:100")),1)+0),MID(C940,ROW(INDIRECT("1:100")),1),"")),")",""),"(","")</f>
        <v>Durables</v>
      </c>
    </row>
    <row r="941" spans="1:8" x14ac:dyDescent="0.25">
      <c r="A941">
        <v>2017</v>
      </c>
      <c r="B941">
        <v>9</v>
      </c>
      <c r="C941" t="s">
        <v>29</v>
      </c>
      <c r="D941">
        <v>26.994</v>
      </c>
      <c r="E941">
        <v>3</v>
      </c>
      <c r="F941">
        <v>0.81499999999999995</v>
      </c>
      <c r="H941" s="4" t="str">
        <f t="array" aca="1" ref="H941" ca="1">SUBSTITUTE(SUBSTITUTE(_xlfn.TEXTJOIN("",TRUE,IF(ISERR(MID(C941,ROW(INDIRECT("1:100")),1)+0),MID(C941,ROW(INDIRECT("1:100")),1),"")),")",""),"(","")</f>
        <v>Nondurables</v>
      </c>
    </row>
    <row r="942" spans="1:8" x14ac:dyDescent="0.25">
      <c r="A942">
        <v>2017</v>
      </c>
      <c r="B942">
        <v>9</v>
      </c>
      <c r="C942" t="s">
        <v>8</v>
      </c>
      <c r="D942">
        <v>42.912999999999997</v>
      </c>
      <c r="E942">
        <v>2.8</v>
      </c>
      <c r="F942">
        <v>1.1850000000000001</v>
      </c>
      <c r="H942" s="4" t="str">
        <f t="array" aca="1" ref="H942" ca="1">SUBSTITUTE(SUBSTITUTE(_xlfn.TEXTJOIN("",TRUE,IF(ISERR(MID(C942,ROW(INDIRECT("1:100")),1)+0),MID(C942,ROW(INDIRECT("1:100")),1),"")),")",""),"(","")</f>
        <v>Housing</v>
      </c>
    </row>
    <row r="943" spans="1:8" x14ac:dyDescent="0.25">
      <c r="A943">
        <v>2017</v>
      </c>
      <c r="B943">
        <v>9</v>
      </c>
      <c r="C943" t="s">
        <v>30</v>
      </c>
      <c r="D943">
        <v>6.7009999999999996</v>
      </c>
      <c r="E943">
        <v>-2.1</v>
      </c>
      <c r="F943">
        <v>-0.15</v>
      </c>
      <c r="H943" s="4" t="str">
        <f t="array" aca="1" ref="H943" ca="1">SUBSTITUTE(SUBSTITUTE(_xlfn.TEXTJOIN("",TRUE,IF(ISERR(MID(C943,ROW(INDIRECT("1:100")),1)+0),MID(C943,ROW(INDIRECT("1:100")),1),"")),")",""),"(","")</f>
        <v>Education and communication</v>
      </c>
    </row>
    <row r="944" spans="1:8" x14ac:dyDescent="0.25">
      <c r="A944">
        <v>2017</v>
      </c>
      <c r="B944">
        <v>9</v>
      </c>
      <c r="C944" t="s">
        <v>31</v>
      </c>
      <c r="D944">
        <v>5.6790000000000003</v>
      </c>
      <c r="E944">
        <v>1.6</v>
      </c>
      <c r="F944">
        <v>9.4E-2</v>
      </c>
      <c r="H944" s="4" t="str">
        <f t="array" aca="1" ref="H944" ca="1">SUBSTITUTE(SUBSTITUTE(_xlfn.TEXTJOIN("",TRUE,IF(ISERR(MID(C944,ROW(INDIRECT("1:100")),1)+0),MID(C944,ROW(INDIRECT("1:100")),1),"")),")",""),"(","")</f>
        <v>Recreation</v>
      </c>
    </row>
    <row r="945" spans="1:8" x14ac:dyDescent="0.25">
      <c r="A945">
        <v>2017</v>
      </c>
      <c r="B945">
        <v>9</v>
      </c>
      <c r="C945" t="s">
        <v>6</v>
      </c>
      <c r="D945">
        <v>14.585000000000001</v>
      </c>
      <c r="E945">
        <v>1.2</v>
      </c>
      <c r="F945">
        <v>0.183</v>
      </c>
      <c r="H945" s="4" t="str">
        <f t="array" aca="1" ref="H945" ca="1">SUBSTITUTE(SUBSTITUTE(_xlfn.TEXTJOIN("",TRUE,IF(ISERR(MID(C945,ROW(INDIRECT("1:100")),1)+0),MID(C945,ROW(INDIRECT("1:100")),1),"")),")",""),"(","")</f>
        <v>Food and beverages</v>
      </c>
    </row>
    <row r="946" spans="1:8" x14ac:dyDescent="0.25">
      <c r="A946">
        <v>2017</v>
      </c>
      <c r="B946">
        <v>9</v>
      </c>
      <c r="C946" t="s">
        <v>32</v>
      </c>
      <c r="D946">
        <v>11.688000000000001</v>
      </c>
      <c r="E946">
        <v>0.4</v>
      </c>
      <c r="F946">
        <v>5.0999999999999997E-2</v>
      </c>
      <c r="H946" s="4" t="str">
        <f t="array" aca="1" ref="H946" ca="1">SUBSTITUTE(SUBSTITUTE(_xlfn.TEXTJOIN("",TRUE,IF(ISERR(MID(C946,ROW(INDIRECT("1:100")),1)+0),MID(C946,ROW(INDIRECT("1:100")),1),"")),")",""),"(","")</f>
        <v>Other services</v>
      </c>
    </row>
    <row r="947" spans="1:8" x14ac:dyDescent="0.25">
      <c r="A947">
        <v>2017</v>
      </c>
      <c r="B947">
        <v>9</v>
      </c>
      <c r="C947" t="s">
        <v>33</v>
      </c>
      <c r="D947">
        <v>2.3460000000000001</v>
      </c>
      <c r="E947">
        <v>0</v>
      </c>
      <c r="F947">
        <v>-1E-3</v>
      </c>
      <c r="H947" s="4" t="str">
        <f t="array" aca="1" ref="H947" ca="1">SUBSTITUTE(SUBSTITUTE(_xlfn.TEXTJOIN("",TRUE,IF(ISERR(MID(C947,ROW(INDIRECT("1:100")),1)+0),MID(C947,ROW(INDIRECT("1:100")),1),"")),")",""),"(","")</f>
        <v>Apparel less footwear</v>
      </c>
    </row>
    <row r="948" spans="1:8" x14ac:dyDescent="0.25">
      <c r="A948">
        <v>2017</v>
      </c>
      <c r="B948">
        <v>9</v>
      </c>
      <c r="C948" t="s">
        <v>34</v>
      </c>
      <c r="D948">
        <v>5.1349999999999998</v>
      </c>
      <c r="E948">
        <v>2.8</v>
      </c>
      <c r="F948">
        <v>0.14099999999999999</v>
      </c>
      <c r="H948" s="4" t="str">
        <f t="array" aca="1" ref="H948" ca="1">SUBSTITUTE(SUBSTITUTE(_xlfn.TEXTJOIN("",TRUE,IF(ISERR(MID(C948,ROW(INDIRECT("1:100")),1)+0),MID(C948,ROW(INDIRECT("1:100")),1),"")),")",""),"(","")</f>
        <v>Fuels and utilities</v>
      </c>
    </row>
    <row r="949" spans="1:8" x14ac:dyDescent="0.25">
      <c r="A949">
        <v>2017</v>
      </c>
      <c r="B949">
        <v>9</v>
      </c>
      <c r="C949" t="s">
        <v>11</v>
      </c>
      <c r="D949">
        <v>8.5299999999999994</v>
      </c>
      <c r="E949">
        <v>1.6</v>
      </c>
      <c r="F949">
        <v>0.13300000000000001</v>
      </c>
      <c r="H949" s="4" t="str">
        <f t="array" aca="1" ref="H949" ca="1">SUBSTITUTE(SUBSTITUTE(_xlfn.TEXTJOIN("",TRUE,IF(ISERR(MID(C949,ROW(INDIRECT("1:100")),1)+0),MID(C949,ROW(INDIRECT("1:100")),1),"")),")",""),"(","")</f>
        <v>Medical care</v>
      </c>
    </row>
    <row r="950" spans="1:8" x14ac:dyDescent="0.25">
      <c r="A950">
        <v>2017</v>
      </c>
      <c r="B950">
        <v>9</v>
      </c>
      <c r="C950" t="s">
        <v>7</v>
      </c>
      <c r="D950">
        <v>15.401</v>
      </c>
      <c r="E950">
        <v>4.8</v>
      </c>
      <c r="F950">
        <v>0.73199999999999998</v>
      </c>
      <c r="H950" s="4" t="str">
        <f t="array" aca="1" ref="H950" ca="1">SUBSTITUTE(SUBSTITUTE(_xlfn.TEXTJOIN("",TRUE,IF(ISERR(MID(C950,ROW(INDIRECT("1:100")),1)+0),MID(C950,ROW(INDIRECT("1:100")),1),"")),")",""),"(","")</f>
        <v>Transportation</v>
      </c>
    </row>
    <row r="951" spans="1:8" x14ac:dyDescent="0.25">
      <c r="A951">
        <v>2017</v>
      </c>
      <c r="B951">
        <v>9</v>
      </c>
      <c r="C951" t="s">
        <v>35</v>
      </c>
      <c r="D951">
        <v>9.8339999999999996</v>
      </c>
      <c r="E951">
        <v>0.2</v>
      </c>
      <c r="F951">
        <v>1.7000000000000001E-2</v>
      </c>
      <c r="H951" s="4" t="str">
        <f t="array" aca="1" ref="H951" ca="1">SUBSTITUTE(SUBSTITUTE(_xlfn.TEXTJOIN("",TRUE,IF(ISERR(MID(C951,ROW(INDIRECT("1:100")),1)+0),MID(C951,ROW(INDIRECT("1:100")),1),"")),")",""),"(","")</f>
        <v>Utilities and public transportation</v>
      </c>
    </row>
    <row r="952" spans="1:8" x14ac:dyDescent="0.25">
      <c r="A952">
        <v>2017</v>
      </c>
      <c r="B952">
        <v>9</v>
      </c>
      <c r="C952" t="s">
        <v>36</v>
      </c>
      <c r="D952">
        <v>3.9460000000000002</v>
      </c>
      <c r="E952">
        <v>-0.9</v>
      </c>
      <c r="F952">
        <v>-3.6999999999999998E-2</v>
      </c>
      <c r="H952" s="4" t="str">
        <f t="array" aca="1" ref="H952" ca="1">SUBSTITUTE(SUBSTITUTE(_xlfn.TEXTJOIN("",TRUE,IF(ISERR(MID(C952,ROW(INDIRECT("1:100")),1)+0),MID(C952,ROW(INDIRECT("1:100")),1),"")),")",""),"(","")</f>
        <v>Household furnishings and operations</v>
      </c>
    </row>
    <row r="953" spans="1:8" x14ac:dyDescent="0.25">
      <c r="A953">
        <v>2017</v>
      </c>
      <c r="B953">
        <v>9</v>
      </c>
      <c r="C953" t="s">
        <v>12</v>
      </c>
      <c r="D953">
        <v>3.17</v>
      </c>
      <c r="E953">
        <v>2</v>
      </c>
      <c r="F953">
        <v>6.4000000000000001E-2</v>
      </c>
      <c r="H953" s="4" t="str">
        <f t="array" aca="1" ref="H953" ca="1">SUBSTITUTE(SUBSTITUTE(_xlfn.TEXTJOIN("",TRUE,IF(ISERR(MID(C953,ROW(INDIRECT("1:100")),1)+0),MID(C953,ROW(INDIRECT("1:100")),1),"")),")",""),"(","")</f>
        <v>Other goods and services</v>
      </c>
    </row>
    <row r="954" spans="1:8" x14ac:dyDescent="0.25">
      <c r="A954">
        <v>2017</v>
      </c>
      <c r="B954">
        <v>10</v>
      </c>
      <c r="C954" t="s">
        <v>14</v>
      </c>
      <c r="D954">
        <v>100</v>
      </c>
      <c r="E954">
        <v>2</v>
      </c>
      <c r="H954" s="4" t="str">
        <f t="array" aca="1" ref="H954" ca="1">SUBSTITUTE(SUBSTITUTE(_xlfn.TEXTJOIN("",TRUE,IF(ISERR(MID(C954,ROW(INDIRECT("1:100")),1)+0),MID(C954,ROW(INDIRECT("1:100")),1),"")),")",""),"(","")</f>
        <v>All items</v>
      </c>
    </row>
    <row r="955" spans="1:8" x14ac:dyDescent="0.25">
      <c r="A955">
        <v>2017</v>
      </c>
      <c r="B955">
        <v>10</v>
      </c>
      <c r="C955" t="s">
        <v>15</v>
      </c>
      <c r="D955">
        <v>13.598000000000001</v>
      </c>
      <c r="E955">
        <v>1.3</v>
      </c>
      <c r="F955">
        <v>0.182</v>
      </c>
      <c r="H955" s="4" t="str">
        <f t="array" aca="1" ref="H955" ca="1">SUBSTITUTE(SUBSTITUTE(_xlfn.TEXTJOIN("",TRUE,IF(ISERR(MID(C955,ROW(INDIRECT("1:100")),1)+0),MID(C955,ROW(INDIRECT("1:100")),1),"")),")",""),"(","")</f>
        <v>Food</v>
      </c>
    </row>
    <row r="956" spans="1:8" x14ac:dyDescent="0.25">
      <c r="A956">
        <v>2017</v>
      </c>
      <c r="B956">
        <v>10</v>
      </c>
      <c r="C956" t="s">
        <v>16</v>
      </c>
      <c r="D956">
        <v>7.6829999999999998</v>
      </c>
      <c r="E956">
        <v>6.4</v>
      </c>
      <c r="F956">
        <v>0.45500000000000002</v>
      </c>
      <c r="H956" s="4" t="str">
        <f t="array" aca="1" ref="H956" ca="1">SUBSTITUTE(SUBSTITUTE(_xlfn.TEXTJOIN("",TRUE,IF(ISERR(MID(C956,ROW(INDIRECT("1:100")),1)+0),MID(C956,ROW(INDIRECT("1:100")),1),"")),")",""),"(","")</f>
        <v>Energy</v>
      </c>
    </row>
    <row r="957" spans="1:8" x14ac:dyDescent="0.25">
      <c r="A957">
        <v>2017</v>
      </c>
      <c r="B957">
        <v>10</v>
      </c>
      <c r="C957" t="s">
        <v>17</v>
      </c>
      <c r="D957">
        <v>78.718999999999994</v>
      </c>
      <c r="E957">
        <v>1.8</v>
      </c>
      <c r="F957">
        <v>1.4039999999999999</v>
      </c>
      <c r="H957" s="4" t="str">
        <f t="array" aca="1" ref="H957" ca="1">SUBSTITUTE(SUBSTITUTE(_xlfn.TEXTJOIN("",TRUE,IF(ISERR(MID(C957,ROW(INDIRECT("1:100")),1)+0),MID(C957,ROW(INDIRECT("1:100")),1),"")),")",""),"(","")</f>
        <v>All items less food and energy</v>
      </c>
    </row>
    <row r="958" spans="1:8" x14ac:dyDescent="0.25">
      <c r="A958">
        <v>2017</v>
      </c>
      <c r="B958">
        <v>10</v>
      </c>
      <c r="C958" t="s">
        <v>18</v>
      </c>
      <c r="H958" s="4" t="str">
        <f t="array" aca="1" ref="H958" ca="1">SUBSTITUTE(SUBSTITUTE(_xlfn.TEXTJOIN("",TRUE,IF(ISERR(MID(C958,ROW(INDIRECT("1:100")),1)+0),MID(C958,ROW(INDIRECT("1:100")),1),"")),")",""),"(","")</f>
        <v>Special aggregate indexes</v>
      </c>
    </row>
    <row r="959" spans="1:8" x14ac:dyDescent="0.25">
      <c r="A959">
        <v>2017</v>
      </c>
      <c r="B959">
        <v>10</v>
      </c>
      <c r="C959" t="s">
        <v>19</v>
      </c>
      <c r="D959">
        <v>86.402000000000001</v>
      </c>
      <c r="E959">
        <v>2.2000000000000002</v>
      </c>
      <c r="F959">
        <v>1.859</v>
      </c>
      <c r="H959" s="4" t="str">
        <f t="array" aca="1" ref="H959" ca="1">SUBSTITUTE(SUBSTITUTE(_xlfn.TEXTJOIN("",TRUE,IF(ISERR(MID(C959,ROW(INDIRECT("1:100")),1)+0),MID(C959,ROW(INDIRECT("1:100")),1),"")),")",""),"(","")</f>
        <v>All items less food</v>
      </c>
    </row>
    <row r="960" spans="1:8" x14ac:dyDescent="0.25">
      <c r="A960">
        <v>2017</v>
      </c>
      <c r="B960">
        <v>10</v>
      </c>
      <c r="C960" t="s">
        <v>20</v>
      </c>
      <c r="D960">
        <v>66.269000000000005</v>
      </c>
      <c r="E960">
        <v>1.4</v>
      </c>
      <c r="F960">
        <v>0.95699999999999996</v>
      </c>
      <c r="H960" s="4" t="str">
        <f t="array" aca="1" ref="H960" ca="1">SUBSTITUTE(SUBSTITUTE(_xlfn.TEXTJOIN("",TRUE,IF(ISERR(MID(C960,ROW(INDIRECT("1:100")),1)+0),MID(C960,ROW(INDIRECT("1:100")),1),"")),")",""),"(","")</f>
        <v>All items less shelter</v>
      </c>
    </row>
    <row r="961" spans="1:8" x14ac:dyDescent="0.25">
      <c r="A961">
        <v>2017</v>
      </c>
      <c r="B961">
        <v>10</v>
      </c>
      <c r="C961" t="s">
        <v>21</v>
      </c>
      <c r="D961">
        <v>52.670999999999999</v>
      </c>
      <c r="E961">
        <v>1.5</v>
      </c>
      <c r="F961">
        <v>0.77500000000000002</v>
      </c>
      <c r="H961" s="4" t="str">
        <f t="array" aca="1" ref="H961" ca="1">SUBSTITUTE(SUBSTITUTE(_xlfn.TEXTJOIN("",TRUE,IF(ISERR(MID(C961,ROW(INDIRECT("1:100")),1)+0),MID(C961,ROW(INDIRECT("1:100")),1),"")),")",""),"(","")</f>
        <v>All items less food and shelter</v>
      </c>
    </row>
    <row r="962" spans="1:8" x14ac:dyDescent="0.25">
      <c r="A962">
        <v>2017</v>
      </c>
      <c r="B962">
        <v>10</v>
      </c>
      <c r="C962" t="s">
        <v>22</v>
      </c>
      <c r="D962">
        <v>44.988</v>
      </c>
      <c r="E962">
        <v>0.7</v>
      </c>
      <c r="F962">
        <v>0.32</v>
      </c>
      <c r="H962" s="4" t="str">
        <f t="array" aca="1" ref="H962" ca="1">SUBSTITUTE(SUBSTITUTE(_xlfn.TEXTJOIN("",TRUE,IF(ISERR(MID(C962,ROW(INDIRECT("1:100")),1)+0),MID(C962,ROW(INDIRECT("1:100")),1),"")),")",""),"(","")</f>
        <v>All items less food, shelter, and energy</v>
      </c>
    </row>
    <row r="963" spans="1:8" x14ac:dyDescent="0.25">
      <c r="A963">
        <v>2017</v>
      </c>
      <c r="B963">
        <v>10</v>
      </c>
      <c r="C963" t="s">
        <v>23</v>
      </c>
      <c r="D963">
        <v>43.05</v>
      </c>
      <c r="E963">
        <v>0.9</v>
      </c>
      <c r="F963">
        <v>0.378</v>
      </c>
      <c r="H963" s="4" t="str">
        <f t="array" aca="1" ref="H963" ca="1">SUBSTITUTE(SUBSTITUTE(_xlfn.TEXTJOIN("",TRUE,IF(ISERR(MID(C963,ROW(INDIRECT("1:100")),1)+0),MID(C963,ROW(INDIRECT("1:100")),1),"")),")",""),"(","")</f>
        <v>All items less food, shelter, energy, and used cars and trucks</v>
      </c>
    </row>
    <row r="964" spans="1:8" x14ac:dyDescent="0.25">
      <c r="A964">
        <v>2017</v>
      </c>
      <c r="B964">
        <v>10</v>
      </c>
      <c r="C964" t="s">
        <v>24</v>
      </c>
      <c r="D964">
        <v>91.522000000000006</v>
      </c>
      <c r="E964">
        <v>2.1</v>
      </c>
      <c r="F964">
        <v>1.8979999999999999</v>
      </c>
      <c r="H964" s="4" t="str">
        <f t="array" aca="1" ref="H964" ca="1">SUBSTITUTE(SUBSTITUTE(_xlfn.TEXTJOIN("",TRUE,IF(ISERR(MID(C964,ROW(INDIRECT("1:100")),1)+0),MID(C964,ROW(INDIRECT("1:100")),1),"")),")",""),"(","")</f>
        <v>All items less medical care</v>
      </c>
    </row>
    <row r="965" spans="1:8" x14ac:dyDescent="0.25">
      <c r="A965">
        <v>2017</v>
      </c>
      <c r="B965">
        <v>10</v>
      </c>
      <c r="C965" t="s">
        <v>25</v>
      </c>
      <c r="D965">
        <v>92.316999999999993</v>
      </c>
      <c r="E965">
        <v>1.7</v>
      </c>
      <c r="F965">
        <v>1.5860000000000001</v>
      </c>
      <c r="H965" s="4" t="str">
        <f t="array" aca="1" ref="H965" ca="1">SUBSTITUTE(SUBSTITUTE(_xlfn.TEXTJOIN("",TRUE,IF(ISERR(MID(C965,ROW(INDIRECT("1:100")),1)+0),MID(C965,ROW(INDIRECT("1:100")),1),"")),")",""),"(","")</f>
        <v>All items less energy</v>
      </c>
    </row>
    <row r="966" spans="1:8" x14ac:dyDescent="0.25">
      <c r="A966">
        <v>2017</v>
      </c>
      <c r="B966">
        <v>10</v>
      </c>
      <c r="C966" t="s">
        <v>26</v>
      </c>
      <c r="D966">
        <v>36.289000000000001</v>
      </c>
      <c r="E966">
        <v>1</v>
      </c>
      <c r="F966">
        <v>0.36699999999999999</v>
      </c>
      <c r="H966" s="4" t="str">
        <f t="array" aca="1" ref="H966" ca="1">SUBSTITUTE(SUBSTITUTE(_xlfn.TEXTJOIN("",TRUE,IF(ISERR(MID(C966,ROW(INDIRECT("1:100")),1)+0),MID(C966,ROW(INDIRECT("1:100")),1),"")),")",""),"(","")</f>
        <v>Commodities</v>
      </c>
    </row>
    <row r="967" spans="1:8" x14ac:dyDescent="0.25">
      <c r="A967">
        <v>2017</v>
      </c>
      <c r="B967">
        <v>10</v>
      </c>
      <c r="C967" t="s">
        <v>27</v>
      </c>
      <c r="D967">
        <v>63.710999999999999</v>
      </c>
      <c r="E967">
        <v>2.6</v>
      </c>
      <c r="F967">
        <v>1.675</v>
      </c>
      <c r="H967" s="4" t="str">
        <f t="array" aca="1" ref="H967" ca="1">SUBSTITUTE(SUBSTITUTE(_xlfn.TEXTJOIN("",TRUE,IF(ISERR(MID(C967,ROW(INDIRECT("1:100")),1)+0),MID(C967,ROW(INDIRECT("1:100")),1),"")),")",""),"(","")</f>
        <v>Services</v>
      </c>
    </row>
    <row r="968" spans="1:8" x14ac:dyDescent="0.25">
      <c r="A968">
        <v>2017</v>
      </c>
      <c r="B968">
        <v>10</v>
      </c>
      <c r="C968" t="s">
        <v>28</v>
      </c>
      <c r="D968">
        <v>8.9499999999999993</v>
      </c>
      <c r="E968">
        <v>-2.2000000000000002</v>
      </c>
      <c r="F968">
        <v>-0.2</v>
      </c>
      <c r="H968" s="4" t="str">
        <f t="array" aca="1" ref="H968" ca="1">SUBSTITUTE(SUBSTITUTE(_xlfn.TEXTJOIN("",TRUE,IF(ISERR(MID(C968,ROW(INDIRECT("1:100")),1)+0),MID(C968,ROW(INDIRECT("1:100")),1),"")),")",""),"(","")</f>
        <v>Durables</v>
      </c>
    </row>
    <row r="969" spans="1:8" x14ac:dyDescent="0.25">
      <c r="A969">
        <v>2017</v>
      </c>
      <c r="B969">
        <v>10</v>
      </c>
      <c r="C969" t="s">
        <v>29</v>
      </c>
      <c r="D969">
        <v>27.338000000000001</v>
      </c>
      <c r="E969">
        <v>2.1</v>
      </c>
      <c r="F969">
        <v>0.56699999999999995</v>
      </c>
      <c r="H969" s="4" t="str">
        <f t="array" aca="1" ref="H969" ca="1">SUBSTITUTE(SUBSTITUTE(_xlfn.TEXTJOIN("",TRUE,IF(ISERR(MID(C969,ROW(INDIRECT("1:100")),1)+0),MID(C969,ROW(INDIRECT("1:100")),1),"")),")",""),"(","")</f>
        <v>Nondurables</v>
      </c>
    </row>
    <row r="970" spans="1:8" x14ac:dyDescent="0.25">
      <c r="A970">
        <v>2017</v>
      </c>
      <c r="B970">
        <v>10</v>
      </c>
      <c r="C970" t="s">
        <v>8</v>
      </c>
      <c r="D970">
        <v>42.75</v>
      </c>
      <c r="E970">
        <v>2.8</v>
      </c>
      <c r="F970">
        <v>1.1839999999999999</v>
      </c>
      <c r="H970" s="4" t="str">
        <f t="array" aca="1" ref="H970" ca="1">SUBSTITUTE(SUBSTITUTE(_xlfn.TEXTJOIN("",TRUE,IF(ISERR(MID(C970,ROW(INDIRECT("1:100")),1)+0),MID(C970,ROW(INDIRECT("1:100")),1),"")),")",""),"(","")</f>
        <v>Housing</v>
      </c>
    </row>
    <row r="971" spans="1:8" x14ac:dyDescent="0.25">
      <c r="A971">
        <v>2017</v>
      </c>
      <c r="B971">
        <v>10</v>
      </c>
      <c r="C971" t="s">
        <v>30</v>
      </c>
      <c r="D971">
        <v>6.69</v>
      </c>
      <c r="E971">
        <v>-1.8</v>
      </c>
      <c r="F971">
        <v>-0.124</v>
      </c>
      <c r="H971" s="4" t="str">
        <f t="array" aca="1" ref="H971" ca="1">SUBSTITUTE(SUBSTITUTE(_xlfn.TEXTJOIN("",TRUE,IF(ISERR(MID(C971,ROW(INDIRECT("1:100")),1)+0),MID(C971,ROW(INDIRECT("1:100")),1),"")),")",""),"(","")</f>
        <v>Education and communication</v>
      </c>
    </row>
    <row r="972" spans="1:8" x14ac:dyDescent="0.25">
      <c r="A972">
        <v>2017</v>
      </c>
      <c r="B972">
        <v>10</v>
      </c>
      <c r="C972" t="s">
        <v>31</v>
      </c>
      <c r="D972">
        <v>5.649</v>
      </c>
      <c r="E972">
        <v>1.7</v>
      </c>
      <c r="F972">
        <v>9.5000000000000001E-2</v>
      </c>
      <c r="H972" s="4" t="str">
        <f t="array" aca="1" ref="H972" ca="1">SUBSTITUTE(SUBSTITUTE(_xlfn.TEXTJOIN("",TRUE,IF(ISERR(MID(C972,ROW(INDIRECT("1:100")),1)+0),MID(C972,ROW(INDIRECT("1:100")),1),"")),")",""),"(","")</f>
        <v>Recreation</v>
      </c>
    </row>
    <row r="973" spans="1:8" x14ac:dyDescent="0.25">
      <c r="A973">
        <v>2017</v>
      </c>
      <c r="B973">
        <v>10</v>
      </c>
      <c r="C973" t="s">
        <v>6</v>
      </c>
      <c r="D973">
        <v>14.538</v>
      </c>
      <c r="E973">
        <v>1.3</v>
      </c>
      <c r="F973">
        <v>0.19400000000000001</v>
      </c>
      <c r="H973" s="4" t="str">
        <f t="array" aca="1" ref="H973" ca="1">SUBSTITUTE(SUBSTITUTE(_xlfn.TEXTJOIN("",TRUE,IF(ISERR(MID(C973,ROW(INDIRECT("1:100")),1)+0),MID(C973,ROW(INDIRECT("1:100")),1),"")),")",""),"(","")</f>
        <v>Food and beverages</v>
      </c>
    </row>
    <row r="974" spans="1:8" x14ac:dyDescent="0.25">
      <c r="A974">
        <v>2017</v>
      </c>
      <c r="B974">
        <v>10</v>
      </c>
      <c r="C974" t="s">
        <v>32</v>
      </c>
      <c r="D974">
        <v>11.656000000000001</v>
      </c>
      <c r="E974">
        <v>0.6</v>
      </c>
      <c r="F974">
        <v>7.0000000000000007E-2</v>
      </c>
      <c r="H974" s="4" t="str">
        <f t="array" aca="1" ref="H974" ca="1">SUBSTITUTE(SUBSTITUTE(_xlfn.TEXTJOIN("",TRUE,IF(ISERR(MID(C974,ROW(INDIRECT("1:100")),1)+0),MID(C974,ROW(INDIRECT("1:100")),1),"")),")",""),"(","")</f>
        <v>Other services</v>
      </c>
    </row>
    <row r="975" spans="1:8" x14ac:dyDescent="0.25">
      <c r="A975">
        <v>2017</v>
      </c>
      <c r="B975">
        <v>10</v>
      </c>
      <c r="C975" t="s">
        <v>33</v>
      </c>
      <c r="D975">
        <v>2.42</v>
      </c>
      <c r="E975">
        <v>-0.2</v>
      </c>
      <c r="F975">
        <v>-4.0000000000000001E-3</v>
      </c>
      <c r="H975" s="4" t="str">
        <f t="array" aca="1" ref="H975" ca="1">SUBSTITUTE(SUBSTITUTE(_xlfn.TEXTJOIN("",TRUE,IF(ISERR(MID(C975,ROW(INDIRECT("1:100")),1)+0),MID(C975,ROW(INDIRECT("1:100")),1),"")),")",""),"(","")</f>
        <v>Apparel less footwear</v>
      </c>
    </row>
    <row r="976" spans="1:8" x14ac:dyDescent="0.25">
      <c r="A976">
        <v>2017</v>
      </c>
      <c r="B976">
        <v>10</v>
      </c>
      <c r="C976" t="s">
        <v>34</v>
      </c>
      <c r="D976">
        <v>5.101</v>
      </c>
      <c r="E976">
        <v>2.8</v>
      </c>
      <c r="F976">
        <v>0.13800000000000001</v>
      </c>
      <c r="H976" s="4" t="str">
        <f t="array" aca="1" ref="H976" ca="1">SUBSTITUTE(SUBSTITUTE(_xlfn.TEXTJOIN("",TRUE,IF(ISERR(MID(C976,ROW(INDIRECT("1:100")),1)+0),MID(C976,ROW(INDIRECT("1:100")),1),"")),")",""),"(","")</f>
        <v>Fuels and utilities</v>
      </c>
    </row>
    <row r="977" spans="1:8" x14ac:dyDescent="0.25">
      <c r="A977">
        <v>2017</v>
      </c>
      <c r="B977">
        <v>10</v>
      </c>
      <c r="C977" t="s">
        <v>11</v>
      </c>
      <c r="D977">
        <v>8.4779999999999998</v>
      </c>
      <c r="E977">
        <v>1.7</v>
      </c>
      <c r="F977">
        <v>0.14299999999999999</v>
      </c>
      <c r="H977" s="4" t="str">
        <f t="array" aca="1" ref="H977" ca="1">SUBSTITUTE(SUBSTITUTE(_xlfn.TEXTJOIN("",TRUE,IF(ISERR(MID(C977,ROW(INDIRECT("1:100")),1)+0),MID(C977,ROW(INDIRECT("1:100")),1),"")),")",""),"(","")</f>
        <v>Medical care</v>
      </c>
    </row>
    <row r="978" spans="1:8" x14ac:dyDescent="0.25">
      <c r="A978">
        <v>2017</v>
      </c>
      <c r="B978">
        <v>10</v>
      </c>
      <c r="C978" t="s">
        <v>7</v>
      </c>
      <c r="D978">
        <v>15.634</v>
      </c>
      <c r="E978">
        <v>3.2</v>
      </c>
      <c r="F978">
        <v>0.48899999999999999</v>
      </c>
      <c r="H978" s="4" t="str">
        <f t="array" aca="1" ref="H978" ca="1">SUBSTITUTE(SUBSTITUTE(_xlfn.TEXTJOIN("",TRUE,IF(ISERR(MID(C978,ROW(INDIRECT("1:100")),1)+0),MID(C978,ROW(INDIRECT("1:100")),1),"")),")",""),"(","")</f>
        <v>Transportation</v>
      </c>
    </row>
    <row r="979" spans="1:8" x14ac:dyDescent="0.25">
      <c r="A979">
        <v>2017</v>
      </c>
      <c r="B979">
        <v>10</v>
      </c>
      <c r="C979" t="s">
        <v>35</v>
      </c>
      <c r="D979">
        <v>9.7759999999999998</v>
      </c>
      <c r="E979">
        <v>0.4</v>
      </c>
      <c r="F979">
        <v>4.1000000000000002E-2</v>
      </c>
      <c r="H979" s="4" t="str">
        <f t="array" aca="1" ref="H979" ca="1">SUBSTITUTE(SUBSTITUTE(_xlfn.TEXTJOIN("",TRUE,IF(ISERR(MID(C979,ROW(INDIRECT("1:100")),1)+0),MID(C979,ROW(INDIRECT("1:100")),1),"")),")",""),"(","")</f>
        <v>Utilities and public transportation</v>
      </c>
    </row>
    <row r="980" spans="1:8" x14ac:dyDescent="0.25">
      <c r="A980">
        <v>2017</v>
      </c>
      <c r="B980">
        <v>10</v>
      </c>
      <c r="C980" t="s">
        <v>36</v>
      </c>
      <c r="D980">
        <v>3.9180000000000001</v>
      </c>
      <c r="E980">
        <v>-0.9</v>
      </c>
      <c r="F980">
        <v>-3.7999999999999999E-2</v>
      </c>
      <c r="H980" s="4" t="str">
        <f t="array" aca="1" ref="H980" ca="1">SUBSTITUTE(SUBSTITUTE(_xlfn.TEXTJOIN("",TRUE,IF(ISERR(MID(C980,ROW(INDIRECT("1:100")),1)+0),MID(C980,ROW(INDIRECT("1:100")),1),"")),")",""),"(","")</f>
        <v>Household furnishings and operations</v>
      </c>
    </row>
    <row r="981" spans="1:8" x14ac:dyDescent="0.25">
      <c r="A981">
        <v>2017</v>
      </c>
      <c r="B981">
        <v>10</v>
      </c>
      <c r="C981" t="s">
        <v>12</v>
      </c>
      <c r="D981">
        <v>3.1589999999999998</v>
      </c>
      <c r="E981">
        <v>2.5</v>
      </c>
      <c r="F981">
        <v>0.08</v>
      </c>
      <c r="H981" s="4" t="str">
        <f t="array" aca="1" ref="H981" ca="1">SUBSTITUTE(SUBSTITUTE(_xlfn.TEXTJOIN("",TRUE,IF(ISERR(MID(C981,ROW(INDIRECT("1:100")),1)+0),MID(C981,ROW(INDIRECT("1:100")),1),"")),")",""),"(","")</f>
        <v>Other goods and services</v>
      </c>
    </row>
    <row r="982" spans="1:8" x14ac:dyDescent="0.25">
      <c r="A982">
        <v>2017</v>
      </c>
      <c r="B982">
        <v>11</v>
      </c>
      <c r="C982" t="s">
        <v>14</v>
      </c>
      <c r="D982">
        <v>100</v>
      </c>
      <c r="E982">
        <v>2.2000000000000002</v>
      </c>
      <c r="H982" s="4" t="str">
        <f t="array" aca="1" ref="H982" ca="1">SUBSTITUTE(SUBSTITUTE(_xlfn.TEXTJOIN("",TRUE,IF(ISERR(MID(C982,ROW(INDIRECT("1:100")),1)+0),MID(C982,ROW(INDIRECT("1:100")),1),"")),")",""),"(","")</f>
        <v>All items</v>
      </c>
    </row>
    <row r="983" spans="1:8" x14ac:dyDescent="0.25">
      <c r="A983">
        <v>2017</v>
      </c>
      <c r="B983">
        <v>11</v>
      </c>
      <c r="C983" t="s">
        <v>15</v>
      </c>
      <c r="D983">
        <v>13.627000000000001</v>
      </c>
      <c r="E983">
        <v>1.4</v>
      </c>
      <c r="F983">
        <v>0.19</v>
      </c>
      <c r="H983" s="4" t="str">
        <f t="array" aca="1" ref="H983" ca="1">SUBSTITUTE(SUBSTITUTE(_xlfn.TEXTJOIN("",TRUE,IF(ISERR(MID(C983,ROW(INDIRECT("1:100")),1)+0),MID(C983,ROW(INDIRECT("1:100")),1),"")),")",""),"(","")</f>
        <v>Food</v>
      </c>
    </row>
    <row r="984" spans="1:8" x14ac:dyDescent="0.25">
      <c r="A984">
        <v>2017</v>
      </c>
      <c r="B984">
        <v>11</v>
      </c>
      <c r="C984" t="s">
        <v>16</v>
      </c>
      <c r="D984">
        <v>7.3879999999999999</v>
      </c>
      <c r="E984">
        <v>9.4</v>
      </c>
      <c r="F984">
        <v>0.65500000000000003</v>
      </c>
      <c r="H984" s="4" t="str">
        <f t="array" aca="1" ref="H984" ca="1">SUBSTITUTE(SUBSTITUTE(_xlfn.TEXTJOIN("",TRUE,IF(ISERR(MID(C984,ROW(INDIRECT("1:100")),1)+0),MID(C984,ROW(INDIRECT("1:100")),1),"")),")",""),"(","")</f>
        <v>Energy</v>
      </c>
    </row>
    <row r="985" spans="1:8" x14ac:dyDescent="0.25">
      <c r="A985">
        <v>2017</v>
      </c>
      <c r="B985">
        <v>11</v>
      </c>
      <c r="C985" t="s">
        <v>17</v>
      </c>
      <c r="D985">
        <v>78.984999999999999</v>
      </c>
      <c r="E985">
        <v>1.7</v>
      </c>
      <c r="F985">
        <v>1.357</v>
      </c>
      <c r="H985" s="4" t="str">
        <f t="array" aca="1" ref="H985" ca="1">SUBSTITUTE(SUBSTITUTE(_xlfn.TEXTJOIN("",TRUE,IF(ISERR(MID(C985,ROW(INDIRECT("1:100")),1)+0),MID(C985,ROW(INDIRECT("1:100")),1),"")),")",""),"(","")</f>
        <v>All items less food and energy</v>
      </c>
    </row>
    <row r="986" spans="1:8" x14ac:dyDescent="0.25">
      <c r="A986">
        <v>2017</v>
      </c>
      <c r="B986">
        <v>11</v>
      </c>
      <c r="C986" t="s">
        <v>18</v>
      </c>
      <c r="H986" s="4" t="str">
        <f t="array" aca="1" ref="H986" ca="1">SUBSTITUTE(SUBSTITUTE(_xlfn.TEXTJOIN("",TRUE,IF(ISERR(MID(C986,ROW(INDIRECT("1:100")),1)+0),MID(C986,ROW(INDIRECT("1:100")),1),"")),")",""),"(","")</f>
        <v>Special aggregate indexes</v>
      </c>
    </row>
    <row r="987" spans="1:8" x14ac:dyDescent="0.25">
      <c r="A987">
        <v>2017</v>
      </c>
      <c r="B987">
        <v>11</v>
      </c>
      <c r="C987" t="s">
        <v>19</v>
      </c>
      <c r="D987">
        <v>86.373000000000005</v>
      </c>
      <c r="E987">
        <v>2.2999999999999998</v>
      </c>
      <c r="F987">
        <v>2.012</v>
      </c>
      <c r="H987" s="4" t="str">
        <f t="array" aca="1" ref="H987" ca="1">SUBSTITUTE(SUBSTITUTE(_xlfn.TEXTJOIN("",TRUE,IF(ISERR(MID(C987,ROW(INDIRECT("1:100")),1)+0),MID(C987,ROW(INDIRECT("1:100")),1),"")),")",""),"(","")</f>
        <v>All items less food</v>
      </c>
    </row>
    <row r="988" spans="1:8" x14ac:dyDescent="0.25">
      <c r="A988">
        <v>2017</v>
      </c>
      <c r="B988">
        <v>11</v>
      </c>
      <c r="C988" t="s">
        <v>20</v>
      </c>
      <c r="D988">
        <v>66.135000000000005</v>
      </c>
      <c r="E988">
        <v>1.7</v>
      </c>
      <c r="F988">
        <v>1.141</v>
      </c>
      <c r="H988" s="4" t="str">
        <f t="array" aca="1" ref="H988" ca="1">SUBSTITUTE(SUBSTITUTE(_xlfn.TEXTJOIN("",TRUE,IF(ISERR(MID(C988,ROW(INDIRECT("1:100")),1)+0),MID(C988,ROW(INDIRECT("1:100")),1),"")),")",""),"(","")</f>
        <v>All items less shelter</v>
      </c>
    </row>
    <row r="989" spans="1:8" x14ac:dyDescent="0.25">
      <c r="A989">
        <v>2017</v>
      </c>
      <c r="B989">
        <v>11</v>
      </c>
      <c r="C989" t="s">
        <v>21</v>
      </c>
      <c r="D989">
        <v>52.508000000000003</v>
      </c>
      <c r="E989">
        <v>1.8</v>
      </c>
      <c r="F989">
        <v>0.95</v>
      </c>
      <c r="H989" s="4" t="str">
        <f t="array" aca="1" ref="H989" ca="1">SUBSTITUTE(SUBSTITUTE(_xlfn.TEXTJOIN("",TRUE,IF(ISERR(MID(C989,ROW(INDIRECT("1:100")),1)+0),MID(C989,ROW(INDIRECT("1:100")),1),"")),")",""),"(","")</f>
        <v>All items less food and shelter</v>
      </c>
    </row>
    <row r="990" spans="1:8" x14ac:dyDescent="0.25">
      <c r="A990">
        <v>2017</v>
      </c>
      <c r="B990">
        <v>11</v>
      </c>
      <c r="C990" t="s">
        <v>22</v>
      </c>
      <c r="D990">
        <v>45.12</v>
      </c>
      <c r="E990">
        <v>0.6</v>
      </c>
      <c r="F990">
        <v>0.29499999999999998</v>
      </c>
      <c r="H990" s="4" t="str">
        <f t="array" aca="1" ref="H990" ca="1">SUBSTITUTE(SUBSTITUTE(_xlfn.TEXTJOIN("",TRUE,IF(ISERR(MID(C990,ROW(INDIRECT("1:100")),1)+0),MID(C990,ROW(INDIRECT("1:100")),1),"")),")",""),"(","")</f>
        <v>All items less food, shelter, and energy</v>
      </c>
    </row>
    <row r="991" spans="1:8" x14ac:dyDescent="0.25">
      <c r="A991">
        <v>2017</v>
      </c>
      <c r="B991">
        <v>11</v>
      </c>
      <c r="C991" t="s">
        <v>23</v>
      </c>
      <c r="D991">
        <v>43.198999999999998</v>
      </c>
      <c r="E991">
        <v>0.8</v>
      </c>
      <c r="F991">
        <v>0.33700000000000002</v>
      </c>
      <c r="H991" s="4" t="str">
        <f t="array" aca="1" ref="H991" ca="1">SUBSTITUTE(SUBSTITUTE(_xlfn.TEXTJOIN("",TRUE,IF(ISERR(MID(C991,ROW(INDIRECT("1:100")),1)+0),MID(C991,ROW(INDIRECT("1:100")),1),"")),")",""),"(","")</f>
        <v>All items less food, shelter, energy, and used cars and trucks</v>
      </c>
    </row>
    <row r="992" spans="1:8" x14ac:dyDescent="0.25">
      <c r="A992">
        <v>2017</v>
      </c>
      <c r="B992">
        <v>11</v>
      </c>
      <c r="C992" t="s">
        <v>24</v>
      </c>
      <c r="D992">
        <v>91.504999999999995</v>
      </c>
      <c r="E992">
        <v>2.2999999999999998</v>
      </c>
      <c r="F992">
        <v>2.06</v>
      </c>
      <c r="H992" s="4" t="str">
        <f t="array" aca="1" ref="H992" ca="1">SUBSTITUTE(SUBSTITUTE(_xlfn.TEXTJOIN("",TRUE,IF(ISERR(MID(C992,ROW(INDIRECT("1:100")),1)+0),MID(C992,ROW(INDIRECT("1:100")),1),"")),")",""),"(","")</f>
        <v>All items less medical care</v>
      </c>
    </row>
    <row r="993" spans="1:8" x14ac:dyDescent="0.25">
      <c r="A993">
        <v>2017</v>
      </c>
      <c r="B993">
        <v>11</v>
      </c>
      <c r="C993" t="s">
        <v>25</v>
      </c>
      <c r="D993">
        <v>92.611999999999995</v>
      </c>
      <c r="E993">
        <v>1.7</v>
      </c>
      <c r="F993">
        <v>1.548</v>
      </c>
      <c r="H993" s="4" t="str">
        <f t="array" aca="1" ref="H993" ca="1">SUBSTITUTE(SUBSTITUTE(_xlfn.TEXTJOIN("",TRUE,IF(ISERR(MID(C993,ROW(INDIRECT("1:100")),1)+0),MID(C993,ROW(INDIRECT("1:100")),1),"")),")",""),"(","")</f>
        <v>All items less energy</v>
      </c>
    </row>
    <row r="994" spans="1:8" x14ac:dyDescent="0.25">
      <c r="A994">
        <v>2017</v>
      </c>
      <c r="B994">
        <v>11</v>
      </c>
      <c r="C994" t="s">
        <v>26</v>
      </c>
      <c r="D994">
        <v>36.155000000000001</v>
      </c>
      <c r="E994">
        <v>1.6</v>
      </c>
      <c r="F994">
        <v>0.57299999999999995</v>
      </c>
      <c r="H994" s="4" t="str">
        <f t="array" aca="1" ref="H994" ca="1">SUBSTITUTE(SUBSTITUTE(_xlfn.TEXTJOIN("",TRUE,IF(ISERR(MID(C994,ROW(INDIRECT("1:100")),1)+0),MID(C994,ROW(INDIRECT("1:100")),1),"")),")",""),"(","")</f>
        <v>Commodities</v>
      </c>
    </row>
    <row r="995" spans="1:8" x14ac:dyDescent="0.25">
      <c r="A995">
        <v>2017</v>
      </c>
      <c r="B995">
        <v>11</v>
      </c>
      <c r="C995" t="s">
        <v>27</v>
      </c>
      <c r="D995">
        <v>63.844999999999999</v>
      </c>
      <c r="E995">
        <v>2.6</v>
      </c>
      <c r="F995">
        <v>1.629</v>
      </c>
      <c r="H995" s="4" t="str">
        <f t="array" aca="1" ref="H995" ca="1">SUBSTITUTE(SUBSTITUTE(_xlfn.TEXTJOIN("",TRUE,IF(ISERR(MID(C995,ROW(INDIRECT("1:100")),1)+0),MID(C995,ROW(INDIRECT("1:100")),1),"")),")",""),"(","")</f>
        <v>Services</v>
      </c>
    </row>
    <row r="996" spans="1:8" x14ac:dyDescent="0.25">
      <c r="A996">
        <v>2017</v>
      </c>
      <c r="B996">
        <v>11</v>
      </c>
      <c r="C996" t="s">
        <v>28</v>
      </c>
      <c r="D996">
        <v>8.9269999999999996</v>
      </c>
      <c r="E996">
        <v>-1.7</v>
      </c>
      <c r="F996">
        <v>-0.155</v>
      </c>
      <c r="H996" s="4" t="str">
        <f t="array" aca="1" ref="H996" ca="1">SUBSTITUTE(SUBSTITUTE(_xlfn.TEXTJOIN("",TRUE,IF(ISERR(MID(C996,ROW(INDIRECT("1:100")),1)+0),MID(C996,ROW(INDIRECT("1:100")),1),"")),")",""),"(","")</f>
        <v>Durables</v>
      </c>
    </row>
    <row r="997" spans="1:8" x14ac:dyDescent="0.25">
      <c r="A997">
        <v>2017</v>
      </c>
      <c r="B997">
        <v>11</v>
      </c>
      <c r="C997" t="s">
        <v>29</v>
      </c>
      <c r="D997">
        <v>27.228000000000002</v>
      </c>
      <c r="E997">
        <v>2.7</v>
      </c>
      <c r="F997">
        <v>0.72799999999999998</v>
      </c>
      <c r="H997" s="4" t="str">
        <f t="array" aca="1" ref="H997" ca="1">SUBSTITUTE(SUBSTITUTE(_xlfn.TEXTJOIN("",TRUE,IF(ISERR(MID(C997,ROW(INDIRECT("1:100")),1)+0),MID(C997,ROW(INDIRECT("1:100")),1),"")),")",""),"(","")</f>
        <v>Nondurables</v>
      </c>
    </row>
    <row r="998" spans="1:8" x14ac:dyDescent="0.25">
      <c r="A998">
        <v>2017</v>
      </c>
      <c r="B998">
        <v>11</v>
      </c>
      <c r="C998" t="s">
        <v>8</v>
      </c>
      <c r="D998">
        <v>42.8</v>
      </c>
      <c r="E998">
        <v>2.8</v>
      </c>
      <c r="F998">
        <v>1.1930000000000001</v>
      </c>
      <c r="H998" s="4" t="str">
        <f t="array" aca="1" ref="H998" ca="1">SUBSTITUTE(SUBSTITUTE(_xlfn.TEXTJOIN("",TRUE,IF(ISERR(MID(C998,ROW(INDIRECT("1:100")),1)+0),MID(C998,ROW(INDIRECT("1:100")),1),"")),")",""),"(","")</f>
        <v>Housing</v>
      </c>
    </row>
    <row r="999" spans="1:8" x14ac:dyDescent="0.25">
      <c r="A999">
        <v>2017</v>
      </c>
      <c r="B999">
        <v>11</v>
      </c>
      <c r="C999" t="s">
        <v>30</v>
      </c>
      <c r="D999">
        <v>6.71</v>
      </c>
      <c r="E999">
        <v>-1.7</v>
      </c>
      <c r="F999">
        <v>-0.11899999999999999</v>
      </c>
      <c r="H999" s="4" t="str">
        <f t="array" aca="1" ref="H999" ca="1">SUBSTITUTE(SUBSTITUTE(_xlfn.TEXTJOIN("",TRUE,IF(ISERR(MID(C999,ROW(INDIRECT("1:100")),1)+0),MID(C999,ROW(INDIRECT("1:100")),1),"")),")",""),"(","")</f>
        <v>Education and communication</v>
      </c>
    </row>
    <row r="1000" spans="1:8" x14ac:dyDescent="0.25">
      <c r="A1000">
        <v>2017</v>
      </c>
      <c r="B1000">
        <v>11</v>
      </c>
      <c r="C1000" t="s">
        <v>31</v>
      </c>
      <c r="D1000">
        <v>5.6429999999999998</v>
      </c>
      <c r="E1000">
        <v>1.4</v>
      </c>
      <c r="F1000">
        <v>8.1000000000000003E-2</v>
      </c>
      <c r="H1000" s="4" t="str">
        <f t="array" aca="1" ref="H1000" ca="1">SUBSTITUTE(SUBSTITUTE(_xlfn.TEXTJOIN("",TRUE,IF(ISERR(MID(C1000,ROW(INDIRECT("1:100")),1)+0),MID(C1000,ROW(INDIRECT("1:100")),1),"")),")",""),"(","")</f>
        <v>Recreation</v>
      </c>
    </row>
    <row r="1001" spans="1:8" x14ac:dyDescent="0.25">
      <c r="A1001">
        <v>2017</v>
      </c>
      <c r="B1001">
        <v>11</v>
      </c>
      <c r="C1001" t="s">
        <v>6</v>
      </c>
      <c r="D1001">
        <v>14.571</v>
      </c>
      <c r="E1001">
        <v>1.4</v>
      </c>
      <c r="F1001">
        <v>0.20399999999999999</v>
      </c>
      <c r="H1001" s="4" t="str">
        <f t="array" aca="1" ref="H1001" ca="1">SUBSTITUTE(SUBSTITUTE(_xlfn.TEXTJOIN("",TRUE,IF(ISERR(MID(C1001,ROW(INDIRECT("1:100")),1)+0),MID(C1001,ROW(INDIRECT("1:100")),1),"")),")",""),"(","")</f>
        <v>Food and beverages</v>
      </c>
    </row>
    <row r="1002" spans="1:8" x14ac:dyDescent="0.25">
      <c r="A1002">
        <v>2017</v>
      </c>
      <c r="B1002">
        <v>11</v>
      </c>
      <c r="C1002" t="s">
        <v>32</v>
      </c>
      <c r="D1002">
        <v>11.672000000000001</v>
      </c>
      <c r="E1002">
        <v>0.6</v>
      </c>
      <c r="F1002">
        <v>6.6000000000000003E-2</v>
      </c>
      <c r="H1002" s="4" t="str">
        <f t="array" aca="1" ref="H1002" ca="1">SUBSTITUTE(SUBSTITUTE(_xlfn.TEXTJOIN("",TRUE,IF(ISERR(MID(C1002,ROW(INDIRECT("1:100")),1)+0),MID(C1002,ROW(INDIRECT("1:100")),1),"")),")",""),"(","")</f>
        <v>Other services</v>
      </c>
    </row>
    <row r="1003" spans="1:8" x14ac:dyDescent="0.25">
      <c r="A1003">
        <v>2017</v>
      </c>
      <c r="B1003">
        <v>11</v>
      </c>
      <c r="C1003" t="s">
        <v>33</v>
      </c>
      <c r="D1003">
        <v>2.4540000000000002</v>
      </c>
      <c r="E1003">
        <v>-1.4</v>
      </c>
      <c r="F1003">
        <v>-3.4000000000000002E-2</v>
      </c>
      <c r="H1003" s="4" t="str">
        <f t="array" aca="1" ref="H1003" ca="1">SUBSTITUTE(SUBSTITUTE(_xlfn.TEXTJOIN("",TRUE,IF(ISERR(MID(C1003,ROW(INDIRECT("1:100")),1)+0),MID(C1003,ROW(INDIRECT("1:100")),1),"")),")",""),"(","")</f>
        <v>Apparel less footwear</v>
      </c>
    </row>
    <row r="1004" spans="1:8" x14ac:dyDescent="0.25">
      <c r="A1004">
        <v>2017</v>
      </c>
      <c r="B1004">
        <v>11</v>
      </c>
      <c r="C1004" t="s">
        <v>34</v>
      </c>
      <c r="D1004">
        <v>5.0069999999999997</v>
      </c>
      <c r="E1004">
        <v>3.3</v>
      </c>
      <c r="F1004">
        <v>0.16400000000000001</v>
      </c>
      <c r="H1004" s="4" t="str">
        <f t="array" aca="1" ref="H1004" ca="1">SUBSTITUTE(SUBSTITUTE(_xlfn.TEXTJOIN("",TRUE,IF(ISERR(MID(C1004,ROW(INDIRECT("1:100")),1)+0),MID(C1004,ROW(INDIRECT("1:100")),1),"")),")",""),"(","")</f>
        <v>Fuels and utilities</v>
      </c>
    </row>
    <row r="1005" spans="1:8" x14ac:dyDescent="0.25">
      <c r="A1005">
        <v>2017</v>
      </c>
      <c r="B1005">
        <v>11</v>
      </c>
      <c r="C1005" t="s">
        <v>11</v>
      </c>
      <c r="D1005">
        <v>8.4949999999999992</v>
      </c>
      <c r="E1005">
        <v>1.7</v>
      </c>
      <c r="F1005">
        <v>0.14299999999999999</v>
      </c>
      <c r="H1005" s="4" t="str">
        <f t="array" aca="1" ref="H1005" ca="1">SUBSTITUTE(SUBSTITUTE(_xlfn.TEXTJOIN("",TRUE,IF(ISERR(MID(C1005,ROW(INDIRECT("1:100")),1)+0),MID(C1005,ROW(INDIRECT("1:100")),1),"")),")",""),"(","")</f>
        <v>Medical care</v>
      </c>
    </row>
    <row r="1006" spans="1:8" x14ac:dyDescent="0.25">
      <c r="A1006">
        <v>2017</v>
      </c>
      <c r="B1006">
        <v>11</v>
      </c>
      <c r="C1006" t="s">
        <v>7</v>
      </c>
      <c r="D1006">
        <v>15.467000000000001</v>
      </c>
      <c r="E1006">
        <v>4.4000000000000004</v>
      </c>
      <c r="F1006">
        <v>0.67200000000000004</v>
      </c>
      <c r="H1006" s="4" t="str">
        <f t="array" aca="1" ref="H1006" ca="1">SUBSTITUTE(SUBSTITUTE(_xlfn.TEXTJOIN("",TRUE,IF(ISERR(MID(C1006,ROW(INDIRECT("1:100")),1)+0),MID(C1006,ROW(INDIRECT("1:100")),1),"")),")",""),"(","")</f>
        <v>Transportation</v>
      </c>
    </row>
    <row r="1007" spans="1:8" x14ac:dyDescent="0.25">
      <c r="A1007">
        <v>2017</v>
      </c>
      <c r="B1007">
        <v>11</v>
      </c>
      <c r="C1007" t="s">
        <v>35</v>
      </c>
      <c r="D1007">
        <v>9.7050000000000001</v>
      </c>
      <c r="E1007">
        <v>0.5</v>
      </c>
      <c r="F1007">
        <v>4.5999999999999999E-2</v>
      </c>
      <c r="H1007" s="4" t="str">
        <f t="array" aca="1" ref="H1007" ca="1">SUBSTITUTE(SUBSTITUTE(_xlfn.TEXTJOIN("",TRUE,IF(ISERR(MID(C1007,ROW(INDIRECT("1:100")),1)+0),MID(C1007,ROW(INDIRECT("1:100")),1),"")),")",""),"(","")</f>
        <v>Utilities and public transportation</v>
      </c>
    </row>
    <row r="1008" spans="1:8" x14ac:dyDescent="0.25">
      <c r="A1008">
        <v>2017</v>
      </c>
      <c r="B1008">
        <v>11</v>
      </c>
      <c r="C1008" t="s">
        <v>36</v>
      </c>
      <c r="D1008">
        <v>3.9279999999999999</v>
      </c>
      <c r="E1008">
        <v>-0.8</v>
      </c>
      <c r="F1008">
        <v>-3.3000000000000002E-2</v>
      </c>
      <c r="H1008" s="4" t="str">
        <f t="array" aca="1" ref="H1008" ca="1">SUBSTITUTE(SUBSTITUTE(_xlfn.TEXTJOIN("",TRUE,IF(ISERR(MID(C1008,ROW(INDIRECT("1:100")),1)+0),MID(C1008,ROW(INDIRECT("1:100")),1),"")),")",""),"(","")</f>
        <v>Household furnishings and operations</v>
      </c>
    </row>
    <row r="1009" spans="1:8" x14ac:dyDescent="0.25">
      <c r="A1009">
        <v>2017</v>
      </c>
      <c r="B1009">
        <v>11</v>
      </c>
      <c r="C1009" t="s">
        <v>12</v>
      </c>
      <c r="D1009">
        <v>3.177</v>
      </c>
      <c r="E1009">
        <v>2.4</v>
      </c>
      <c r="F1009">
        <v>7.6999999999999999E-2</v>
      </c>
      <c r="H1009" s="4" t="str">
        <f t="array" aca="1" ref="H1009" ca="1">SUBSTITUTE(SUBSTITUTE(_xlfn.TEXTJOIN("",TRUE,IF(ISERR(MID(C1009,ROW(INDIRECT("1:100")),1)+0),MID(C1009,ROW(INDIRECT("1:100")),1),"")),")",""),"(","")</f>
        <v>Other goods and services</v>
      </c>
    </row>
    <row r="1010" spans="1:8" x14ac:dyDescent="0.25">
      <c r="A1010">
        <v>2017</v>
      </c>
      <c r="B1010">
        <v>12</v>
      </c>
      <c r="C1010" t="s">
        <v>14</v>
      </c>
      <c r="D1010">
        <v>100</v>
      </c>
      <c r="E1010">
        <v>2.1</v>
      </c>
      <c r="H1010" s="4" t="str">
        <f t="array" aca="1" ref="H1010" ca="1">SUBSTITUTE(SUBSTITUTE(_xlfn.TEXTJOIN("",TRUE,IF(ISERR(MID(C1010,ROW(INDIRECT("1:100")),1)+0),MID(C1010,ROW(INDIRECT("1:100")),1),"")),")",""),"(","")</f>
        <v>All items</v>
      </c>
    </row>
    <row r="1011" spans="1:8" x14ac:dyDescent="0.25">
      <c r="A1011">
        <v>2017</v>
      </c>
      <c r="B1011">
        <v>12</v>
      </c>
      <c r="C1011" t="s">
        <v>15</v>
      </c>
      <c r="D1011">
        <v>13.6</v>
      </c>
      <c r="E1011">
        <v>1.6</v>
      </c>
      <c r="F1011">
        <v>0.217</v>
      </c>
      <c r="H1011" s="4" t="str">
        <f t="array" aca="1" ref="H1011" ca="1">SUBSTITUTE(SUBSTITUTE(_xlfn.TEXTJOIN("",TRUE,IF(ISERR(MID(C1011,ROW(INDIRECT("1:100")),1)+0),MID(C1011,ROW(INDIRECT("1:100")),1),"")),")",""),"(","")</f>
        <v>Food</v>
      </c>
    </row>
    <row r="1012" spans="1:8" x14ac:dyDescent="0.25">
      <c r="A1012">
        <v>2017</v>
      </c>
      <c r="B1012">
        <v>12</v>
      </c>
      <c r="C1012" t="s">
        <v>16</v>
      </c>
      <c r="D1012">
        <v>7.4619999999999997</v>
      </c>
      <c r="E1012">
        <v>6.9</v>
      </c>
      <c r="F1012">
        <v>0.48399999999999999</v>
      </c>
      <c r="H1012" s="4" t="str">
        <f t="array" aca="1" ref="H1012" ca="1">SUBSTITUTE(SUBSTITUTE(_xlfn.TEXTJOIN("",TRUE,IF(ISERR(MID(C1012,ROW(INDIRECT("1:100")),1)+0),MID(C1012,ROW(INDIRECT("1:100")),1),"")),")",""),"(","")</f>
        <v>Energy</v>
      </c>
    </row>
    <row r="1013" spans="1:8" x14ac:dyDescent="0.25">
      <c r="A1013">
        <v>2017</v>
      </c>
      <c r="B1013">
        <v>12</v>
      </c>
      <c r="C1013" t="s">
        <v>17</v>
      </c>
      <c r="D1013">
        <v>78.938000000000002</v>
      </c>
      <c r="E1013">
        <v>1.8</v>
      </c>
      <c r="F1013">
        <v>1.4079999999999999</v>
      </c>
      <c r="H1013" s="4" t="str">
        <f t="array" aca="1" ref="H1013" ca="1">SUBSTITUTE(SUBSTITUTE(_xlfn.TEXTJOIN("",TRUE,IF(ISERR(MID(C1013,ROW(INDIRECT("1:100")),1)+0),MID(C1013,ROW(INDIRECT("1:100")),1),"")),")",""),"(","")</f>
        <v>All items less food and energy</v>
      </c>
    </row>
    <row r="1014" spans="1:8" x14ac:dyDescent="0.25">
      <c r="A1014">
        <v>2017</v>
      </c>
      <c r="B1014">
        <v>12</v>
      </c>
      <c r="C1014" t="s">
        <v>18</v>
      </c>
      <c r="H1014" s="4" t="str">
        <f t="array" aca="1" ref="H1014" ca="1">SUBSTITUTE(SUBSTITUTE(_xlfn.TEXTJOIN("",TRUE,IF(ISERR(MID(C1014,ROW(INDIRECT("1:100")),1)+0),MID(C1014,ROW(INDIRECT("1:100")),1),"")),")",""),"(","")</f>
        <v>Special aggregate indexes</v>
      </c>
    </row>
    <row r="1015" spans="1:8" x14ac:dyDescent="0.25">
      <c r="A1015">
        <v>2017</v>
      </c>
      <c r="B1015">
        <v>12</v>
      </c>
      <c r="C1015" t="s">
        <v>19</v>
      </c>
      <c r="D1015">
        <v>86.4</v>
      </c>
      <c r="E1015">
        <v>2.2000000000000002</v>
      </c>
      <c r="F1015">
        <v>1.8919999999999999</v>
      </c>
      <c r="H1015" s="4" t="str">
        <f t="array" aca="1" ref="H1015" ca="1">SUBSTITUTE(SUBSTITUTE(_xlfn.TEXTJOIN("",TRUE,IF(ISERR(MID(C1015,ROW(INDIRECT("1:100")),1)+0),MID(C1015,ROW(INDIRECT("1:100")),1),"")),")",""),"(","")</f>
        <v>All items less food</v>
      </c>
    </row>
    <row r="1016" spans="1:8" x14ac:dyDescent="0.25">
      <c r="A1016">
        <v>2017</v>
      </c>
      <c r="B1016">
        <v>12</v>
      </c>
      <c r="C1016" t="s">
        <v>20</v>
      </c>
      <c r="D1016">
        <v>66.097999999999999</v>
      </c>
      <c r="E1016">
        <v>1.6</v>
      </c>
      <c r="F1016">
        <v>1.0309999999999999</v>
      </c>
      <c r="H1016" s="4" t="str">
        <f t="array" aca="1" ref="H1016" ca="1">SUBSTITUTE(SUBSTITUTE(_xlfn.TEXTJOIN("",TRUE,IF(ISERR(MID(C1016,ROW(INDIRECT("1:100")),1)+0),MID(C1016,ROW(INDIRECT("1:100")),1),"")),")",""),"(","")</f>
        <v>All items less shelter</v>
      </c>
    </row>
    <row r="1017" spans="1:8" x14ac:dyDescent="0.25">
      <c r="A1017">
        <v>2017</v>
      </c>
      <c r="B1017">
        <v>12</v>
      </c>
      <c r="C1017" t="s">
        <v>21</v>
      </c>
      <c r="D1017">
        <v>52.497999999999998</v>
      </c>
      <c r="E1017">
        <v>1.5</v>
      </c>
      <c r="F1017">
        <v>0.81399999999999995</v>
      </c>
      <c r="H1017" s="4" t="str">
        <f t="array" aca="1" ref="H1017" ca="1">SUBSTITUTE(SUBSTITUTE(_xlfn.TEXTJOIN("",TRUE,IF(ISERR(MID(C1017,ROW(INDIRECT("1:100")),1)+0),MID(C1017,ROW(INDIRECT("1:100")),1),"")),")",""),"(","")</f>
        <v>All items less food and shelter</v>
      </c>
    </row>
    <row r="1018" spans="1:8" x14ac:dyDescent="0.25">
      <c r="A1018">
        <v>2017</v>
      </c>
      <c r="B1018">
        <v>12</v>
      </c>
      <c r="C1018" t="s">
        <v>22</v>
      </c>
      <c r="D1018">
        <v>45.036000000000001</v>
      </c>
      <c r="E1018">
        <v>0.7</v>
      </c>
      <c r="F1018">
        <v>0.33</v>
      </c>
      <c r="H1018" s="4" t="str">
        <f t="array" aca="1" ref="H1018" ca="1">SUBSTITUTE(SUBSTITUTE(_xlfn.TEXTJOIN("",TRUE,IF(ISERR(MID(C1018,ROW(INDIRECT("1:100")),1)+0),MID(C1018,ROW(INDIRECT("1:100")),1),"")),")",""),"(","")</f>
        <v>All items less food, shelter, and energy</v>
      </c>
    </row>
    <row r="1019" spans="1:8" x14ac:dyDescent="0.25">
      <c r="A1019">
        <v>2017</v>
      </c>
      <c r="B1019">
        <v>12</v>
      </c>
      <c r="C1019" t="s">
        <v>23</v>
      </c>
      <c r="D1019">
        <v>43.128</v>
      </c>
      <c r="E1019">
        <v>0.8</v>
      </c>
      <c r="F1019">
        <v>0.34899999999999998</v>
      </c>
      <c r="H1019" s="4" t="str">
        <f t="array" aca="1" ref="H1019" ca="1">SUBSTITUTE(SUBSTITUTE(_xlfn.TEXTJOIN("",TRUE,IF(ISERR(MID(C1019,ROW(INDIRECT("1:100")),1)+0),MID(C1019,ROW(INDIRECT("1:100")),1),"")),")",""),"(","")</f>
        <v>All items less food, shelter, energy, and used cars and trucks</v>
      </c>
    </row>
    <row r="1020" spans="1:8" x14ac:dyDescent="0.25">
      <c r="A1020">
        <v>2017</v>
      </c>
      <c r="B1020">
        <v>12</v>
      </c>
      <c r="C1020" t="s">
        <v>24</v>
      </c>
      <c r="D1020">
        <v>91.504000000000005</v>
      </c>
      <c r="E1020">
        <v>2.1</v>
      </c>
      <c r="F1020">
        <v>1.9570000000000001</v>
      </c>
      <c r="H1020" s="4" t="str">
        <f t="array" aca="1" ref="H1020" ca="1">SUBSTITUTE(SUBSTITUTE(_xlfn.TEXTJOIN("",TRUE,IF(ISERR(MID(C1020,ROW(INDIRECT("1:100")),1)+0),MID(C1020,ROW(INDIRECT("1:100")),1),"")),")",""),"(","")</f>
        <v>All items less medical care</v>
      </c>
    </row>
    <row r="1021" spans="1:8" x14ac:dyDescent="0.25">
      <c r="A1021">
        <v>2017</v>
      </c>
      <c r="B1021">
        <v>12</v>
      </c>
      <c r="C1021" t="s">
        <v>25</v>
      </c>
      <c r="D1021">
        <v>92.537999999999997</v>
      </c>
      <c r="E1021">
        <v>1.7</v>
      </c>
      <c r="F1021">
        <v>1.625</v>
      </c>
      <c r="H1021" s="4" t="str">
        <f t="array" aca="1" ref="H1021" ca="1">SUBSTITUTE(SUBSTITUTE(_xlfn.TEXTJOIN("",TRUE,IF(ISERR(MID(C1021,ROW(INDIRECT("1:100")),1)+0),MID(C1021,ROW(INDIRECT("1:100")),1),"")),")",""),"(","")</f>
        <v>All items less energy</v>
      </c>
    </row>
    <row r="1022" spans="1:8" x14ac:dyDescent="0.25">
      <c r="A1022">
        <v>2017</v>
      </c>
      <c r="B1022">
        <v>12</v>
      </c>
      <c r="C1022" t="s">
        <v>26</v>
      </c>
      <c r="D1022">
        <v>36.100999999999999</v>
      </c>
      <c r="E1022">
        <v>1.3</v>
      </c>
      <c r="F1022">
        <v>0.45500000000000002</v>
      </c>
      <c r="H1022" s="4" t="str">
        <f t="array" aca="1" ref="H1022" ca="1">SUBSTITUTE(SUBSTITUTE(_xlfn.TEXTJOIN("",TRUE,IF(ISERR(MID(C1022,ROW(INDIRECT("1:100")),1)+0),MID(C1022,ROW(INDIRECT("1:100")),1),"")),")",""),"(","")</f>
        <v>Commodities</v>
      </c>
    </row>
    <row r="1023" spans="1:8" x14ac:dyDescent="0.25">
      <c r="A1023">
        <v>2017</v>
      </c>
      <c r="B1023">
        <v>12</v>
      </c>
      <c r="C1023" t="s">
        <v>27</v>
      </c>
      <c r="D1023">
        <v>63.899000000000001</v>
      </c>
      <c r="E1023">
        <v>2.6</v>
      </c>
      <c r="F1023">
        <v>1.6539999999999999</v>
      </c>
      <c r="H1023" s="4" t="str">
        <f t="array" aca="1" ref="H1023" ca="1">SUBSTITUTE(SUBSTITUTE(_xlfn.TEXTJOIN("",TRUE,IF(ISERR(MID(C1023,ROW(INDIRECT("1:100")),1)+0),MID(C1023,ROW(INDIRECT("1:100")),1),"")),")",""),"(","")</f>
        <v>Services</v>
      </c>
    </row>
    <row r="1024" spans="1:8" x14ac:dyDescent="0.25">
      <c r="A1024">
        <v>2017</v>
      </c>
      <c r="B1024">
        <v>12</v>
      </c>
      <c r="C1024" t="s">
        <v>28</v>
      </c>
      <c r="D1024">
        <v>8.9160000000000004</v>
      </c>
      <c r="E1024">
        <v>-1.3</v>
      </c>
      <c r="F1024">
        <v>-0.11799999999999999</v>
      </c>
      <c r="H1024" s="4" t="str">
        <f t="array" aca="1" ref="H1024" ca="1">SUBSTITUTE(SUBSTITUTE(_xlfn.TEXTJOIN("",TRUE,IF(ISERR(MID(C1024,ROW(INDIRECT("1:100")),1)+0),MID(C1024,ROW(INDIRECT("1:100")),1),"")),")",""),"(","")</f>
        <v>Durables</v>
      </c>
    </row>
    <row r="1025" spans="1:8" x14ac:dyDescent="0.25">
      <c r="A1025">
        <v>2017</v>
      </c>
      <c r="B1025">
        <v>12</v>
      </c>
      <c r="C1025" t="s">
        <v>29</v>
      </c>
      <c r="D1025">
        <v>27.184999999999999</v>
      </c>
      <c r="E1025">
        <v>2.1</v>
      </c>
      <c r="F1025">
        <v>0.57399999999999995</v>
      </c>
      <c r="H1025" s="4" t="str">
        <f t="array" aca="1" ref="H1025" ca="1">SUBSTITUTE(SUBSTITUTE(_xlfn.TEXTJOIN("",TRUE,IF(ISERR(MID(C1025,ROW(INDIRECT("1:100")),1)+0),MID(C1025,ROW(INDIRECT("1:100")),1),"")),")",""),"(","")</f>
        <v>Nondurables</v>
      </c>
    </row>
    <row r="1026" spans="1:8" x14ac:dyDescent="0.25">
      <c r="A1026">
        <v>2017</v>
      </c>
      <c r="B1026">
        <v>12</v>
      </c>
      <c r="C1026" t="s">
        <v>8</v>
      </c>
      <c r="D1026">
        <v>42.808</v>
      </c>
      <c r="E1026">
        <v>2.9</v>
      </c>
      <c r="F1026">
        <v>1.218</v>
      </c>
      <c r="H1026" s="4" t="str">
        <f t="array" aca="1" ref="H1026" ca="1">SUBSTITUTE(SUBSTITUTE(_xlfn.TEXTJOIN("",TRUE,IF(ISERR(MID(C1026,ROW(INDIRECT("1:100")),1)+0),MID(C1026,ROW(INDIRECT("1:100")),1),"")),")",""),"(","")</f>
        <v>Housing</v>
      </c>
    </row>
    <row r="1027" spans="1:8" x14ac:dyDescent="0.25">
      <c r="A1027">
        <v>2017</v>
      </c>
      <c r="B1027">
        <v>12</v>
      </c>
      <c r="C1027" t="s">
        <v>30</v>
      </c>
      <c r="D1027">
        <v>6.72</v>
      </c>
      <c r="E1027">
        <v>-1.7</v>
      </c>
      <c r="F1027">
        <v>-0.121</v>
      </c>
      <c r="H1027" s="4" t="str">
        <f t="array" aca="1" ref="H1027" ca="1">SUBSTITUTE(SUBSTITUTE(_xlfn.TEXTJOIN("",TRUE,IF(ISERR(MID(C1027,ROW(INDIRECT("1:100")),1)+0),MID(C1027,ROW(INDIRECT("1:100")),1),"")),")",""),"(","")</f>
        <v>Education and communication</v>
      </c>
    </row>
    <row r="1028" spans="1:8" x14ac:dyDescent="0.25">
      <c r="A1028">
        <v>2017</v>
      </c>
      <c r="B1028">
        <v>12</v>
      </c>
      <c r="C1028" t="s">
        <v>31</v>
      </c>
      <c r="D1028">
        <v>5.6310000000000002</v>
      </c>
      <c r="E1028">
        <v>1.5</v>
      </c>
      <c r="F1028">
        <v>8.5999999999999993E-2</v>
      </c>
      <c r="H1028" s="4" t="str">
        <f t="array" aca="1" ref="H1028" ca="1">SUBSTITUTE(SUBSTITUTE(_xlfn.TEXTJOIN("",TRUE,IF(ISERR(MID(C1028,ROW(INDIRECT("1:100")),1)+0),MID(C1028,ROW(INDIRECT("1:100")),1),"")),")",""),"(","")</f>
        <v>Recreation</v>
      </c>
    </row>
    <row r="1029" spans="1:8" x14ac:dyDescent="0.25">
      <c r="A1029">
        <v>2017</v>
      </c>
      <c r="B1029">
        <v>12</v>
      </c>
      <c r="C1029" t="s">
        <v>6</v>
      </c>
      <c r="D1029">
        <v>14.545</v>
      </c>
      <c r="E1029">
        <v>1.6</v>
      </c>
      <c r="F1029">
        <v>0.23100000000000001</v>
      </c>
      <c r="H1029" s="4" t="str">
        <f t="array" aca="1" ref="H1029" ca="1">SUBSTITUTE(SUBSTITUTE(_xlfn.TEXTJOIN("",TRUE,IF(ISERR(MID(C1029,ROW(INDIRECT("1:100")),1)+0),MID(C1029,ROW(INDIRECT("1:100")),1),"")),")",""),"(","")</f>
        <v>Food and beverages</v>
      </c>
    </row>
    <row r="1030" spans="1:8" x14ac:dyDescent="0.25">
      <c r="A1030">
        <v>2017</v>
      </c>
      <c r="B1030">
        <v>12</v>
      </c>
      <c r="C1030" t="s">
        <v>32</v>
      </c>
      <c r="D1030">
        <v>11.686</v>
      </c>
      <c r="E1030">
        <v>0.6</v>
      </c>
      <c r="F1030">
        <v>7.6999999999999999E-2</v>
      </c>
      <c r="H1030" s="4" t="str">
        <f t="array" aca="1" ref="H1030" ca="1">SUBSTITUTE(SUBSTITUTE(_xlfn.TEXTJOIN("",TRUE,IF(ISERR(MID(C1030,ROW(INDIRECT("1:100")),1)+0),MID(C1030,ROW(INDIRECT("1:100")),1),"")),")",""),"(","")</f>
        <v>Other services</v>
      </c>
    </row>
    <row r="1031" spans="1:8" x14ac:dyDescent="0.25">
      <c r="A1031">
        <v>2017</v>
      </c>
      <c r="B1031">
        <v>12</v>
      </c>
      <c r="C1031" t="s">
        <v>33</v>
      </c>
      <c r="D1031">
        <v>2.3650000000000002</v>
      </c>
      <c r="E1031">
        <v>-1.4</v>
      </c>
      <c r="F1031">
        <v>-3.2000000000000001E-2</v>
      </c>
      <c r="H1031" s="4" t="str">
        <f t="array" aca="1" ref="H1031" ca="1">SUBSTITUTE(SUBSTITUTE(_xlfn.TEXTJOIN("",TRUE,IF(ISERR(MID(C1031,ROW(INDIRECT("1:100")),1)+0),MID(C1031,ROW(INDIRECT("1:100")),1),"")),")",""),"(","")</f>
        <v>Apparel less footwear</v>
      </c>
    </row>
    <row r="1032" spans="1:8" x14ac:dyDescent="0.25">
      <c r="A1032">
        <v>2017</v>
      </c>
      <c r="B1032">
        <v>12</v>
      </c>
      <c r="C1032" t="s">
        <v>34</v>
      </c>
      <c r="D1032">
        <v>4.9950000000000001</v>
      </c>
      <c r="E1032">
        <v>3.5</v>
      </c>
      <c r="F1032">
        <v>0.17100000000000001</v>
      </c>
      <c r="H1032" s="4" t="str">
        <f t="array" aca="1" ref="H1032" ca="1">SUBSTITUTE(SUBSTITUTE(_xlfn.TEXTJOIN("",TRUE,IF(ISERR(MID(C1032,ROW(INDIRECT("1:100")),1)+0),MID(C1032,ROW(INDIRECT("1:100")),1),"")),")",""),"(","")</f>
        <v>Fuels and utilities</v>
      </c>
    </row>
    <row r="1033" spans="1:8" x14ac:dyDescent="0.25">
      <c r="A1033">
        <v>2017</v>
      </c>
      <c r="B1033">
        <v>12</v>
      </c>
      <c r="C1033" t="s">
        <v>11</v>
      </c>
      <c r="D1033">
        <v>8.4960000000000004</v>
      </c>
      <c r="E1033">
        <v>1.8</v>
      </c>
      <c r="F1033">
        <v>0.152</v>
      </c>
      <c r="H1033" s="4" t="str">
        <f t="array" aca="1" ref="H1033" ca="1">SUBSTITUTE(SUBSTITUTE(_xlfn.TEXTJOIN("",TRUE,IF(ISERR(MID(C1033,ROW(INDIRECT("1:100")),1)+0),MID(C1033,ROW(INDIRECT("1:100")),1),"")),")",""),"(","")</f>
        <v>Medical care</v>
      </c>
    </row>
    <row r="1034" spans="1:8" x14ac:dyDescent="0.25">
      <c r="A1034">
        <v>2017</v>
      </c>
      <c r="B1034">
        <v>12</v>
      </c>
      <c r="C1034" t="s">
        <v>7</v>
      </c>
      <c r="D1034">
        <v>15.586</v>
      </c>
      <c r="E1034">
        <v>3.5</v>
      </c>
      <c r="F1034">
        <v>0.52800000000000002</v>
      </c>
      <c r="H1034" s="4" t="str">
        <f t="array" aca="1" ref="H1034" ca="1">SUBSTITUTE(SUBSTITUTE(_xlfn.TEXTJOIN("",TRUE,IF(ISERR(MID(C1034,ROW(INDIRECT("1:100")),1)+0),MID(C1034,ROW(INDIRECT("1:100")),1),"")),")",""),"(","")</f>
        <v>Transportation</v>
      </c>
    </row>
    <row r="1035" spans="1:8" x14ac:dyDescent="0.25">
      <c r="A1035">
        <v>2017</v>
      </c>
      <c r="B1035">
        <v>12</v>
      </c>
      <c r="C1035" t="s">
        <v>35</v>
      </c>
      <c r="D1035">
        <v>9.6950000000000003</v>
      </c>
      <c r="E1035">
        <v>0.4</v>
      </c>
      <c r="F1035">
        <v>4.2000000000000003E-2</v>
      </c>
      <c r="H1035" s="4" t="str">
        <f t="array" aca="1" ref="H1035" ca="1">SUBSTITUTE(SUBSTITUTE(_xlfn.TEXTJOIN("",TRUE,IF(ISERR(MID(C1035,ROW(INDIRECT("1:100")),1)+0),MID(C1035,ROW(INDIRECT("1:100")),1),"")),")",""),"(","")</f>
        <v>Utilities and public transportation</v>
      </c>
    </row>
    <row r="1036" spans="1:8" x14ac:dyDescent="0.25">
      <c r="A1036">
        <v>2017</v>
      </c>
      <c r="B1036">
        <v>12</v>
      </c>
      <c r="C1036" t="s">
        <v>36</v>
      </c>
      <c r="D1036">
        <v>3.911</v>
      </c>
      <c r="E1036">
        <v>-0.8</v>
      </c>
      <c r="F1036">
        <v>-3.1E-2</v>
      </c>
      <c r="H1036" s="4" t="str">
        <f t="array" aca="1" ref="H1036" ca="1">SUBSTITUTE(SUBSTITUTE(_xlfn.TEXTJOIN("",TRUE,IF(ISERR(MID(C1036,ROW(INDIRECT("1:100")),1)+0),MID(C1036,ROW(INDIRECT("1:100")),1),"")),")",""),"(","")</f>
        <v>Household furnishings and operations</v>
      </c>
    </row>
    <row r="1037" spans="1:8" x14ac:dyDescent="0.25">
      <c r="A1037">
        <v>2017</v>
      </c>
      <c r="B1037">
        <v>12</v>
      </c>
      <c r="C1037" t="s">
        <v>12</v>
      </c>
      <c r="D1037">
        <v>3.1779999999999999</v>
      </c>
      <c r="E1037">
        <v>2</v>
      </c>
      <c r="F1037">
        <v>6.5000000000000002E-2</v>
      </c>
      <c r="H1037" s="4" t="str">
        <f t="array" aca="1" ref="H1037" ca="1">SUBSTITUTE(SUBSTITUTE(_xlfn.TEXTJOIN("",TRUE,IF(ISERR(MID(C1037,ROW(INDIRECT("1:100")),1)+0),MID(C1037,ROW(INDIRECT("1:100")),1),"")),")",""),"(","")</f>
        <v>Other goods and services</v>
      </c>
    </row>
    <row r="1038" spans="1:8" x14ac:dyDescent="0.25">
      <c r="A1038">
        <v>2018</v>
      </c>
      <c r="B1038">
        <v>1</v>
      </c>
      <c r="C1038" t="s">
        <v>14</v>
      </c>
      <c r="D1038">
        <v>100</v>
      </c>
      <c r="E1038">
        <v>2.1</v>
      </c>
      <c r="H1038" s="4" t="str">
        <f t="array" aca="1" ref="H1038" ca="1">SUBSTITUTE(SUBSTITUTE(_xlfn.TEXTJOIN("",TRUE,IF(ISERR(MID(C1038,ROW(INDIRECT("1:100")),1)+0),MID(C1038,ROW(INDIRECT("1:100")),1),"")),")",""),"(","")</f>
        <v>All items</v>
      </c>
    </row>
    <row r="1039" spans="1:8" x14ac:dyDescent="0.25">
      <c r="A1039">
        <v>2018</v>
      </c>
      <c r="B1039">
        <v>1</v>
      </c>
      <c r="C1039" t="s">
        <v>15</v>
      </c>
      <c r="D1039">
        <v>13.384</v>
      </c>
      <c r="E1039">
        <v>1.7</v>
      </c>
      <c r="F1039">
        <v>0.22600000000000001</v>
      </c>
      <c r="H1039" s="4" t="str">
        <f t="array" aca="1" ref="H1039" ca="1">SUBSTITUTE(SUBSTITUTE(_xlfn.TEXTJOIN("",TRUE,IF(ISERR(MID(C1039,ROW(INDIRECT("1:100")),1)+0),MID(C1039,ROW(INDIRECT("1:100")),1),"")),")",""),"(","")</f>
        <v>Food</v>
      </c>
    </row>
    <row r="1040" spans="1:8" x14ac:dyDescent="0.25">
      <c r="A1040">
        <v>2018</v>
      </c>
      <c r="B1040">
        <v>1</v>
      </c>
      <c r="C1040" t="s">
        <v>16</v>
      </c>
      <c r="D1040">
        <v>7.5129999999999999</v>
      </c>
      <c r="E1040">
        <v>5.5</v>
      </c>
      <c r="F1040">
        <v>0.40300000000000002</v>
      </c>
      <c r="H1040" s="4" t="str">
        <f t="array" aca="1" ref="H1040" ca="1">SUBSTITUTE(SUBSTITUTE(_xlfn.TEXTJOIN("",TRUE,IF(ISERR(MID(C1040,ROW(INDIRECT("1:100")),1)+0),MID(C1040,ROW(INDIRECT("1:100")),1),"")),")",""),"(","")</f>
        <v>Energy</v>
      </c>
    </row>
    <row r="1041" spans="1:8" x14ac:dyDescent="0.25">
      <c r="A1041">
        <v>2018</v>
      </c>
      <c r="B1041">
        <v>1</v>
      </c>
      <c r="C1041" t="s">
        <v>17</v>
      </c>
      <c r="D1041">
        <v>79.102999999999994</v>
      </c>
      <c r="E1041">
        <v>1.8</v>
      </c>
      <c r="F1041">
        <v>1.4410000000000001</v>
      </c>
      <c r="H1041" s="4" t="str">
        <f t="array" aca="1" ref="H1041" ca="1">SUBSTITUTE(SUBSTITUTE(_xlfn.TEXTJOIN("",TRUE,IF(ISERR(MID(C1041,ROW(INDIRECT("1:100")),1)+0),MID(C1041,ROW(INDIRECT("1:100")),1),"")),")",""),"(","")</f>
        <v>All items less food and energy</v>
      </c>
    </row>
    <row r="1042" spans="1:8" x14ac:dyDescent="0.25">
      <c r="A1042">
        <v>2018</v>
      </c>
      <c r="B1042">
        <v>1</v>
      </c>
      <c r="C1042" t="s">
        <v>18</v>
      </c>
      <c r="H1042" s="4" t="str">
        <f t="array" aca="1" ref="H1042" ca="1">SUBSTITUTE(SUBSTITUTE(_xlfn.TEXTJOIN("",TRUE,IF(ISERR(MID(C1042,ROW(INDIRECT("1:100")),1)+0),MID(C1042,ROW(INDIRECT("1:100")),1),"")),")",""),"(","")</f>
        <v>Special aggregate indexes</v>
      </c>
    </row>
    <row r="1043" spans="1:8" x14ac:dyDescent="0.25">
      <c r="A1043">
        <v>2018</v>
      </c>
      <c r="B1043">
        <v>1</v>
      </c>
      <c r="C1043" t="s">
        <v>19</v>
      </c>
      <c r="D1043">
        <v>86.616</v>
      </c>
      <c r="E1043">
        <v>2.1</v>
      </c>
      <c r="F1043">
        <v>1.845</v>
      </c>
      <c r="H1043" s="4" t="str">
        <f t="array" aca="1" ref="H1043" ca="1">SUBSTITUTE(SUBSTITUTE(_xlfn.TEXTJOIN("",TRUE,IF(ISERR(MID(C1043,ROW(INDIRECT("1:100")),1)+0),MID(C1043,ROW(INDIRECT("1:100")),1),"")),")",""),"(","")</f>
        <v>All items less food</v>
      </c>
    </row>
    <row r="1044" spans="1:8" x14ac:dyDescent="0.25">
      <c r="A1044">
        <v>2018</v>
      </c>
      <c r="B1044">
        <v>1</v>
      </c>
      <c r="C1044" t="s">
        <v>20</v>
      </c>
      <c r="D1044">
        <v>67.156999999999996</v>
      </c>
      <c r="E1044">
        <v>1.5</v>
      </c>
      <c r="F1044">
        <v>1.0029999999999999</v>
      </c>
      <c r="H1044" s="4" t="str">
        <f t="array" aca="1" ref="H1044" ca="1">SUBSTITUTE(SUBSTITUTE(_xlfn.TEXTJOIN("",TRUE,IF(ISERR(MID(C1044,ROW(INDIRECT("1:100")),1)+0),MID(C1044,ROW(INDIRECT("1:100")),1),"")),")",""),"(","")</f>
        <v>All items less shelter</v>
      </c>
    </row>
    <row r="1045" spans="1:8" x14ac:dyDescent="0.25">
      <c r="A1045">
        <v>2018</v>
      </c>
      <c r="B1045">
        <v>1</v>
      </c>
      <c r="C1045" t="s">
        <v>21</v>
      </c>
      <c r="D1045">
        <v>53.771999999999998</v>
      </c>
      <c r="E1045">
        <v>1.5</v>
      </c>
      <c r="F1045">
        <v>0.77700000000000002</v>
      </c>
      <c r="H1045" s="4" t="str">
        <f t="array" aca="1" ref="H1045" ca="1">SUBSTITUTE(SUBSTITUTE(_xlfn.TEXTJOIN("",TRUE,IF(ISERR(MID(C1045,ROW(INDIRECT("1:100")),1)+0),MID(C1045,ROW(INDIRECT("1:100")),1),"")),")",""),"(","")</f>
        <v>All items less food and shelter</v>
      </c>
    </row>
    <row r="1046" spans="1:8" x14ac:dyDescent="0.25">
      <c r="A1046">
        <v>2018</v>
      </c>
      <c r="B1046">
        <v>1</v>
      </c>
      <c r="C1046" t="s">
        <v>22</v>
      </c>
      <c r="D1046">
        <v>46.26</v>
      </c>
      <c r="E1046">
        <v>0.8</v>
      </c>
      <c r="F1046">
        <v>0.374</v>
      </c>
      <c r="H1046" s="4" t="str">
        <f t="array" aca="1" ref="H1046" ca="1">SUBSTITUTE(SUBSTITUTE(_xlfn.TEXTJOIN("",TRUE,IF(ISERR(MID(C1046,ROW(INDIRECT("1:100")),1)+0),MID(C1046,ROW(INDIRECT("1:100")),1),"")),")",""),"(","")</f>
        <v>All items less food, shelter, and energy</v>
      </c>
    </row>
    <row r="1047" spans="1:8" x14ac:dyDescent="0.25">
      <c r="A1047">
        <v>2018</v>
      </c>
      <c r="B1047">
        <v>1</v>
      </c>
      <c r="C1047" t="s">
        <v>23</v>
      </c>
      <c r="D1047">
        <v>43.857999999999997</v>
      </c>
      <c r="E1047">
        <v>0.9</v>
      </c>
      <c r="F1047">
        <v>0.38500000000000001</v>
      </c>
      <c r="H1047" s="4" t="str">
        <f t="array" aca="1" ref="H1047" ca="1">SUBSTITUTE(SUBSTITUTE(_xlfn.TEXTJOIN("",TRUE,IF(ISERR(MID(C1047,ROW(INDIRECT("1:100")),1)+0),MID(C1047,ROW(INDIRECT("1:100")),1),"")),")",""),"(","")</f>
        <v>All items less food, shelter, energy, and used cars and trucks</v>
      </c>
    </row>
    <row r="1048" spans="1:8" x14ac:dyDescent="0.25">
      <c r="A1048">
        <v>2018</v>
      </c>
      <c r="B1048">
        <v>1</v>
      </c>
      <c r="C1048" t="s">
        <v>24</v>
      </c>
      <c r="D1048">
        <v>91.326999999999998</v>
      </c>
      <c r="E1048">
        <v>2.1</v>
      </c>
      <c r="F1048">
        <v>1.9</v>
      </c>
      <c r="H1048" s="4" t="str">
        <f t="array" aca="1" ref="H1048" ca="1">SUBSTITUTE(SUBSTITUTE(_xlfn.TEXTJOIN("",TRUE,IF(ISERR(MID(C1048,ROW(INDIRECT("1:100")),1)+0),MID(C1048,ROW(INDIRECT("1:100")),1),"")),")",""),"(","")</f>
        <v>All items less medical care</v>
      </c>
    </row>
    <row r="1049" spans="1:8" x14ac:dyDescent="0.25">
      <c r="A1049">
        <v>2018</v>
      </c>
      <c r="B1049">
        <v>1</v>
      </c>
      <c r="C1049" t="s">
        <v>25</v>
      </c>
      <c r="D1049">
        <v>92.486999999999995</v>
      </c>
      <c r="E1049">
        <v>1.8</v>
      </c>
      <c r="F1049">
        <v>1.667</v>
      </c>
      <c r="H1049" s="4" t="str">
        <f t="array" aca="1" ref="H1049" ca="1">SUBSTITUTE(SUBSTITUTE(_xlfn.TEXTJOIN("",TRUE,IF(ISERR(MID(C1049,ROW(INDIRECT("1:100")),1)+0),MID(C1049,ROW(INDIRECT("1:100")),1),"")),")",""),"(","")</f>
        <v>All items less energy</v>
      </c>
    </row>
    <row r="1050" spans="1:8" x14ac:dyDescent="0.25">
      <c r="A1050">
        <v>2018</v>
      </c>
      <c r="B1050">
        <v>1</v>
      </c>
      <c r="C1050" t="s">
        <v>26</v>
      </c>
      <c r="D1050">
        <v>37.326999999999998</v>
      </c>
      <c r="E1050">
        <v>1.2</v>
      </c>
      <c r="F1050">
        <v>0.442</v>
      </c>
      <c r="H1050" s="4" t="str">
        <f t="array" aca="1" ref="H1050" ca="1">SUBSTITUTE(SUBSTITUTE(_xlfn.TEXTJOIN("",TRUE,IF(ISERR(MID(C1050,ROW(INDIRECT("1:100")),1)+0),MID(C1050,ROW(INDIRECT("1:100")),1),"")),")",""),"(","")</f>
        <v>Commodities</v>
      </c>
    </row>
    <row r="1051" spans="1:8" x14ac:dyDescent="0.25">
      <c r="A1051">
        <v>2018</v>
      </c>
      <c r="B1051">
        <v>1</v>
      </c>
      <c r="C1051" t="s">
        <v>27</v>
      </c>
      <c r="D1051">
        <v>62.673000000000002</v>
      </c>
      <c r="E1051">
        <v>2.6</v>
      </c>
      <c r="F1051">
        <v>1.6279999999999999</v>
      </c>
      <c r="H1051" s="4" t="str">
        <f t="array" aca="1" ref="H1051" ca="1">SUBSTITUTE(SUBSTITUTE(_xlfn.TEXTJOIN("",TRUE,IF(ISERR(MID(C1051,ROW(INDIRECT("1:100")),1)+0),MID(C1051,ROW(INDIRECT("1:100")),1),"")),")",""),"(","")</f>
        <v>Services</v>
      </c>
    </row>
    <row r="1052" spans="1:8" x14ac:dyDescent="0.25">
      <c r="A1052">
        <v>2018</v>
      </c>
      <c r="B1052">
        <v>1</v>
      </c>
      <c r="C1052" t="s">
        <v>28</v>
      </c>
      <c r="D1052">
        <v>10.135</v>
      </c>
      <c r="E1052">
        <v>-1.6</v>
      </c>
      <c r="F1052">
        <v>-0.14599999999999999</v>
      </c>
      <c r="H1052" s="4" t="str">
        <f t="array" aca="1" ref="H1052" ca="1">SUBSTITUTE(SUBSTITUTE(_xlfn.TEXTJOIN("",TRUE,IF(ISERR(MID(C1052,ROW(INDIRECT("1:100")),1)+0),MID(C1052,ROW(INDIRECT("1:100")),1),"")),")",""),"(","")</f>
        <v>Durables</v>
      </c>
    </row>
    <row r="1053" spans="1:8" x14ac:dyDescent="0.25">
      <c r="A1053">
        <v>2018</v>
      </c>
      <c r="B1053">
        <v>1</v>
      </c>
      <c r="C1053" t="s">
        <v>29</v>
      </c>
      <c r="D1053">
        <v>27.192</v>
      </c>
      <c r="E1053">
        <v>2.2000000000000002</v>
      </c>
      <c r="F1053">
        <v>0.58799999999999997</v>
      </c>
      <c r="H1053" s="4" t="str">
        <f t="array" aca="1" ref="H1053" ca="1">SUBSTITUTE(SUBSTITUTE(_xlfn.TEXTJOIN("",TRUE,IF(ISERR(MID(C1053,ROW(INDIRECT("1:100")),1)+0),MID(C1053,ROW(INDIRECT("1:100")),1),"")),")",""),"(","")</f>
        <v>Nondurables</v>
      </c>
    </row>
    <row r="1054" spans="1:8" x14ac:dyDescent="0.25">
      <c r="A1054">
        <v>2018</v>
      </c>
      <c r="B1054">
        <v>1</v>
      </c>
      <c r="C1054" t="s">
        <v>8</v>
      </c>
      <c r="D1054">
        <v>41.771999999999998</v>
      </c>
      <c r="E1054">
        <v>2.8</v>
      </c>
      <c r="F1054">
        <v>1.1830000000000001</v>
      </c>
      <c r="H1054" s="4" t="str">
        <f t="array" aca="1" ref="H1054" ca="1">SUBSTITUTE(SUBSTITUTE(_xlfn.TEXTJOIN("",TRUE,IF(ISERR(MID(C1054,ROW(INDIRECT("1:100")),1)+0),MID(C1054,ROW(INDIRECT("1:100")),1),"")),")",""),"(","")</f>
        <v>Housing</v>
      </c>
    </row>
    <row r="1055" spans="1:8" x14ac:dyDescent="0.25">
      <c r="A1055">
        <v>2018</v>
      </c>
      <c r="B1055">
        <v>1</v>
      </c>
      <c r="C1055" t="s">
        <v>30</v>
      </c>
      <c r="D1055">
        <v>6.7069999999999999</v>
      </c>
      <c r="E1055">
        <v>-1.7</v>
      </c>
      <c r="F1055">
        <v>-0.12</v>
      </c>
      <c r="H1055" s="4" t="str">
        <f t="array" aca="1" ref="H1055" ca="1">SUBSTITUTE(SUBSTITUTE(_xlfn.TEXTJOIN("",TRUE,IF(ISERR(MID(C1055,ROW(INDIRECT("1:100")),1)+0),MID(C1055,ROW(INDIRECT("1:100")),1),"")),")",""),"(","")</f>
        <v>Education and communication</v>
      </c>
    </row>
    <row r="1056" spans="1:8" x14ac:dyDescent="0.25">
      <c r="A1056">
        <v>2018</v>
      </c>
      <c r="B1056">
        <v>1</v>
      </c>
      <c r="C1056" t="s">
        <v>31</v>
      </c>
      <c r="D1056">
        <v>5.7370000000000001</v>
      </c>
      <c r="E1056">
        <v>1.1000000000000001</v>
      </c>
      <c r="F1056">
        <v>6.4000000000000001E-2</v>
      </c>
      <c r="H1056" s="4" t="str">
        <f t="array" aca="1" ref="H1056" ca="1">SUBSTITUTE(SUBSTITUTE(_xlfn.TEXTJOIN("",TRUE,IF(ISERR(MID(C1056,ROW(INDIRECT("1:100")),1)+0),MID(C1056,ROW(INDIRECT("1:100")),1),"")),")",""),"(","")</f>
        <v>Recreation</v>
      </c>
    </row>
    <row r="1057" spans="1:8" x14ac:dyDescent="0.25">
      <c r="A1057">
        <v>2018</v>
      </c>
      <c r="B1057">
        <v>1</v>
      </c>
      <c r="C1057" t="s">
        <v>6</v>
      </c>
      <c r="D1057">
        <v>14.359</v>
      </c>
      <c r="E1057">
        <v>1.6</v>
      </c>
      <c r="F1057">
        <v>0.23699999999999999</v>
      </c>
      <c r="H1057" s="4" t="str">
        <f t="array" aca="1" ref="H1057" ca="1">SUBSTITUTE(SUBSTITUTE(_xlfn.TEXTJOIN("",TRUE,IF(ISERR(MID(C1057,ROW(INDIRECT("1:100")),1)+0),MID(C1057,ROW(INDIRECT("1:100")),1),"")),")",""),"(","")</f>
        <v>Food and beverages</v>
      </c>
    </row>
    <row r="1058" spans="1:8" x14ac:dyDescent="0.25">
      <c r="A1058">
        <v>2018</v>
      </c>
      <c r="B1058">
        <v>1</v>
      </c>
      <c r="C1058" t="s">
        <v>32</v>
      </c>
      <c r="D1058">
        <v>11.634</v>
      </c>
      <c r="E1058">
        <v>0.5</v>
      </c>
      <c r="F1058">
        <v>5.3999999999999999E-2</v>
      </c>
      <c r="H1058" s="4" t="str">
        <f t="array" aca="1" ref="H1058" ca="1">SUBSTITUTE(SUBSTITUTE(_xlfn.TEXTJOIN("",TRUE,IF(ISERR(MID(C1058,ROW(INDIRECT("1:100")),1)+0),MID(C1058,ROW(INDIRECT("1:100")),1),"")),")",""),"(","")</f>
        <v>Other services</v>
      </c>
    </row>
    <row r="1059" spans="1:8" x14ac:dyDescent="0.25">
      <c r="A1059">
        <v>2018</v>
      </c>
      <c r="B1059">
        <v>1</v>
      </c>
      <c r="C1059" t="s">
        <v>33</v>
      </c>
      <c r="D1059">
        <v>2.347</v>
      </c>
      <c r="E1059">
        <v>-0.2</v>
      </c>
      <c r="F1059">
        <v>-3.0000000000000001E-3</v>
      </c>
      <c r="H1059" s="4" t="str">
        <f t="array" aca="1" ref="H1059" ca="1">SUBSTITUTE(SUBSTITUTE(_xlfn.TEXTJOIN("",TRUE,IF(ISERR(MID(C1059,ROW(INDIRECT("1:100")),1)+0),MID(C1059,ROW(INDIRECT("1:100")),1),"")),")",""),"(","")</f>
        <v>Apparel less footwear</v>
      </c>
    </row>
    <row r="1060" spans="1:8" x14ac:dyDescent="0.25">
      <c r="A1060">
        <v>2018</v>
      </c>
      <c r="B1060">
        <v>1</v>
      </c>
      <c r="C1060" t="s">
        <v>34</v>
      </c>
      <c r="D1060">
        <v>4.6790000000000003</v>
      </c>
      <c r="E1060">
        <v>2.7</v>
      </c>
      <c r="F1060">
        <v>0.13200000000000001</v>
      </c>
      <c r="H1060" s="4" t="str">
        <f t="array" aca="1" ref="H1060" ca="1">SUBSTITUTE(SUBSTITUTE(_xlfn.TEXTJOIN("",TRUE,IF(ISERR(MID(C1060,ROW(INDIRECT("1:100")),1)+0),MID(C1060,ROW(INDIRECT("1:100")),1),"")),")",""),"(","")</f>
        <v>Fuels and utilities</v>
      </c>
    </row>
    <row r="1061" spans="1:8" x14ac:dyDescent="0.25">
      <c r="A1061">
        <v>2018</v>
      </c>
      <c r="B1061">
        <v>1</v>
      </c>
      <c r="C1061" t="s">
        <v>11</v>
      </c>
      <c r="D1061">
        <v>8.673</v>
      </c>
      <c r="E1061">
        <v>2</v>
      </c>
      <c r="F1061">
        <v>0.17</v>
      </c>
      <c r="H1061" s="4" t="str">
        <f t="array" aca="1" ref="H1061" ca="1">SUBSTITUTE(SUBSTITUTE(_xlfn.TEXTJOIN("",TRUE,IF(ISERR(MID(C1061,ROW(INDIRECT("1:100")),1)+0),MID(C1061,ROW(INDIRECT("1:100")),1),"")),")",""),"(","")</f>
        <v>Medical care</v>
      </c>
    </row>
    <row r="1062" spans="1:8" x14ac:dyDescent="0.25">
      <c r="A1062">
        <v>2018</v>
      </c>
      <c r="B1062">
        <v>1</v>
      </c>
      <c r="C1062" t="s">
        <v>7</v>
      </c>
      <c r="D1062">
        <v>16.536999999999999</v>
      </c>
      <c r="E1062">
        <v>3</v>
      </c>
      <c r="F1062">
        <v>0.48099999999999998</v>
      </c>
      <c r="H1062" s="4" t="str">
        <f t="array" aca="1" ref="H1062" ca="1">SUBSTITUTE(SUBSTITUTE(_xlfn.TEXTJOIN("",TRUE,IF(ISERR(MID(C1062,ROW(INDIRECT("1:100")),1)+0),MID(C1062,ROW(INDIRECT("1:100")),1),"")),")",""),"(","")</f>
        <v>Transportation</v>
      </c>
    </row>
    <row r="1063" spans="1:8" x14ac:dyDescent="0.25">
      <c r="A1063">
        <v>2018</v>
      </c>
      <c r="B1063">
        <v>1</v>
      </c>
      <c r="C1063" t="s">
        <v>35</v>
      </c>
      <c r="D1063">
        <v>9.49</v>
      </c>
      <c r="E1063">
        <v>-0.2</v>
      </c>
      <c r="F1063">
        <v>-0.02</v>
      </c>
      <c r="H1063" s="4" t="str">
        <f t="array" aca="1" ref="H1063" ca="1">SUBSTITUTE(SUBSTITUTE(_xlfn.TEXTJOIN("",TRUE,IF(ISERR(MID(C1063,ROW(INDIRECT("1:100")),1)+0),MID(C1063,ROW(INDIRECT("1:100")),1),"")),")",""),"(","")</f>
        <v>Utilities and public transportation</v>
      </c>
    </row>
    <row r="1064" spans="1:8" x14ac:dyDescent="0.25">
      <c r="A1064">
        <v>2018</v>
      </c>
      <c r="B1064">
        <v>1</v>
      </c>
      <c r="C1064" t="s">
        <v>36</v>
      </c>
      <c r="D1064">
        <v>4.25</v>
      </c>
      <c r="E1064">
        <v>-0.5</v>
      </c>
      <c r="F1064">
        <v>-1.7000000000000001E-2</v>
      </c>
      <c r="H1064" s="4" t="str">
        <f t="array" aca="1" ref="H1064" ca="1">SUBSTITUTE(SUBSTITUTE(_xlfn.TEXTJOIN("",TRUE,IF(ISERR(MID(C1064,ROW(INDIRECT("1:100")),1)+0),MID(C1064,ROW(INDIRECT("1:100")),1),"")),")",""),"(","")</f>
        <v>Household furnishings and operations</v>
      </c>
    </row>
    <row r="1065" spans="1:8" x14ac:dyDescent="0.25">
      <c r="A1065">
        <v>2018</v>
      </c>
      <c r="B1065">
        <v>1</v>
      </c>
      <c r="C1065" t="s">
        <v>12</v>
      </c>
      <c r="D1065">
        <v>3.198</v>
      </c>
      <c r="E1065">
        <v>2.4</v>
      </c>
      <c r="F1065">
        <v>7.4999999999999997E-2</v>
      </c>
      <c r="H1065" s="4" t="str">
        <f t="array" aca="1" ref="H1065" ca="1">SUBSTITUTE(SUBSTITUTE(_xlfn.TEXTJOIN("",TRUE,IF(ISERR(MID(C1065,ROW(INDIRECT("1:100")),1)+0),MID(C1065,ROW(INDIRECT("1:100")),1),"")),")",""),"(","")</f>
        <v>Other goods and services</v>
      </c>
    </row>
    <row r="1066" spans="1:8" x14ac:dyDescent="0.25">
      <c r="A1066">
        <v>2018</v>
      </c>
      <c r="B1066">
        <v>2</v>
      </c>
      <c r="C1066" t="s">
        <v>14</v>
      </c>
      <c r="D1066">
        <v>100</v>
      </c>
      <c r="E1066">
        <v>2.2000000000000002</v>
      </c>
      <c r="H1066" s="4" t="str">
        <f t="array" aca="1" ref="H1066" ca="1">SUBSTITUTE(SUBSTITUTE(_xlfn.TEXTJOIN("",TRUE,IF(ISERR(MID(C1066,ROW(INDIRECT("1:100")),1)+0),MID(C1066,ROW(INDIRECT("1:100")),1),"")),")",""),"(","")</f>
        <v>All items</v>
      </c>
    </row>
    <row r="1067" spans="1:8" x14ac:dyDescent="0.25">
      <c r="A1067">
        <v>2018</v>
      </c>
      <c r="B1067">
        <v>2</v>
      </c>
      <c r="C1067" t="s">
        <v>15</v>
      </c>
      <c r="D1067">
        <v>13.371</v>
      </c>
      <c r="E1067">
        <v>1.4</v>
      </c>
      <c r="F1067">
        <v>0.19</v>
      </c>
      <c r="H1067" s="4" t="str">
        <f t="array" aca="1" ref="H1067" ca="1">SUBSTITUTE(SUBSTITUTE(_xlfn.TEXTJOIN("",TRUE,IF(ISERR(MID(C1067,ROW(INDIRECT("1:100")),1)+0),MID(C1067,ROW(INDIRECT("1:100")),1),"")),")",""),"(","")</f>
        <v>Food</v>
      </c>
    </row>
    <row r="1068" spans="1:8" x14ac:dyDescent="0.25">
      <c r="A1068">
        <v>2018</v>
      </c>
      <c r="B1068">
        <v>2</v>
      </c>
      <c r="C1068" t="s">
        <v>16</v>
      </c>
      <c r="D1068">
        <v>7.6189999999999998</v>
      </c>
      <c r="E1068">
        <v>7.7</v>
      </c>
      <c r="F1068">
        <v>0.55800000000000005</v>
      </c>
      <c r="H1068" s="4" t="str">
        <f t="array" aca="1" ref="H1068" ca="1">SUBSTITUTE(SUBSTITUTE(_xlfn.TEXTJOIN("",TRUE,IF(ISERR(MID(C1068,ROW(INDIRECT("1:100")),1)+0),MID(C1068,ROW(INDIRECT("1:100")),1),"")),")",""),"(","")</f>
        <v>Energy</v>
      </c>
    </row>
    <row r="1069" spans="1:8" x14ac:dyDescent="0.25">
      <c r="A1069">
        <v>2018</v>
      </c>
      <c r="B1069">
        <v>2</v>
      </c>
      <c r="C1069" t="s">
        <v>17</v>
      </c>
      <c r="D1069">
        <v>79.010000000000005</v>
      </c>
      <c r="E1069">
        <v>1.8</v>
      </c>
      <c r="F1069">
        <v>1.464</v>
      </c>
      <c r="H1069" s="4" t="str">
        <f t="array" aca="1" ref="H1069" ca="1">SUBSTITUTE(SUBSTITUTE(_xlfn.TEXTJOIN("",TRUE,IF(ISERR(MID(C1069,ROW(INDIRECT("1:100")),1)+0),MID(C1069,ROW(INDIRECT("1:100")),1),"")),")",""),"(","")</f>
        <v>All items less food and energy</v>
      </c>
    </row>
    <row r="1070" spans="1:8" x14ac:dyDescent="0.25">
      <c r="A1070">
        <v>2018</v>
      </c>
      <c r="B1070">
        <v>2</v>
      </c>
      <c r="C1070" t="s">
        <v>18</v>
      </c>
      <c r="H1070" s="4" t="str">
        <f t="array" aca="1" ref="H1070" ca="1">SUBSTITUTE(SUBSTITUTE(_xlfn.TEXTJOIN("",TRUE,IF(ISERR(MID(C1070,ROW(INDIRECT("1:100")),1)+0),MID(C1070,ROW(INDIRECT("1:100")),1),"")),")",""),"(","")</f>
        <v>Special aggregate indexes</v>
      </c>
    </row>
    <row r="1071" spans="1:8" x14ac:dyDescent="0.25">
      <c r="A1071">
        <v>2018</v>
      </c>
      <c r="B1071">
        <v>2</v>
      </c>
      <c r="C1071" t="s">
        <v>19</v>
      </c>
      <c r="D1071">
        <v>86.629000000000005</v>
      </c>
      <c r="E1071">
        <v>2.2999999999999998</v>
      </c>
      <c r="F1071">
        <v>2.0219999999999998</v>
      </c>
      <c r="H1071" s="4" t="str">
        <f t="array" aca="1" ref="H1071" ca="1">SUBSTITUTE(SUBSTITUTE(_xlfn.TEXTJOIN("",TRUE,IF(ISERR(MID(C1071,ROW(INDIRECT("1:100")),1)+0),MID(C1071,ROW(INDIRECT("1:100")),1),"")),")",""),"(","")</f>
        <v>All items less food</v>
      </c>
    </row>
    <row r="1072" spans="1:8" x14ac:dyDescent="0.25">
      <c r="A1072">
        <v>2018</v>
      </c>
      <c r="B1072">
        <v>2</v>
      </c>
      <c r="C1072" t="s">
        <v>20</v>
      </c>
      <c r="D1072">
        <v>67.233000000000004</v>
      </c>
      <c r="E1072">
        <v>1.7</v>
      </c>
      <c r="F1072">
        <v>1.169</v>
      </c>
      <c r="H1072" s="4" t="str">
        <f t="array" aca="1" ref="H1072" ca="1">SUBSTITUTE(SUBSTITUTE(_xlfn.TEXTJOIN("",TRUE,IF(ISERR(MID(C1072,ROW(INDIRECT("1:100")),1)+0),MID(C1072,ROW(INDIRECT("1:100")),1),"")),")",""),"(","")</f>
        <v>All items less shelter</v>
      </c>
    </row>
    <row r="1073" spans="1:8" x14ac:dyDescent="0.25">
      <c r="A1073">
        <v>2018</v>
      </c>
      <c r="B1073">
        <v>2</v>
      </c>
      <c r="C1073" t="s">
        <v>21</v>
      </c>
      <c r="D1073">
        <v>53.860999999999997</v>
      </c>
      <c r="E1073">
        <v>1.8</v>
      </c>
      <c r="F1073">
        <v>0.97899999999999998</v>
      </c>
      <c r="H1073" s="4" t="str">
        <f t="array" aca="1" ref="H1073" ca="1">SUBSTITUTE(SUBSTITUTE(_xlfn.TEXTJOIN("",TRUE,IF(ISERR(MID(C1073,ROW(INDIRECT("1:100")),1)+0),MID(C1073,ROW(INDIRECT("1:100")),1),"")),")",""),"(","")</f>
        <v>All items less food and shelter</v>
      </c>
    </row>
    <row r="1074" spans="1:8" x14ac:dyDescent="0.25">
      <c r="A1074">
        <v>2018</v>
      </c>
      <c r="B1074">
        <v>2</v>
      </c>
      <c r="C1074" t="s">
        <v>22</v>
      </c>
      <c r="D1074">
        <v>46.241999999999997</v>
      </c>
      <c r="E1074">
        <v>0.9</v>
      </c>
      <c r="F1074">
        <v>0.42099999999999999</v>
      </c>
      <c r="H1074" s="4" t="str">
        <f t="array" aca="1" ref="H1074" ca="1">SUBSTITUTE(SUBSTITUTE(_xlfn.TEXTJOIN("",TRUE,IF(ISERR(MID(C1074,ROW(INDIRECT("1:100")),1)+0),MID(C1074,ROW(INDIRECT("1:100")),1),"")),")",""),"(","")</f>
        <v>All items less food, shelter, and energy</v>
      </c>
    </row>
    <row r="1075" spans="1:8" x14ac:dyDescent="0.25">
      <c r="A1075">
        <v>2018</v>
      </c>
      <c r="B1075">
        <v>2</v>
      </c>
      <c r="C1075" t="s">
        <v>23</v>
      </c>
      <c r="D1075">
        <v>43.845999999999997</v>
      </c>
      <c r="E1075">
        <v>0.9</v>
      </c>
      <c r="F1075">
        <v>0.41699999999999998</v>
      </c>
      <c r="H1075" s="4" t="str">
        <f t="array" aca="1" ref="H1075" ca="1">SUBSTITUTE(SUBSTITUTE(_xlfn.TEXTJOIN("",TRUE,IF(ISERR(MID(C1075,ROW(INDIRECT("1:100")),1)+0),MID(C1075,ROW(INDIRECT("1:100")),1),"")),")",""),"(","")</f>
        <v>All items less food, shelter, energy, and used cars and trucks</v>
      </c>
    </row>
    <row r="1076" spans="1:8" x14ac:dyDescent="0.25">
      <c r="A1076">
        <v>2018</v>
      </c>
      <c r="B1076">
        <v>2</v>
      </c>
      <c r="C1076" t="s">
        <v>24</v>
      </c>
      <c r="D1076">
        <v>91.314999999999998</v>
      </c>
      <c r="E1076">
        <v>2.2999999999999998</v>
      </c>
      <c r="F1076">
        <v>2.0590000000000002</v>
      </c>
      <c r="H1076" s="4" t="str">
        <f t="array" aca="1" ref="H1076" ca="1">SUBSTITUTE(SUBSTITUTE(_xlfn.TEXTJOIN("",TRUE,IF(ISERR(MID(C1076,ROW(INDIRECT("1:100")),1)+0),MID(C1076,ROW(INDIRECT("1:100")),1),"")),")",""),"(","")</f>
        <v>All items less medical care</v>
      </c>
    </row>
    <row r="1077" spans="1:8" x14ac:dyDescent="0.25">
      <c r="A1077">
        <v>2018</v>
      </c>
      <c r="B1077">
        <v>2</v>
      </c>
      <c r="C1077" t="s">
        <v>25</v>
      </c>
      <c r="D1077">
        <v>92.381</v>
      </c>
      <c r="E1077">
        <v>1.8</v>
      </c>
      <c r="F1077">
        <v>1.6539999999999999</v>
      </c>
      <c r="H1077" s="4" t="str">
        <f t="array" aca="1" ref="H1077" ca="1">SUBSTITUTE(SUBSTITUTE(_xlfn.TEXTJOIN("",TRUE,IF(ISERR(MID(C1077,ROW(INDIRECT("1:100")),1)+0),MID(C1077,ROW(INDIRECT("1:100")),1),"")),")",""),"(","")</f>
        <v>All items less energy</v>
      </c>
    </row>
    <row r="1078" spans="1:8" x14ac:dyDescent="0.25">
      <c r="A1078">
        <v>2018</v>
      </c>
      <c r="B1078">
        <v>2</v>
      </c>
      <c r="C1078" t="s">
        <v>26</v>
      </c>
      <c r="D1078">
        <v>37.43</v>
      </c>
      <c r="E1078">
        <v>1.5</v>
      </c>
      <c r="F1078">
        <v>0.57699999999999996</v>
      </c>
      <c r="H1078" s="4" t="str">
        <f t="array" aca="1" ref="H1078" ca="1">SUBSTITUTE(SUBSTITUTE(_xlfn.TEXTJOIN("",TRUE,IF(ISERR(MID(C1078,ROW(INDIRECT("1:100")),1)+0),MID(C1078,ROW(INDIRECT("1:100")),1),"")),")",""),"(","")</f>
        <v>Commodities</v>
      </c>
    </row>
    <row r="1079" spans="1:8" x14ac:dyDescent="0.25">
      <c r="A1079">
        <v>2018</v>
      </c>
      <c r="B1079">
        <v>2</v>
      </c>
      <c r="C1079" t="s">
        <v>27</v>
      </c>
      <c r="D1079">
        <v>62.57</v>
      </c>
      <c r="E1079">
        <v>2.6</v>
      </c>
      <c r="F1079">
        <v>1.6339999999999999</v>
      </c>
      <c r="H1079" s="4" t="str">
        <f t="array" aca="1" ref="H1079" ca="1">SUBSTITUTE(SUBSTITUTE(_xlfn.TEXTJOIN("",TRUE,IF(ISERR(MID(C1079,ROW(INDIRECT("1:100")),1)+0),MID(C1079,ROW(INDIRECT("1:100")),1),"")),")",""),"(","")</f>
        <v>Services</v>
      </c>
    </row>
    <row r="1080" spans="1:8" x14ac:dyDescent="0.25">
      <c r="A1080">
        <v>2018</v>
      </c>
      <c r="B1080">
        <v>2</v>
      </c>
      <c r="C1080" t="s">
        <v>28</v>
      </c>
      <c r="D1080">
        <v>10.114000000000001</v>
      </c>
      <c r="E1080">
        <v>-1.6</v>
      </c>
      <c r="F1080">
        <v>-0.14199999999999999</v>
      </c>
      <c r="H1080" s="4" t="str">
        <f t="array" aca="1" ref="H1080" ca="1">SUBSTITUTE(SUBSTITUTE(_xlfn.TEXTJOIN("",TRUE,IF(ISERR(MID(C1080,ROW(INDIRECT("1:100")),1)+0),MID(C1080,ROW(INDIRECT("1:100")),1),"")),")",""),"(","")</f>
        <v>Durables</v>
      </c>
    </row>
    <row r="1081" spans="1:8" x14ac:dyDescent="0.25">
      <c r="A1081">
        <v>2018</v>
      </c>
      <c r="B1081">
        <v>2</v>
      </c>
      <c r="C1081" t="s">
        <v>29</v>
      </c>
      <c r="D1081">
        <v>27.315999999999999</v>
      </c>
      <c r="E1081">
        <v>2.6</v>
      </c>
      <c r="F1081">
        <v>0.71899999999999997</v>
      </c>
      <c r="H1081" s="4" t="str">
        <f t="array" aca="1" ref="H1081" ca="1">SUBSTITUTE(SUBSTITUTE(_xlfn.TEXTJOIN("",TRUE,IF(ISERR(MID(C1081,ROW(INDIRECT("1:100")),1)+0),MID(C1081,ROW(INDIRECT("1:100")),1),"")),")",""),"(","")</f>
        <v>Nondurables</v>
      </c>
    </row>
    <row r="1082" spans="1:8" x14ac:dyDescent="0.25">
      <c r="A1082">
        <v>2018</v>
      </c>
      <c r="B1082">
        <v>2</v>
      </c>
      <c r="C1082" t="s">
        <v>8</v>
      </c>
      <c r="D1082">
        <v>41.710999999999999</v>
      </c>
      <c r="E1082">
        <v>2.8</v>
      </c>
      <c r="F1082">
        <v>1.1930000000000001</v>
      </c>
      <c r="H1082" s="4" t="str">
        <f t="array" aca="1" ref="H1082" ca="1">SUBSTITUTE(SUBSTITUTE(_xlfn.TEXTJOIN("",TRUE,IF(ISERR(MID(C1082,ROW(INDIRECT("1:100")),1)+0),MID(C1082,ROW(INDIRECT("1:100")),1),"")),")",""),"(","")</f>
        <v>Housing</v>
      </c>
    </row>
    <row r="1083" spans="1:8" x14ac:dyDescent="0.25">
      <c r="A1083">
        <v>2018</v>
      </c>
      <c r="B1083">
        <v>2</v>
      </c>
      <c r="C1083" t="s">
        <v>30</v>
      </c>
      <c r="D1083">
        <v>6.6689999999999996</v>
      </c>
      <c r="E1083">
        <v>-1.8</v>
      </c>
      <c r="F1083">
        <v>-0.123</v>
      </c>
      <c r="H1083" s="4" t="str">
        <f t="array" aca="1" ref="H1083" ca="1">SUBSTITUTE(SUBSTITUTE(_xlfn.TEXTJOIN("",TRUE,IF(ISERR(MID(C1083,ROW(INDIRECT("1:100")),1)+0),MID(C1083,ROW(INDIRECT("1:100")),1),"")),")",""),"(","")</f>
        <v>Education and communication</v>
      </c>
    </row>
    <row r="1084" spans="1:8" x14ac:dyDescent="0.25">
      <c r="A1084">
        <v>2018</v>
      </c>
      <c r="B1084">
        <v>2</v>
      </c>
      <c r="C1084" t="s">
        <v>31</v>
      </c>
      <c r="D1084">
        <v>5.72</v>
      </c>
      <c r="E1084">
        <v>0.6</v>
      </c>
      <c r="F1084">
        <v>3.5000000000000003E-2</v>
      </c>
      <c r="H1084" s="4" t="str">
        <f t="array" aca="1" ref="H1084" ca="1">SUBSTITUTE(SUBSTITUTE(_xlfn.TEXTJOIN("",TRUE,IF(ISERR(MID(C1084,ROW(INDIRECT("1:100")),1)+0),MID(C1084,ROW(INDIRECT("1:100")),1),"")),")",""),"(","")</f>
        <v>Recreation</v>
      </c>
    </row>
    <row r="1085" spans="1:8" x14ac:dyDescent="0.25">
      <c r="A1085">
        <v>2018</v>
      </c>
      <c r="B1085">
        <v>2</v>
      </c>
      <c r="C1085" t="s">
        <v>6</v>
      </c>
      <c r="D1085">
        <v>14.343</v>
      </c>
      <c r="E1085">
        <v>1.4</v>
      </c>
      <c r="F1085">
        <v>0.20399999999999999</v>
      </c>
      <c r="H1085" s="4" t="str">
        <f t="array" aca="1" ref="H1085" ca="1">SUBSTITUTE(SUBSTITUTE(_xlfn.TEXTJOIN("",TRUE,IF(ISERR(MID(C1085,ROW(INDIRECT("1:100")),1)+0),MID(C1085,ROW(INDIRECT("1:100")),1),"")),")",""),"(","")</f>
        <v>Food and beverages</v>
      </c>
    </row>
    <row r="1086" spans="1:8" x14ac:dyDescent="0.25">
      <c r="A1086">
        <v>2018</v>
      </c>
      <c r="B1086">
        <v>2</v>
      </c>
      <c r="C1086" t="s">
        <v>32</v>
      </c>
      <c r="D1086">
        <v>11.585000000000001</v>
      </c>
      <c r="E1086">
        <v>0.3</v>
      </c>
      <c r="F1086">
        <v>0.03</v>
      </c>
      <c r="H1086" s="4" t="str">
        <f t="array" aca="1" ref="H1086" ca="1">SUBSTITUTE(SUBSTITUTE(_xlfn.TEXTJOIN("",TRUE,IF(ISERR(MID(C1086,ROW(INDIRECT("1:100")),1)+0),MID(C1086,ROW(INDIRECT("1:100")),1),"")),")",""),"(","")</f>
        <v>Other services</v>
      </c>
    </row>
    <row r="1087" spans="1:8" x14ac:dyDescent="0.25">
      <c r="A1087">
        <v>2018</v>
      </c>
      <c r="B1087">
        <v>2</v>
      </c>
      <c r="C1087" t="s">
        <v>33</v>
      </c>
      <c r="D1087">
        <v>2.379</v>
      </c>
      <c r="E1087">
        <v>0.6</v>
      </c>
      <c r="F1087">
        <v>1.9E-2</v>
      </c>
      <c r="H1087" s="4" t="str">
        <f t="array" aca="1" ref="H1087" ca="1">SUBSTITUTE(SUBSTITUTE(_xlfn.TEXTJOIN("",TRUE,IF(ISERR(MID(C1087,ROW(INDIRECT("1:100")),1)+0),MID(C1087,ROW(INDIRECT("1:100")),1),"")),")",""),"(","")</f>
        <v>Apparel less footwear</v>
      </c>
    </row>
    <row r="1088" spans="1:8" x14ac:dyDescent="0.25">
      <c r="A1088">
        <v>2018</v>
      </c>
      <c r="B1088">
        <v>2</v>
      </c>
      <c r="C1088" t="s">
        <v>34</v>
      </c>
      <c r="D1088">
        <v>4.68</v>
      </c>
      <c r="E1088">
        <v>3.1</v>
      </c>
      <c r="F1088">
        <v>0.15</v>
      </c>
      <c r="H1088" s="4" t="str">
        <f t="array" aca="1" ref="H1088" ca="1">SUBSTITUTE(SUBSTITUTE(_xlfn.TEXTJOIN("",TRUE,IF(ISERR(MID(C1088,ROW(INDIRECT("1:100")),1)+0),MID(C1088,ROW(INDIRECT("1:100")),1),"")),")",""),"(","")</f>
        <v>Fuels and utilities</v>
      </c>
    </row>
    <row r="1089" spans="1:8" x14ac:dyDescent="0.25">
      <c r="A1089">
        <v>2018</v>
      </c>
      <c r="B1089">
        <v>2</v>
      </c>
      <c r="C1089" t="s">
        <v>11</v>
      </c>
      <c r="D1089">
        <v>8.6850000000000005</v>
      </c>
      <c r="E1089">
        <v>1.8</v>
      </c>
      <c r="F1089">
        <v>0.152</v>
      </c>
      <c r="H1089" s="4" t="str">
        <f t="array" aca="1" ref="H1089" ca="1">SUBSTITUTE(SUBSTITUTE(_xlfn.TEXTJOIN("",TRUE,IF(ISERR(MID(C1089,ROW(INDIRECT("1:100")),1)+0),MID(C1089,ROW(INDIRECT("1:100")),1),"")),")",""),"(","")</f>
        <v>Medical care</v>
      </c>
    </row>
    <row r="1090" spans="1:8" x14ac:dyDescent="0.25">
      <c r="A1090">
        <v>2018</v>
      </c>
      <c r="B1090">
        <v>2</v>
      </c>
      <c r="C1090" t="s">
        <v>7</v>
      </c>
      <c r="D1090">
        <v>16.635000000000002</v>
      </c>
      <c r="E1090">
        <v>4.0999999999999996</v>
      </c>
      <c r="F1090">
        <v>0.65700000000000003</v>
      </c>
      <c r="H1090" s="4" t="str">
        <f t="array" aca="1" ref="H1090" ca="1">SUBSTITUTE(SUBSTITUTE(_xlfn.TEXTJOIN("",TRUE,IF(ISERR(MID(C1090,ROW(INDIRECT("1:100")),1)+0),MID(C1090,ROW(INDIRECT("1:100")),1),"")),")",""),"(","")</f>
        <v>Transportation</v>
      </c>
    </row>
    <row r="1091" spans="1:8" x14ac:dyDescent="0.25">
      <c r="A1091">
        <v>2018</v>
      </c>
      <c r="B1091">
        <v>2</v>
      </c>
      <c r="C1091" t="s">
        <v>35</v>
      </c>
      <c r="D1091">
        <v>9.4529999999999994</v>
      </c>
      <c r="E1091">
        <v>0.1</v>
      </c>
      <c r="F1091">
        <v>3.0000000000000001E-3</v>
      </c>
      <c r="H1091" s="4" t="str">
        <f t="array" aca="1" ref="H1091" ca="1">SUBSTITUTE(SUBSTITUTE(_xlfn.TEXTJOIN("",TRUE,IF(ISERR(MID(C1091,ROW(INDIRECT("1:100")),1)+0),MID(C1091,ROW(INDIRECT("1:100")),1),"")),")",""),"(","")</f>
        <v>Utilities and public transportation</v>
      </c>
    </row>
    <row r="1092" spans="1:8" x14ac:dyDescent="0.25">
      <c r="A1092">
        <v>2018</v>
      </c>
      <c r="B1092">
        <v>2</v>
      </c>
      <c r="C1092" t="s">
        <v>36</v>
      </c>
      <c r="D1092">
        <v>4.2640000000000002</v>
      </c>
      <c r="E1092">
        <v>-0.1</v>
      </c>
      <c r="F1092">
        <v>0</v>
      </c>
      <c r="H1092" s="4" t="str">
        <f t="array" aca="1" ref="H1092" ca="1">SUBSTITUTE(SUBSTITUTE(_xlfn.TEXTJOIN("",TRUE,IF(ISERR(MID(C1092,ROW(INDIRECT("1:100")),1)+0),MID(C1092,ROW(INDIRECT("1:100")),1),"")),")",""),"(","")</f>
        <v>Household furnishings and operations</v>
      </c>
    </row>
    <row r="1093" spans="1:8" x14ac:dyDescent="0.25">
      <c r="A1093">
        <v>2018</v>
      </c>
      <c r="B1093">
        <v>2</v>
      </c>
      <c r="C1093" t="s">
        <v>12</v>
      </c>
      <c r="D1093">
        <v>3.194</v>
      </c>
      <c r="E1093">
        <v>2.4</v>
      </c>
      <c r="F1093">
        <v>7.5999999999999998E-2</v>
      </c>
      <c r="H1093" s="4" t="str">
        <f t="array" aca="1" ref="H1093" ca="1">SUBSTITUTE(SUBSTITUTE(_xlfn.TEXTJOIN("",TRUE,IF(ISERR(MID(C1093,ROW(INDIRECT("1:100")),1)+0),MID(C1093,ROW(INDIRECT("1:100")),1),"")),")",""),"(","")</f>
        <v>Other goods and services</v>
      </c>
    </row>
    <row r="1094" spans="1:8" x14ac:dyDescent="0.25">
      <c r="A1094">
        <v>2018</v>
      </c>
      <c r="B1094">
        <v>3</v>
      </c>
      <c r="C1094" t="s">
        <v>14</v>
      </c>
      <c r="D1094">
        <v>100</v>
      </c>
      <c r="E1094">
        <v>2.4</v>
      </c>
      <c r="H1094" s="4" t="str">
        <f t="array" aca="1" ref="H1094" ca="1">SUBSTITUTE(SUBSTITUTE(_xlfn.TEXTJOIN("",TRUE,IF(ISERR(MID(C1094,ROW(INDIRECT("1:100")),1)+0),MID(C1094,ROW(INDIRECT("1:100")),1),"")),")",""),"(","")</f>
        <v>All items</v>
      </c>
    </row>
    <row r="1095" spans="1:8" x14ac:dyDescent="0.25">
      <c r="A1095">
        <v>2018</v>
      </c>
      <c r="B1095">
        <v>3</v>
      </c>
      <c r="C1095" t="s">
        <v>15</v>
      </c>
      <c r="D1095">
        <v>13.305999999999999</v>
      </c>
      <c r="E1095">
        <v>1.3</v>
      </c>
      <c r="F1095">
        <v>0.17499999999999999</v>
      </c>
      <c r="H1095" s="4" t="str">
        <f t="array" aca="1" ref="H1095" ca="1">SUBSTITUTE(SUBSTITUTE(_xlfn.TEXTJOIN("",TRUE,IF(ISERR(MID(C1095,ROW(INDIRECT("1:100")),1)+0),MID(C1095,ROW(INDIRECT("1:100")),1),"")),")",""),"(","")</f>
        <v>Food</v>
      </c>
    </row>
    <row r="1096" spans="1:8" x14ac:dyDescent="0.25">
      <c r="A1096">
        <v>2018</v>
      </c>
      <c r="B1096">
        <v>3</v>
      </c>
      <c r="C1096" t="s">
        <v>16</v>
      </c>
      <c r="D1096">
        <v>7.6870000000000003</v>
      </c>
      <c r="E1096">
        <v>7</v>
      </c>
      <c r="F1096">
        <v>0.50800000000000001</v>
      </c>
      <c r="H1096" s="4" t="str">
        <f t="array" aca="1" ref="H1096" ca="1">SUBSTITUTE(SUBSTITUTE(_xlfn.TEXTJOIN("",TRUE,IF(ISERR(MID(C1096,ROW(INDIRECT("1:100")),1)+0),MID(C1096,ROW(INDIRECT("1:100")),1),"")),")",""),"(","")</f>
        <v>Energy</v>
      </c>
    </row>
    <row r="1097" spans="1:8" x14ac:dyDescent="0.25">
      <c r="A1097">
        <v>2018</v>
      </c>
      <c r="B1097">
        <v>3</v>
      </c>
      <c r="C1097" t="s">
        <v>17</v>
      </c>
      <c r="D1097">
        <v>79.007000000000005</v>
      </c>
      <c r="E1097">
        <v>2.1</v>
      </c>
      <c r="F1097">
        <v>1.677</v>
      </c>
      <c r="H1097" s="4" t="str">
        <f t="array" aca="1" ref="H1097" ca="1">SUBSTITUTE(SUBSTITUTE(_xlfn.TEXTJOIN("",TRUE,IF(ISERR(MID(C1097,ROW(INDIRECT("1:100")),1)+0),MID(C1097,ROW(INDIRECT("1:100")),1),"")),")",""),"(","")</f>
        <v>All items less food and energy</v>
      </c>
    </row>
    <row r="1098" spans="1:8" x14ac:dyDescent="0.25">
      <c r="A1098">
        <v>2018</v>
      </c>
      <c r="B1098">
        <v>3</v>
      </c>
      <c r="C1098" t="s">
        <v>18</v>
      </c>
      <c r="H1098" s="4" t="str">
        <f t="array" aca="1" ref="H1098" ca="1">SUBSTITUTE(SUBSTITUTE(_xlfn.TEXTJOIN("",TRUE,IF(ISERR(MID(C1098,ROW(INDIRECT("1:100")),1)+0),MID(C1098,ROW(INDIRECT("1:100")),1),"")),")",""),"(","")</f>
        <v>Special aggregate indexes</v>
      </c>
    </row>
    <row r="1099" spans="1:8" x14ac:dyDescent="0.25">
      <c r="A1099">
        <v>2018</v>
      </c>
      <c r="B1099">
        <v>3</v>
      </c>
      <c r="C1099" t="s">
        <v>19</v>
      </c>
      <c r="D1099">
        <v>86.694000000000003</v>
      </c>
      <c r="E1099">
        <v>2.5</v>
      </c>
      <c r="F1099">
        <v>2.1850000000000001</v>
      </c>
      <c r="H1099" s="4" t="str">
        <f t="array" aca="1" ref="H1099" ca="1">SUBSTITUTE(SUBSTITUTE(_xlfn.TEXTJOIN("",TRUE,IF(ISERR(MID(C1099,ROW(INDIRECT("1:100")),1)+0),MID(C1099,ROW(INDIRECT("1:100")),1),"")),")",""),"(","")</f>
        <v>All items less food</v>
      </c>
    </row>
    <row r="1100" spans="1:8" x14ac:dyDescent="0.25">
      <c r="A1100">
        <v>2018</v>
      </c>
      <c r="B1100">
        <v>3</v>
      </c>
      <c r="C1100" t="s">
        <v>20</v>
      </c>
      <c r="D1100">
        <v>67.302999999999997</v>
      </c>
      <c r="E1100">
        <v>1.9</v>
      </c>
      <c r="F1100">
        <v>1.254</v>
      </c>
      <c r="H1100" s="4" t="str">
        <f t="array" aca="1" ref="H1100" ca="1">SUBSTITUTE(SUBSTITUTE(_xlfn.TEXTJOIN("",TRUE,IF(ISERR(MID(C1100,ROW(INDIRECT("1:100")),1)+0),MID(C1100,ROW(INDIRECT("1:100")),1),"")),")",""),"(","")</f>
        <v>All items less shelter</v>
      </c>
    </row>
    <row r="1101" spans="1:8" x14ac:dyDescent="0.25">
      <c r="A1101">
        <v>2018</v>
      </c>
      <c r="B1101">
        <v>3</v>
      </c>
      <c r="C1101" t="s">
        <v>21</v>
      </c>
      <c r="D1101">
        <v>53.997</v>
      </c>
      <c r="E1101">
        <v>2</v>
      </c>
      <c r="F1101">
        <v>1.08</v>
      </c>
      <c r="H1101" s="4" t="str">
        <f t="array" aca="1" ref="H1101" ca="1">SUBSTITUTE(SUBSTITUTE(_xlfn.TEXTJOIN("",TRUE,IF(ISERR(MID(C1101,ROW(INDIRECT("1:100")),1)+0),MID(C1101,ROW(INDIRECT("1:100")),1),"")),")",""),"(","")</f>
        <v>All items less food and shelter</v>
      </c>
    </row>
    <row r="1102" spans="1:8" x14ac:dyDescent="0.25">
      <c r="A1102">
        <v>2018</v>
      </c>
      <c r="B1102">
        <v>3</v>
      </c>
      <c r="C1102" t="s">
        <v>22</v>
      </c>
      <c r="D1102">
        <v>46.308999999999997</v>
      </c>
      <c r="E1102">
        <v>1.2</v>
      </c>
      <c r="F1102">
        <v>0.57199999999999995</v>
      </c>
      <c r="H1102" s="4" t="str">
        <f t="array" aca="1" ref="H1102" ca="1">SUBSTITUTE(SUBSTITUTE(_xlfn.TEXTJOIN("",TRUE,IF(ISERR(MID(C1102,ROW(INDIRECT("1:100")),1)+0),MID(C1102,ROW(INDIRECT("1:100")),1),"")),")",""),"(","")</f>
        <v>All items less food, shelter, and energy</v>
      </c>
    </row>
    <row r="1103" spans="1:8" x14ac:dyDescent="0.25">
      <c r="A1103">
        <v>2018</v>
      </c>
      <c r="B1103">
        <v>3</v>
      </c>
      <c r="C1103" t="s">
        <v>23</v>
      </c>
      <c r="D1103">
        <v>43.902000000000001</v>
      </c>
      <c r="E1103">
        <v>1.2</v>
      </c>
      <c r="F1103">
        <v>0.55100000000000005</v>
      </c>
      <c r="H1103" s="4" t="str">
        <f t="array" aca="1" ref="H1103" ca="1">SUBSTITUTE(SUBSTITUTE(_xlfn.TEXTJOIN("",TRUE,IF(ISERR(MID(C1103,ROW(INDIRECT("1:100")),1)+0),MID(C1103,ROW(INDIRECT("1:100")),1),"")),")",""),"(","")</f>
        <v>All items less food, shelter, energy, and used cars and trucks</v>
      </c>
    </row>
    <row r="1104" spans="1:8" x14ac:dyDescent="0.25">
      <c r="A1104">
        <v>2018</v>
      </c>
      <c r="B1104">
        <v>3</v>
      </c>
      <c r="C1104" t="s">
        <v>24</v>
      </c>
      <c r="D1104">
        <v>91.320999999999998</v>
      </c>
      <c r="E1104">
        <v>2.4</v>
      </c>
      <c r="F1104">
        <v>2.1880000000000002</v>
      </c>
      <c r="H1104" s="4" t="str">
        <f t="array" aca="1" ref="H1104" ca="1">SUBSTITUTE(SUBSTITUTE(_xlfn.TEXTJOIN("",TRUE,IF(ISERR(MID(C1104,ROW(INDIRECT("1:100")),1)+0),MID(C1104,ROW(INDIRECT("1:100")),1),"")),")",""),"(","")</f>
        <v>All items less medical care</v>
      </c>
    </row>
    <row r="1105" spans="1:8" x14ac:dyDescent="0.25">
      <c r="A1105">
        <v>2018</v>
      </c>
      <c r="B1105">
        <v>3</v>
      </c>
      <c r="C1105" t="s">
        <v>25</v>
      </c>
      <c r="D1105">
        <v>92.313000000000002</v>
      </c>
      <c r="E1105">
        <v>2</v>
      </c>
      <c r="F1105">
        <v>1.8520000000000001</v>
      </c>
      <c r="H1105" s="4" t="str">
        <f t="array" aca="1" ref="H1105" ca="1">SUBSTITUTE(SUBSTITUTE(_xlfn.TEXTJOIN("",TRUE,IF(ISERR(MID(C1105,ROW(INDIRECT("1:100")),1)+0),MID(C1105,ROW(INDIRECT("1:100")),1),"")),")",""),"(","")</f>
        <v>All items less energy</v>
      </c>
    </row>
    <row r="1106" spans="1:8" x14ac:dyDescent="0.25">
      <c r="A1106">
        <v>2018</v>
      </c>
      <c r="B1106">
        <v>3</v>
      </c>
      <c r="C1106" t="s">
        <v>26</v>
      </c>
      <c r="D1106">
        <v>37.454999999999998</v>
      </c>
      <c r="E1106">
        <v>1.5</v>
      </c>
      <c r="F1106">
        <v>0.55300000000000005</v>
      </c>
      <c r="H1106" s="4" t="str">
        <f t="array" aca="1" ref="H1106" ca="1">SUBSTITUTE(SUBSTITUTE(_xlfn.TEXTJOIN("",TRUE,IF(ISERR(MID(C1106,ROW(INDIRECT("1:100")),1)+0),MID(C1106,ROW(INDIRECT("1:100")),1),"")),")",""),"(","")</f>
        <v>Commodities</v>
      </c>
    </row>
    <row r="1107" spans="1:8" x14ac:dyDescent="0.25">
      <c r="A1107">
        <v>2018</v>
      </c>
      <c r="B1107">
        <v>3</v>
      </c>
      <c r="C1107" t="s">
        <v>27</v>
      </c>
      <c r="D1107">
        <v>62.545000000000002</v>
      </c>
      <c r="E1107">
        <v>2.9</v>
      </c>
      <c r="F1107">
        <v>1.8069999999999999</v>
      </c>
      <c r="H1107" s="4" t="str">
        <f t="array" aca="1" ref="H1107" ca="1">SUBSTITUTE(SUBSTITUTE(_xlfn.TEXTJOIN("",TRUE,IF(ISERR(MID(C1107,ROW(INDIRECT("1:100")),1)+0),MID(C1107,ROW(INDIRECT("1:100")),1),"")),")",""),"(","")</f>
        <v>Services</v>
      </c>
    </row>
    <row r="1108" spans="1:8" x14ac:dyDescent="0.25">
      <c r="A1108">
        <v>2018</v>
      </c>
      <c r="B1108">
        <v>3</v>
      </c>
      <c r="C1108" t="s">
        <v>28</v>
      </c>
      <c r="D1108">
        <v>10.087</v>
      </c>
      <c r="E1108">
        <v>-1.2</v>
      </c>
      <c r="F1108">
        <v>-0.10199999999999999</v>
      </c>
      <c r="H1108" s="4" t="str">
        <f t="array" aca="1" ref="H1108" ca="1">SUBSTITUTE(SUBSTITUTE(_xlfn.TEXTJOIN("",TRUE,IF(ISERR(MID(C1108,ROW(INDIRECT("1:100")),1)+0),MID(C1108,ROW(INDIRECT("1:100")),1),"")),")",""),"(","")</f>
        <v>Durables</v>
      </c>
    </row>
    <row r="1109" spans="1:8" x14ac:dyDescent="0.25">
      <c r="A1109">
        <v>2018</v>
      </c>
      <c r="B1109">
        <v>3</v>
      </c>
      <c r="C1109" t="s">
        <v>29</v>
      </c>
      <c r="D1109">
        <v>27.367999999999999</v>
      </c>
      <c r="E1109">
        <v>2.4</v>
      </c>
      <c r="F1109">
        <v>0.65500000000000003</v>
      </c>
      <c r="H1109" s="4" t="str">
        <f t="array" aca="1" ref="H1109" ca="1">SUBSTITUTE(SUBSTITUTE(_xlfn.TEXTJOIN("",TRUE,IF(ISERR(MID(C1109,ROW(INDIRECT("1:100")),1)+0),MID(C1109,ROW(INDIRECT("1:100")),1),"")),")",""),"(","")</f>
        <v>Nondurables</v>
      </c>
    </row>
    <row r="1110" spans="1:8" x14ac:dyDescent="0.25">
      <c r="A1110">
        <v>2018</v>
      </c>
      <c r="B1110">
        <v>3</v>
      </c>
      <c r="C1110" t="s">
        <v>8</v>
      </c>
      <c r="D1110">
        <v>41.662999999999997</v>
      </c>
      <c r="E1110">
        <v>3</v>
      </c>
      <c r="F1110">
        <v>1.256</v>
      </c>
      <c r="H1110" s="4" t="str">
        <f t="array" aca="1" ref="H1110" ca="1">SUBSTITUTE(SUBSTITUTE(_xlfn.TEXTJOIN("",TRUE,IF(ISERR(MID(C1110,ROW(INDIRECT("1:100")),1)+0),MID(C1110,ROW(INDIRECT("1:100")),1),"")),")",""),"(","")</f>
        <v>Housing</v>
      </c>
    </row>
    <row r="1111" spans="1:8" x14ac:dyDescent="0.25">
      <c r="A1111">
        <v>2018</v>
      </c>
      <c r="B1111">
        <v>3</v>
      </c>
      <c r="C1111" t="s">
        <v>30</v>
      </c>
      <c r="D1111">
        <v>6.6239999999999997</v>
      </c>
      <c r="E1111">
        <v>-0.2</v>
      </c>
      <c r="F1111">
        <v>-0.01</v>
      </c>
      <c r="H1111" s="4" t="str">
        <f t="array" aca="1" ref="H1111" ca="1">SUBSTITUTE(SUBSTITUTE(_xlfn.TEXTJOIN("",TRUE,IF(ISERR(MID(C1111,ROW(INDIRECT("1:100")),1)+0),MID(C1111,ROW(INDIRECT("1:100")),1),"")),")",""),"(","")</f>
        <v>Education and communication</v>
      </c>
    </row>
    <row r="1112" spans="1:8" x14ac:dyDescent="0.25">
      <c r="A1112">
        <v>2018</v>
      </c>
      <c r="B1112">
        <v>3</v>
      </c>
      <c r="C1112" t="s">
        <v>31</v>
      </c>
      <c r="D1112">
        <v>5.7160000000000002</v>
      </c>
      <c r="E1112">
        <v>0.6</v>
      </c>
      <c r="F1112">
        <v>3.5000000000000003E-2</v>
      </c>
      <c r="H1112" s="4" t="str">
        <f t="array" aca="1" ref="H1112" ca="1">SUBSTITUTE(SUBSTITUTE(_xlfn.TEXTJOIN("",TRUE,IF(ISERR(MID(C1112,ROW(INDIRECT("1:100")),1)+0),MID(C1112,ROW(INDIRECT("1:100")),1),"")),")",""),"(","")</f>
        <v>Recreation</v>
      </c>
    </row>
    <row r="1113" spans="1:8" x14ac:dyDescent="0.25">
      <c r="A1113">
        <v>2018</v>
      </c>
      <c r="B1113">
        <v>3</v>
      </c>
      <c r="C1113" t="s">
        <v>6</v>
      </c>
      <c r="D1113">
        <v>14.276</v>
      </c>
      <c r="E1113">
        <v>1.3</v>
      </c>
      <c r="F1113">
        <v>0.188</v>
      </c>
      <c r="H1113" s="4" t="str">
        <f t="array" aca="1" ref="H1113" ca="1">SUBSTITUTE(SUBSTITUTE(_xlfn.TEXTJOIN("",TRUE,IF(ISERR(MID(C1113,ROW(INDIRECT("1:100")),1)+0),MID(C1113,ROW(INDIRECT("1:100")),1),"")),")",""),"(","")</f>
        <v>Food and beverages</v>
      </c>
    </row>
    <row r="1114" spans="1:8" x14ac:dyDescent="0.25">
      <c r="A1114">
        <v>2018</v>
      </c>
      <c r="B1114">
        <v>3</v>
      </c>
      <c r="C1114" t="s">
        <v>32</v>
      </c>
      <c r="D1114">
        <v>11.545999999999999</v>
      </c>
      <c r="E1114">
        <v>1.1000000000000001</v>
      </c>
      <c r="F1114">
        <v>0.13100000000000001</v>
      </c>
      <c r="H1114" s="4" t="str">
        <f t="array" aca="1" ref="H1114" ca="1">SUBSTITUTE(SUBSTITUTE(_xlfn.TEXTJOIN("",TRUE,IF(ISERR(MID(C1114,ROW(INDIRECT("1:100")),1)+0),MID(C1114,ROW(INDIRECT("1:100")),1),"")),")",""),"(","")</f>
        <v>Other services</v>
      </c>
    </row>
    <row r="1115" spans="1:8" x14ac:dyDescent="0.25">
      <c r="A1115">
        <v>2018</v>
      </c>
      <c r="B1115">
        <v>3</v>
      </c>
      <c r="C1115" t="s">
        <v>33</v>
      </c>
      <c r="D1115">
        <v>2.4620000000000002</v>
      </c>
      <c r="E1115">
        <v>0.1</v>
      </c>
      <c r="F1115">
        <v>8.9999999999999993E-3</v>
      </c>
      <c r="H1115" s="4" t="str">
        <f t="array" aca="1" ref="H1115" ca="1">SUBSTITUTE(SUBSTITUTE(_xlfn.TEXTJOIN("",TRUE,IF(ISERR(MID(C1115,ROW(INDIRECT("1:100")),1)+0),MID(C1115,ROW(INDIRECT("1:100")),1),"")),")",""),"(","")</f>
        <v>Apparel less footwear</v>
      </c>
    </row>
    <row r="1116" spans="1:8" x14ac:dyDescent="0.25">
      <c r="A1116">
        <v>2018</v>
      </c>
      <c r="B1116">
        <v>3</v>
      </c>
      <c r="C1116" t="s">
        <v>34</v>
      </c>
      <c r="D1116">
        <v>4.7009999999999996</v>
      </c>
      <c r="E1116">
        <v>3</v>
      </c>
      <c r="F1116">
        <v>0.14799999999999999</v>
      </c>
      <c r="H1116" s="4" t="str">
        <f t="array" aca="1" ref="H1116" ca="1">SUBSTITUTE(SUBSTITUTE(_xlfn.TEXTJOIN("",TRUE,IF(ISERR(MID(C1116,ROW(INDIRECT("1:100")),1)+0),MID(C1116,ROW(INDIRECT("1:100")),1),"")),")",""),"(","")</f>
        <v>Fuels and utilities</v>
      </c>
    </row>
    <row r="1117" spans="1:8" x14ac:dyDescent="0.25">
      <c r="A1117">
        <v>2018</v>
      </c>
      <c r="B1117">
        <v>3</v>
      </c>
      <c r="C1117" t="s">
        <v>11</v>
      </c>
      <c r="D1117">
        <v>8.6790000000000003</v>
      </c>
      <c r="E1117">
        <v>2</v>
      </c>
      <c r="F1117">
        <v>0.17199999999999999</v>
      </c>
      <c r="H1117" s="4" t="str">
        <f t="array" aca="1" ref="H1117" ca="1">SUBSTITUTE(SUBSTITUTE(_xlfn.TEXTJOIN("",TRUE,IF(ISERR(MID(C1117,ROW(INDIRECT("1:100")),1)+0),MID(C1117,ROW(INDIRECT("1:100")),1),"")),")",""),"(","")</f>
        <v>Medical care</v>
      </c>
    </row>
    <row r="1118" spans="1:8" x14ac:dyDescent="0.25">
      <c r="A1118">
        <v>2018</v>
      </c>
      <c r="B1118">
        <v>3</v>
      </c>
      <c r="C1118" t="s">
        <v>7</v>
      </c>
      <c r="D1118">
        <v>16.722999999999999</v>
      </c>
      <c r="E1118">
        <v>3.9</v>
      </c>
      <c r="F1118">
        <v>0.624</v>
      </c>
      <c r="H1118" s="4" t="str">
        <f t="array" aca="1" ref="H1118" ca="1">SUBSTITUTE(SUBSTITUTE(_xlfn.TEXTJOIN("",TRUE,IF(ISERR(MID(C1118,ROW(INDIRECT("1:100")),1)+0),MID(C1118,ROW(INDIRECT("1:100")),1),"")),")",""),"(","")</f>
        <v>Transportation</v>
      </c>
    </row>
    <row r="1119" spans="1:8" x14ac:dyDescent="0.25">
      <c r="A1119">
        <v>2018</v>
      </c>
      <c r="B1119">
        <v>3</v>
      </c>
      <c r="C1119" t="s">
        <v>35</v>
      </c>
      <c r="D1119">
        <v>9.4890000000000008</v>
      </c>
      <c r="E1119">
        <v>1.1000000000000001</v>
      </c>
      <c r="F1119">
        <v>0.109</v>
      </c>
      <c r="H1119" s="4" t="str">
        <f t="array" aca="1" ref="H1119" ca="1">SUBSTITUTE(SUBSTITUTE(_xlfn.TEXTJOIN("",TRUE,IF(ISERR(MID(C1119,ROW(INDIRECT("1:100")),1)+0),MID(C1119,ROW(INDIRECT("1:100")),1),"")),")",""),"(","")</f>
        <v>Utilities and public transportation</v>
      </c>
    </row>
    <row r="1120" spans="1:8" x14ac:dyDescent="0.25">
      <c r="A1120">
        <v>2018</v>
      </c>
      <c r="B1120">
        <v>3</v>
      </c>
      <c r="C1120" t="s">
        <v>36</v>
      </c>
      <c r="D1120">
        <v>4.2640000000000002</v>
      </c>
      <c r="E1120">
        <v>-0.1</v>
      </c>
      <c r="F1120">
        <v>3.0000000000000001E-3</v>
      </c>
      <c r="H1120" s="4" t="str">
        <f t="array" aca="1" ref="H1120" ca="1">SUBSTITUTE(SUBSTITUTE(_xlfn.TEXTJOIN("",TRUE,IF(ISERR(MID(C1120,ROW(INDIRECT("1:100")),1)+0),MID(C1120,ROW(INDIRECT("1:100")),1),"")),")",""),"(","")</f>
        <v>Household furnishings and operations</v>
      </c>
    </row>
    <row r="1121" spans="1:8" x14ac:dyDescent="0.25">
      <c r="A1121">
        <v>2018</v>
      </c>
      <c r="B1121">
        <v>3</v>
      </c>
      <c r="C1121" t="s">
        <v>12</v>
      </c>
      <c r="D1121">
        <v>3.1840000000000002</v>
      </c>
      <c r="E1121">
        <v>2.6</v>
      </c>
      <c r="F1121">
        <v>8.1000000000000003E-2</v>
      </c>
      <c r="H1121" s="4" t="str">
        <f t="array" aca="1" ref="H1121" ca="1">SUBSTITUTE(SUBSTITUTE(_xlfn.TEXTJOIN("",TRUE,IF(ISERR(MID(C1121,ROW(INDIRECT("1:100")),1)+0),MID(C1121,ROW(INDIRECT("1:100")),1),"")),")",""),"(","")</f>
        <v>Other goods and services</v>
      </c>
    </row>
    <row r="1122" spans="1:8" x14ac:dyDescent="0.25">
      <c r="A1122">
        <v>2018</v>
      </c>
      <c r="B1122">
        <v>4</v>
      </c>
      <c r="C1122" t="s">
        <v>14</v>
      </c>
      <c r="D1122">
        <v>100</v>
      </c>
      <c r="E1122">
        <v>2.5</v>
      </c>
      <c r="H1122" s="4" t="str">
        <f t="array" aca="1" ref="H1122" ca="1">SUBSTITUTE(SUBSTITUTE(_xlfn.TEXTJOIN("",TRUE,IF(ISERR(MID(C1122,ROW(INDIRECT("1:100")),1)+0),MID(C1122,ROW(INDIRECT("1:100")),1),"")),")",""),"(","")</f>
        <v>All items</v>
      </c>
    </row>
    <row r="1123" spans="1:8" x14ac:dyDescent="0.25">
      <c r="A1123">
        <v>2018</v>
      </c>
      <c r="B1123">
        <v>4</v>
      </c>
      <c r="C1123" t="s">
        <v>15</v>
      </c>
      <c r="D1123">
        <v>13.281000000000001</v>
      </c>
      <c r="E1123">
        <v>1.4</v>
      </c>
      <c r="F1123">
        <v>0.188</v>
      </c>
      <c r="H1123" s="4" t="str">
        <f t="array" aca="1" ref="H1123" ca="1">SUBSTITUTE(SUBSTITUTE(_xlfn.TEXTJOIN("",TRUE,IF(ISERR(MID(C1123,ROW(INDIRECT("1:100")),1)+0),MID(C1123,ROW(INDIRECT("1:100")),1),"")),")",""),"(","")</f>
        <v>Food</v>
      </c>
    </row>
    <row r="1124" spans="1:8" x14ac:dyDescent="0.25">
      <c r="A1124">
        <v>2018</v>
      </c>
      <c r="B1124">
        <v>4</v>
      </c>
      <c r="C1124" t="s">
        <v>16</v>
      </c>
      <c r="D1124">
        <v>7.6349999999999998</v>
      </c>
      <c r="E1124">
        <v>7.9</v>
      </c>
      <c r="F1124">
        <v>0.58199999999999996</v>
      </c>
      <c r="H1124" s="4" t="str">
        <f t="array" aca="1" ref="H1124" ca="1">SUBSTITUTE(SUBSTITUTE(_xlfn.TEXTJOIN("",TRUE,IF(ISERR(MID(C1124,ROW(INDIRECT("1:100")),1)+0),MID(C1124,ROW(INDIRECT("1:100")),1),"")),")",""),"(","")</f>
        <v>Energy</v>
      </c>
    </row>
    <row r="1125" spans="1:8" x14ac:dyDescent="0.25">
      <c r="A1125">
        <v>2018</v>
      </c>
      <c r="B1125">
        <v>4</v>
      </c>
      <c r="C1125" t="s">
        <v>17</v>
      </c>
      <c r="D1125">
        <v>79.082999999999998</v>
      </c>
      <c r="E1125">
        <v>2.1</v>
      </c>
      <c r="F1125">
        <v>1.6919999999999999</v>
      </c>
      <c r="H1125" s="4" t="str">
        <f t="array" aca="1" ref="H1125" ca="1">SUBSTITUTE(SUBSTITUTE(_xlfn.TEXTJOIN("",TRUE,IF(ISERR(MID(C1125,ROW(INDIRECT("1:100")),1)+0),MID(C1125,ROW(INDIRECT("1:100")),1),"")),")",""),"(","")</f>
        <v>All items less food and energy</v>
      </c>
    </row>
    <row r="1126" spans="1:8" x14ac:dyDescent="0.25">
      <c r="A1126">
        <v>2018</v>
      </c>
      <c r="B1126">
        <v>4</v>
      </c>
      <c r="C1126" t="s">
        <v>18</v>
      </c>
      <c r="H1126" s="4" t="str">
        <f t="array" aca="1" ref="H1126" ca="1">SUBSTITUTE(SUBSTITUTE(_xlfn.TEXTJOIN("",TRUE,IF(ISERR(MID(C1126,ROW(INDIRECT("1:100")),1)+0),MID(C1126,ROW(INDIRECT("1:100")),1),"")),")",""),"(","")</f>
        <v>Special aggregate indexes</v>
      </c>
    </row>
    <row r="1127" spans="1:8" x14ac:dyDescent="0.25">
      <c r="A1127">
        <v>2018</v>
      </c>
      <c r="B1127">
        <v>4</v>
      </c>
      <c r="C1127" t="s">
        <v>19</v>
      </c>
      <c r="D1127">
        <v>86.718999999999994</v>
      </c>
      <c r="E1127">
        <v>2.6</v>
      </c>
      <c r="F1127">
        <v>2.2749999999999999</v>
      </c>
      <c r="H1127" s="4" t="str">
        <f t="array" aca="1" ref="H1127" ca="1">SUBSTITUTE(SUBSTITUTE(_xlfn.TEXTJOIN("",TRUE,IF(ISERR(MID(C1127,ROW(INDIRECT("1:100")),1)+0),MID(C1127,ROW(INDIRECT("1:100")),1),"")),")",""),"(","")</f>
        <v>All items less food</v>
      </c>
    </row>
    <row r="1128" spans="1:8" x14ac:dyDescent="0.25">
      <c r="A1128">
        <v>2018</v>
      </c>
      <c r="B1128">
        <v>4</v>
      </c>
      <c r="C1128" t="s">
        <v>20</v>
      </c>
      <c r="D1128">
        <v>67.248000000000005</v>
      </c>
      <c r="E1128">
        <v>2</v>
      </c>
      <c r="F1128">
        <v>1.34</v>
      </c>
      <c r="H1128" s="4" t="str">
        <f t="array" aca="1" ref="H1128" ca="1">SUBSTITUTE(SUBSTITUTE(_xlfn.TEXTJOIN("",TRUE,IF(ISERR(MID(C1128,ROW(INDIRECT("1:100")),1)+0),MID(C1128,ROW(INDIRECT("1:100")),1),"")),")",""),"(","")</f>
        <v>All items less shelter</v>
      </c>
    </row>
    <row r="1129" spans="1:8" x14ac:dyDescent="0.25">
      <c r="A1129">
        <v>2018</v>
      </c>
      <c r="B1129">
        <v>4</v>
      </c>
      <c r="C1129" t="s">
        <v>21</v>
      </c>
      <c r="D1129">
        <v>53.966999999999999</v>
      </c>
      <c r="E1129">
        <v>2.1</v>
      </c>
      <c r="F1129">
        <v>1.153</v>
      </c>
      <c r="H1129" s="4" t="str">
        <f t="array" aca="1" ref="H1129" ca="1">SUBSTITUTE(SUBSTITUTE(_xlfn.TEXTJOIN("",TRUE,IF(ISERR(MID(C1129,ROW(INDIRECT("1:100")),1)+0),MID(C1129,ROW(INDIRECT("1:100")),1),"")),")",""),"(","")</f>
        <v>All items less food and shelter</v>
      </c>
    </row>
    <row r="1130" spans="1:8" x14ac:dyDescent="0.25">
      <c r="A1130">
        <v>2018</v>
      </c>
      <c r="B1130">
        <v>4</v>
      </c>
      <c r="C1130" t="s">
        <v>22</v>
      </c>
      <c r="D1130">
        <v>46.331000000000003</v>
      </c>
      <c r="E1130">
        <v>1.2</v>
      </c>
      <c r="F1130">
        <v>0.56999999999999995</v>
      </c>
      <c r="H1130" s="4" t="str">
        <f t="array" aca="1" ref="H1130" ca="1">SUBSTITUTE(SUBSTITUTE(_xlfn.TEXTJOIN("",TRUE,IF(ISERR(MID(C1130,ROW(INDIRECT("1:100")),1)+0),MID(C1130,ROW(INDIRECT("1:100")),1),"")),")",""),"(","")</f>
        <v>All items less food, shelter, and energy</v>
      </c>
    </row>
    <row r="1131" spans="1:8" x14ac:dyDescent="0.25">
      <c r="A1131">
        <v>2018</v>
      </c>
      <c r="B1131">
        <v>4</v>
      </c>
      <c r="C1131" t="s">
        <v>23</v>
      </c>
      <c r="D1131">
        <v>43.893000000000001</v>
      </c>
      <c r="E1131">
        <v>1.3</v>
      </c>
      <c r="F1131">
        <v>0.57699999999999996</v>
      </c>
      <c r="H1131" s="4" t="str">
        <f t="array" aca="1" ref="H1131" ca="1">SUBSTITUTE(SUBSTITUTE(_xlfn.TEXTJOIN("",TRUE,IF(ISERR(MID(C1131,ROW(INDIRECT("1:100")),1)+0),MID(C1131,ROW(INDIRECT("1:100")),1),"")),")",""),"(","")</f>
        <v>All items less food, shelter, energy, and used cars and trucks</v>
      </c>
    </row>
    <row r="1132" spans="1:8" x14ac:dyDescent="0.25">
      <c r="A1132">
        <v>2018</v>
      </c>
      <c r="B1132">
        <v>4</v>
      </c>
      <c r="C1132" t="s">
        <v>24</v>
      </c>
      <c r="D1132">
        <v>91.320999999999998</v>
      </c>
      <c r="E1132">
        <v>2.5</v>
      </c>
      <c r="F1132">
        <v>2.2730000000000001</v>
      </c>
      <c r="H1132" s="4" t="str">
        <f t="array" aca="1" ref="H1132" ca="1">SUBSTITUTE(SUBSTITUTE(_xlfn.TEXTJOIN("",TRUE,IF(ISERR(MID(C1132,ROW(INDIRECT("1:100")),1)+0),MID(C1132,ROW(INDIRECT("1:100")),1),"")),")",""),"(","")</f>
        <v>All items less medical care</v>
      </c>
    </row>
    <row r="1133" spans="1:8" x14ac:dyDescent="0.25">
      <c r="A1133">
        <v>2018</v>
      </c>
      <c r="B1133">
        <v>4</v>
      </c>
      <c r="C1133" t="s">
        <v>25</v>
      </c>
      <c r="D1133">
        <v>92.364999999999995</v>
      </c>
      <c r="E1133">
        <v>2</v>
      </c>
      <c r="F1133">
        <v>1.88</v>
      </c>
      <c r="H1133" s="4" t="str">
        <f t="array" aca="1" ref="H1133" ca="1">SUBSTITUTE(SUBSTITUTE(_xlfn.TEXTJOIN("",TRUE,IF(ISERR(MID(C1133,ROW(INDIRECT("1:100")),1)+0),MID(C1133,ROW(INDIRECT("1:100")),1),"")),")",""),"(","")</f>
        <v>All items less energy</v>
      </c>
    </row>
    <row r="1134" spans="1:8" x14ac:dyDescent="0.25">
      <c r="A1134">
        <v>2018</v>
      </c>
      <c r="B1134">
        <v>4</v>
      </c>
      <c r="C1134" t="s">
        <v>26</v>
      </c>
      <c r="D1134">
        <v>37.451000000000001</v>
      </c>
      <c r="E1134">
        <v>1.8</v>
      </c>
      <c r="F1134">
        <v>0.68</v>
      </c>
      <c r="H1134" s="4" t="str">
        <f t="array" aca="1" ref="H1134" ca="1">SUBSTITUTE(SUBSTITUTE(_xlfn.TEXTJOIN("",TRUE,IF(ISERR(MID(C1134,ROW(INDIRECT("1:100")),1)+0),MID(C1134,ROW(INDIRECT("1:100")),1),"")),")",""),"(","")</f>
        <v>Commodities</v>
      </c>
    </row>
    <row r="1135" spans="1:8" x14ac:dyDescent="0.25">
      <c r="A1135">
        <v>2018</v>
      </c>
      <c r="B1135">
        <v>4</v>
      </c>
      <c r="C1135" t="s">
        <v>27</v>
      </c>
      <c r="D1135">
        <v>62.548999999999999</v>
      </c>
      <c r="E1135">
        <v>2.8</v>
      </c>
      <c r="F1135">
        <v>1.782</v>
      </c>
      <c r="H1135" s="4" t="str">
        <f t="array" aca="1" ref="H1135" ca="1">SUBSTITUTE(SUBSTITUTE(_xlfn.TEXTJOIN("",TRUE,IF(ISERR(MID(C1135,ROW(INDIRECT("1:100")),1)+0),MID(C1135,ROW(INDIRECT("1:100")),1),"")),")",""),"(","")</f>
        <v>Services</v>
      </c>
    </row>
    <row r="1136" spans="1:8" x14ac:dyDescent="0.25">
      <c r="A1136">
        <v>2018</v>
      </c>
      <c r="B1136">
        <v>4</v>
      </c>
      <c r="C1136" t="s">
        <v>28</v>
      </c>
      <c r="D1136">
        <v>10.103999999999999</v>
      </c>
      <c r="E1136">
        <v>-1.4</v>
      </c>
      <c r="F1136">
        <v>-0.121</v>
      </c>
      <c r="H1136" s="4" t="str">
        <f t="array" aca="1" ref="H1136" ca="1">SUBSTITUTE(SUBSTITUTE(_xlfn.TEXTJOIN("",TRUE,IF(ISERR(MID(C1136,ROW(INDIRECT("1:100")),1)+0),MID(C1136,ROW(INDIRECT("1:100")),1),"")),")",""),"(","")</f>
        <v>Durables</v>
      </c>
    </row>
    <row r="1137" spans="1:8" x14ac:dyDescent="0.25">
      <c r="A1137">
        <v>2018</v>
      </c>
      <c r="B1137">
        <v>4</v>
      </c>
      <c r="C1137" t="s">
        <v>29</v>
      </c>
      <c r="D1137">
        <v>27.347000000000001</v>
      </c>
      <c r="E1137">
        <v>2.9</v>
      </c>
      <c r="F1137">
        <v>0.80200000000000005</v>
      </c>
      <c r="H1137" s="4" t="str">
        <f t="array" aca="1" ref="H1137" ca="1">SUBSTITUTE(SUBSTITUTE(_xlfn.TEXTJOIN("",TRUE,IF(ISERR(MID(C1137,ROW(INDIRECT("1:100")),1)+0),MID(C1137,ROW(INDIRECT("1:100")),1),"")),")",""),"(","")</f>
        <v>Nondurables</v>
      </c>
    </row>
    <row r="1138" spans="1:8" x14ac:dyDescent="0.25">
      <c r="A1138">
        <v>2018</v>
      </c>
      <c r="B1138">
        <v>4</v>
      </c>
      <c r="C1138" t="s">
        <v>8</v>
      </c>
      <c r="D1138">
        <v>41.677999999999997</v>
      </c>
      <c r="E1138">
        <v>3</v>
      </c>
      <c r="F1138">
        <v>1.2569999999999999</v>
      </c>
      <c r="H1138" s="4" t="str">
        <f t="array" aca="1" ref="H1138" ca="1">SUBSTITUTE(SUBSTITUTE(_xlfn.TEXTJOIN("",TRUE,IF(ISERR(MID(C1138,ROW(INDIRECT("1:100")),1)+0),MID(C1138,ROW(INDIRECT("1:100")),1),"")),")",""),"(","")</f>
        <v>Housing</v>
      </c>
    </row>
    <row r="1139" spans="1:8" x14ac:dyDescent="0.25">
      <c r="A1139">
        <v>2018</v>
      </c>
      <c r="B1139">
        <v>4</v>
      </c>
      <c r="C1139" t="s">
        <v>30</v>
      </c>
      <c r="D1139">
        <v>6.5949999999999998</v>
      </c>
      <c r="E1139">
        <v>0.1</v>
      </c>
      <c r="F1139">
        <v>8.0000000000000002E-3</v>
      </c>
      <c r="H1139" s="4" t="str">
        <f t="array" aca="1" ref="H1139" ca="1">SUBSTITUTE(SUBSTITUTE(_xlfn.TEXTJOIN("",TRUE,IF(ISERR(MID(C1139,ROW(INDIRECT("1:100")),1)+0),MID(C1139,ROW(INDIRECT("1:100")),1),"")),")",""),"(","")</f>
        <v>Education and communication</v>
      </c>
    </row>
    <row r="1140" spans="1:8" x14ac:dyDescent="0.25">
      <c r="A1140">
        <v>2018</v>
      </c>
      <c r="B1140">
        <v>4</v>
      </c>
      <c r="C1140" t="s">
        <v>31</v>
      </c>
      <c r="D1140">
        <v>5.7119999999999997</v>
      </c>
      <c r="E1140">
        <v>0.3</v>
      </c>
      <c r="F1140">
        <v>1.6E-2</v>
      </c>
      <c r="H1140" s="4" t="str">
        <f t="array" aca="1" ref="H1140" ca="1">SUBSTITUTE(SUBSTITUTE(_xlfn.TEXTJOIN("",TRUE,IF(ISERR(MID(C1140,ROW(INDIRECT("1:100")),1)+0),MID(C1140,ROW(INDIRECT("1:100")),1),"")),")",""),"(","")</f>
        <v>Recreation</v>
      </c>
    </row>
    <row r="1141" spans="1:8" x14ac:dyDescent="0.25">
      <c r="A1141">
        <v>2018</v>
      </c>
      <c r="B1141">
        <v>4</v>
      </c>
      <c r="C1141" t="s">
        <v>6</v>
      </c>
      <c r="D1141">
        <v>14.25</v>
      </c>
      <c r="E1141">
        <v>1.4</v>
      </c>
      <c r="F1141">
        <v>0.20100000000000001</v>
      </c>
      <c r="H1141" s="4" t="str">
        <f t="array" aca="1" ref="H1141" ca="1">SUBSTITUTE(SUBSTITUTE(_xlfn.TEXTJOIN("",TRUE,IF(ISERR(MID(C1141,ROW(INDIRECT("1:100")),1)+0),MID(C1141,ROW(INDIRECT("1:100")),1),"")),")",""),"(","")</f>
        <v>Food and beverages</v>
      </c>
    </row>
    <row r="1142" spans="1:8" x14ac:dyDescent="0.25">
      <c r="A1142">
        <v>2018</v>
      </c>
      <c r="B1142">
        <v>4</v>
      </c>
      <c r="C1142" t="s">
        <v>32</v>
      </c>
      <c r="D1142">
        <v>11.522</v>
      </c>
      <c r="E1142">
        <v>1.2</v>
      </c>
      <c r="F1142">
        <v>0.14099999999999999</v>
      </c>
      <c r="H1142" s="4" t="str">
        <f t="array" aca="1" ref="H1142" ca="1">SUBSTITUTE(SUBSTITUTE(_xlfn.TEXTJOIN("",TRUE,IF(ISERR(MID(C1142,ROW(INDIRECT("1:100")),1)+0),MID(C1142,ROW(INDIRECT("1:100")),1),"")),")",""),"(","")</f>
        <v>Other services</v>
      </c>
    </row>
    <row r="1143" spans="1:8" x14ac:dyDescent="0.25">
      <c r="A1143">
        <v>2018</v>
      </c>
      <c r="B1143">
        <v>4</v>
      </c>
      <c r="C1143" t="s">
        <v>33</v>
      </c>
      <c r="D1143">
        <v>2.4849999999999999</v>
      </c>
      <c r="E1143">
        <v>1.1000000000000001</v>
      </c>
      <c r="F1143">
        <v>3.4000000000000002E-2</v>
      </c>
      <c r="H1143" s="4" t="str">
        <f t="array" aca="1" ref="H1143" ca="1">SUBSTITUTE(SUBSTITUTE(_xlfn.TEXTJOIN("",TRUE,IF(ISERR(MID(C1143,ROW(INDIRECT("1:100")),1)+0),MID(C1143,ROW(INDIRECT("1:100")),1),"")),")",""),"(","")</f>
        <v>Apparel less footwear</v>
      </c>
    </row>
    <row r="1144" spans="1:8" x14ac:dyDescent="0.25">
      <c r="A1144">
        <v>2018</v>
      </c>
      <c r="B1144">
        <v>4</v>
      </c>
      <c r="C1144" t="s">
        <v>34</v>
      </c>
      <c r="D1144">
        <v>4.6680000000000001</v>
      </c>
      <c r="E1144">
        <v>2.2000000000000002</v>
      </c>
      <c r="F1144">
        <v>0.105</v>
      </c>
      <c r="H1144" s="4" t="str">
        <f t="array" aca="1" ref="H1144" ca="1">SUBSTITUTE(SUBSTITUTE(_xlfn.TEXTJOIN("",TRUE,IF(ISERR(MID(C1144,ROW(INDIRECT("1:100")),1)+0),MID(C1144,ROW(INDIRECT("1:100")),1),"")),")",""),"(","")</f>
        <v>Fuels and utilities</v>
      </c>
    </row>
    <row r="1145" spans="1:8" x14ac:dyDescent="0.25">
      <c r="A1145">
        <v>2018</v>
      </c>
      <c r="B1145">
        <v>4</v>
      </c>
      <c r="C1145" t="s">
        <v>11</v>
      </c>
      <c r="D1145">
        <v>8.6790000000000003</v>
      </c>
      <c r="E1145">
        <v>2.2000000000000002</v>
      </c>
      <c r="F1145">
        <v>0.19</v>
      </c>
      <c r="H1145" s="4" t="str">
        <f t="array" aca="1" ref="H1145" ca="1">SUBSTITUTE(SUBSTITUTE(_xlfn.TEXTJOIN("",TRUE,IF(ISERR(MID(C1145,ROW(INDIRECT("1:100")),1)+0),MID(C1145,ROW(INDIRECT("1:100")),1),"")),")",""),"(","")</f>
        <v>Medical care</v>
      </c>
    </row>
    <row r="1146" spans="1:8" x14ac:dyDescent="0.25">
      <c r="A1146">
        <v>2018</v>
      </c>
      <c r="B1146">
        <v>4</v>
      </c>
      <c r="C1146" t="s">
        <v>7</v>
      </c>
      <c r="D1146">
        <v>16.724</v>
      </c>
      <c r="E1146">
        <v>4.0999999999999996</v>
      </c>
      <c r="F1146">
        <v>0.68200000000000005</v>
      </c>
      <c r="H1146" s="4" t="str">
        <f t="array" aca="1" ref="H1146" ca="1">SUBSTITUTE(SUBSTITUTE(_xlfn.TEXTJOIN("",TRUE,IF(ISERR(MID(C1146,ROW(INDIRECT("1:100")),1)+0),MID(C1146,ROW(INDIRECT("1:100")),1),"")),")",""),"(","")</f>
        <v>Transportation</v>
      </c>
    </row>
    <row r="1147" spans="1:8" x14ac:dyDescent="0.25">
      <c r="A1147">
        <v>2018</v>
      </c>
      <c r="B1147">
        <v>4</v>
      </c>
      <c r="C1147" t="s">
        <v>35</v>
      </c>
      <c r="D1147">
        <v>9.4600000000000009</v>
      </c>
      <c r="E1147">
        <v>0.7</v>
      </c>
      <c r="F1147">
        <v>6.8000000000000005E-2</v>
      </c>
      <c r="H1147" s="4" t="str">
        <f t="array" aca="1" ref="H1147" ca="1">SUBSTITUTE(SUBSTITUTE(_xlfn.TEXTJOIN("",TRUE,IF(ISERR(MID(C1147,ROW(INDIRECT("1:100")),1)+0),MID(C1147,ROW(INDIRECT("1:100")),1),"")),")",""),"(","")</f>
        <v>Utilities and public transportation</v>
      </c>
    </row>
    <row r="1148" spans="1:8" x14ac:dyDescent="0.25">
      <c r="A1148">
        <v>2018</v>
      </c>
      <c r="B1148">
        <v>4</v>
      </c>
      <c r="C1148" t="s">
        <v>36</v>
      </c>
      <c r="D1148">
        <v>4.258</v>
      </c>
      <c r="E1148">
        <v>0.6</v>
      </c>
      <c r="F1148">
        <v>0.03</v>
      </c>
      <c r="H1148" s="4" t="str">
        <f t="array" aca="1" ref="H1148" ca="1">SUBSTITUTE(SUBSTITUTE(_xlfn.TEXTJOIN("",TRUE,IF(ISERR(MID(C1148,ROW(INDIRECT("1:100")),1)+0),MID(C1148,ROW(INDIRECT("1:100")),1),"")),")",""),"(","")</f>
        <v>Household furnishings and operations</v>
      </c>
    </row>
    <row r="1149" spans="1:8" x14ac:dyDescent="0.25">
      <c r="A1149">
        <v>2018</v>
      </c>
      <c r="B1149">
        <v>4</v>
      </c>
      <c r="C1149" t="s">
        <v>12</v>
      </c>
      <c r="D1149">
        <v>3.1840000000000002</v>
      </c>
      <c r="E1149">
        <v>2.4</v>
      </c>
      <c r="F1149">
        <v>7.6999999999999999E-2</v>
      </c>
      <c r="H1149" s="4" t="str">
        <f t="array" aca="1" ref="H1149" ca="1">SUBSTITUTE(SUBSTITUTE(_xlfn.TEXTJOIN("",TRUE,IF(ISERR(MID(C1149,ROW(INDIRECT("1:100")),1)+0),MID(C1149,ROW(INDIRECT("1:100")),1),"")),")",""),"(","")</f>
        <v>Other goods and services</v>
      </c>
    </row>
    <row r="1150" spans="1:8" x14ac:dyDescent="0.25">
      <c r="A1150">
        <v>2018</v>
      </c>
      <c r="B1150">
        <v>5</v>
      </c>
      <c r="C1150" t="s">
        <v>14</v>
      </c>
      <c r="D1150">
        <v>100</v>
      </c>
      <c r="E1150">
        <v>2.8</v>
      </c>
      <c r="H1150" s="4" t="str">
        <f t="array" aca="1" ref="H1150" ca="1">SUBSTITUTE(SUBSTITUTE(_xlfn.TEXTJOIN("",TRUE,IF(ISERR(MID(C1150,ROW(INDIRECT("1:100")),1)+0),MID(C1150,ROW(INDIRECT("1:100")),1),"")),")",""),"(","")</f>
        <v>All items</v>
      </c>
    </row>
    <row r="1151" spans="1:8" x14ac:dyDescent="0.25">
      <c r="A1151">
        <v>2018</v>
      </c>
      <c r="B1151">
        <v>5</v>
      </c>
      <c r="C1151" t="s">
        <v>15</v>
      </c>
      <c r="D1151">
        <v>13.273</v>
      </c>
      <c r="E1151">
        <v>1.2</v>
      </c>
      <c r="F1151">
        <v>0.16700000000000001</v>
      </c>
      <c r="H1151" s="4" t="str">
        <f t="array" aca="1" ref="H1151" ca="1">SUBSTITUTE(SUBSTITUTE(_xlfn.TEXTJOIN("",TRUE,IF(ISERR(MID(C1151,ROW(INDIRECT("1:100")),1)+0),MID(C1151,ROW(INDIRECT("1:100")),1),"")),")",""),"(","")</f>
        <v>Food</v>
      </c>
    </row>
    <row r="1152" spans="1:8" x14ac:dyDescent="0.25">
      <c r="A1152">
        <v>2018</v>
      </c>
      <c r="B1152">
        <v>5</v>
      </c>
      <c r="C1152" t="s">
        <v>16</v>
      </c>
      <c r="D1152">
        <v>7.83</v>
      </c>
      <c r="E1152">
        <v>11.7</v>
      </c>
      <c r="F1152">
        <v>0.86499999999999999</v>
      </c>
      <c r="H1152" s="4" t="str">
        <f t="array" aca="1" ref="H1152" ca="1">SUBSTITUTE(SUBSTITUTE(_xlfn.TEXTJOIN("",TRUE,IF(ISERR(MID(C1152,ROW(INDIRECT("1:100")),1)+0),MID(C1152,ROW(INDIRECT("1:100")),1),"")),")",""),"(","")</f>
        <v>Energy</v>
      </c>
    </row>
    <row r="1153" spans="1:8" x14ac:dyDescent="0.25">
      <c r="A1153">
        <v>2018</v>
      </c>
      <c r="B1153">
        <v>5</v>
      </c>
      <c r="C1153" t="s">
        <v>17</v>
      </c>
      <c r="D1153">
        <v>78.897999999999996</v>
      </c>
      <c r="E1153">
        <v>2.2000000000000002</v>
      </c>
      <c r="F1153">
        <v>1.77</v>
      </c>
      <c r="H1153" s="4" t="str">
        <f t="array" aca="1" ref="H1153" ca="1">SUBSTITUTE(SUBSTITUTE(_xlfn.TEXTJOIN("",TRUE,IF(ISERR(MID(C1153,ROW(INDIRECT("1:100")),1)+0),MID(C1153,ROW(INDIRECT("1:100")),1),"")),")",""),"(","")</f>
        <v>All items less food and energy</v>
      </c>
    </row>
    <row r="1154" spans="1:8" x14ac:dyDescent="0.25">
      <c r="A1154">
        <v>2018</v>
      </c>
      <c r="B1154">
        <v>5</v>
      </c>
      <c r="C1154" t="s">
        <v>18</v>
      </c>
      <c r="H1154" s="4" t="str">
        <f t="array" aca="1" ref="H1154" ca="1">SUBSTITUTE(SUBSTITUTE(_xlfn.TEXTJOIN("",TRUE,IF(ISERR(MID(C1154,ROW(INDIRECT("1:100")),1)+0),MID(C1154,ROW(INDIRECT("1:100")),1),"")),")",""),"(","")</f>
        <v>Special aggregate indexes</v>
      </c>
    </row>
    <row r="1155" spans="1:8" x14ac:dyDescent="0.25">
      <c r="A1155">
        <v>2018</v>
      </c>
      <c r="B1155">
        <v>5</v>
      </c>
      <c r="C1155" t="s">
        <v>19</v>
      </c>
      <c r="D1155">
        <v>86.727000000000004</v>
      </c>
      <c r="E1155">
        <v>3</v>
      </c>
      <c r="F1155">
        <v>2.6349999999999998</v>
      </c>
      <c r="H1155" s="4" t="str">
        <f t="array" aca="1" ref="H1155" ca="1">SUBSTITUTE(SUBSTITUTE(_xlfn.TEXTJOIN("",TRUE,IF(ISERR(MID(C1155,ROW(INDIRECT("1:100")),1)+0),MID(C1155,ROW(INDIRECT("1:100")),1),"")),")",""),"(","")</f>
        <v>All items less food</v>
      </c>
    </row>
    <row r="1156" spans="1:8" x14ac:dyDescent="0.25">
      <c r="A1156">
        <v>2018</v>
      </c>
      <c r="B1156">
        <v>5</v>
      </c>
      <c r="C1156" t="s">
        <v>20</v>
      </c>
      <c r="D1156">
        <v>67.284999999999997</v>
      </c>
      <c r="E1156">
        <v>2.4</v>
      </c>
      <c r="F1156">
        <v>1.64</v>
      </c>
      <c r="H1156" s="4" t="str">
        <f t="array" aca="1" ref="H1156" ca="1">SUBSTITUTE(SUBSTITUTE(_xlfn.TEXTJOIN("",TRUE,IF(ISERR(MID(C1156,ROW(INDIRECT("1:100")),1)+0),MID(C1156,ROW(INDIRECT("1:100")),1),"")),")",""),"(","")</f>
        <v>All items less shelter</v>
      </c>
    </row>
    <row r="1157" spans="1:8" x14ac:dyDescent="0.25">
      <c r="A1157">
        <v>2018</v>
      </c>
      <c r="B1157">
        <v>5</v>
      </c>
      <c r="C1157" t="s">
        <v>21</v>
      </c>
      <c r="D1157">
        <v>54.012</v>
      </c>
      <c r="E1157">
        <v>2.7</v>
      </c>
      <c r="F1157">
        <v>1.4730000000000001</v>
      </c>
      <c r="H1157" s="4" t="str">
        <f t="array" aca="1" ref="H1157" ca="1">SUBSTITUTE(SUBSTITUTE(_xlfn.TEXTJOIN("",TRUE,IF(ISERR(MID(C1157,ROW(INDIRECT("1:100")),1)+0),MID(C1157,ROW(INDIRECT("1:100")),1),"")),")",""),"(","")</f>
        <v>All items less food and shelter</v>
      </c>
    </row>
    <row r="1158" spans="1:8" x14ac:dyDescent="0.25">
      <c r="A1158">
        <v>2018</v>
      </c>
      <c r="B1158">
        <v>5</v>
      </c>
      <c r="C1158" t="s">
        <v>22</v>
      </c>
      <c r="D1158">
        <v>46.182000000000002</v>
      </c>
      <c r="E1158">
        <v>1.3</v>
      </c>
      <c r="F1158">
        <v>0.60799999999999998</v>
      </c>
      <c r="H1158" s="4" t="str">
        <f t="array" aca="1" ref="H1158" ca="1">SUBSTITUTE(SUBSTITUTE(_xlfn.TEXTJOIN("",TRUE,IF(ISERR(MID(C1158,ROW(INDIRECT("1:100")),1)+0),MID(C1158,ROW(INDIRECT("1:100")),1),"")),")",""),"(","")</f>
        <v>All items less food, shelter, and energy</v>
      </c>
    </row>
    <row r="1159" spans="1:8" x14ac:dyDescent="0.25">
      <c r="A1159">
        <v>2018</v>
      </c>
      <c r="B1159">
        <v>5</v>
      </c>
      <c r="C1159" t="s">
        <v>23</v>
      </c>
      <c r="D1159">
        <v>43.762</v>
      </c>
      <c r="E1159">
        <v>1.4</v>
      </c>
      <c r="F1159">
        <v>0.63300000000000001</v>
      </c>
      <c r="H1159" s="4" t="str">
        <f t="array" aca="1" ref="H1159" ca="1">SUBSTITUTE(SUBSTITUTE(_xlfn.TEXTJOIN("",TRUE,IF(ISERR(MID(C1159,ROW(INDIRECT("1:100")),1)+0),MID(C1159,ROW(INDIRECT("1:100")),1),"")),")",""),"(","")</f>
        <v>All items less food, shelter, energy, and used cars and trucks</v>
      </c>
    </row>
    <row r="1160" spans="1:8" x14ac:dyDescent="0.25">
      <c r="A1160">
        <v>2018</v>
      </c>
      <c r="B1160">
        <v>5</v>
      </c>
      <c r="C1160" t="s">
        <v>24</v>
      </c>
      <c r="D1160">
        <v>91.355000000000004</v>
      </c>
      <c r="E1160">
        <v>2.8</v>
      </c>
      <c r="F1160">
        <v>2.5950000000000002</v>
      </c>
      <c r="H1160" s="4" t="str">
        <f t="array" aca="1" ref="H1160" ca="1">SUBSTITUTE(SUBSTITUTE(_xlfn.TEXTJOIN("",TRUE,IF(ISERR(MID(C1160,ROW(INDIRECT("1:100")),1)+0),MID(C1160,ROW(INDIRECT("1:100")),1),"")),")",""),"(","")</f>
        <v>All items less medical care</v>
      </c>
    </row>
    <row r="1161" spans="1:8" x14ac:dyDescent="0.25">
      <c r="A1161">
        <v>2018</v>
      </c>
      <c r="B1161">
        <v>5</v>
      </c>
      <c r="C1161" t="s">
        <v>25</v>
      </c>
      <c r="D1161">
        <v>92.17</v>
      </c>
      <c r="E1161">
        <v>2.1</v>
      </c>
      <c r="F1161">
        <v>1.9359999999999999</v>
      </c>
      <c r="H1161" s="4" t="str">
        <f t="array" aca="1" ref="H1161" ca="1">SUBSTITUTE(SUBSTITUTE(_xlfn.TEXTJOIN("",TRUE,IF(ISERR(MID(C1161,ROW(INDIRECT("1:100")),1)+0),MID(C1161,ROW(INDIRECT("1:100")),1),"")),")",""),"(","")</f>
        <v>All items less energy</v>
      </c>
    </row>
    <row r="1162" spans="1:8" x14ac:dyDescent="0.25">
      <c r="A1162">
        <v>2018</v>
      </c>
      <c r="B1162">
        <v>5</v>
      </c>
      <c r="C1162" t="s">
        <v>26</v>
      </c>
      <c r="D1162">
        <v>37.606000000000002</v>
      </c>
      <c r="E1162">
        <v>2.6</v>
      </c>
      <c r="F1162">
        <v>0.98299999999999998</v>
      </c>
      <c r="H1162" s="4" t="str">
        <f t="array" aca="1" ref="H1162" ca="1">SUBSTITUTE(SUBSTITUTE(_xlfn.TEXTJOIN("",TRUE,IF(ISERR(MID(C1162,ROW(INDIRECT("1:100")),1)+0),MID(C1162,ROW(INDIRECT("1:100")),1),"")),")",""),"(","")</f>
        <v>Commodities</v>
      </c>
    </row>
    <row r="1163" spans="1:8" x14ac:dyDescent="0.25">
      <c r="A1163">
        <v>2018</v>
      </c>
      <c r="B1163">
        <v>5</v>
      </c>
      <c r="C1163" t="s">
        <v>27</v>
      </c>
      <c r="D1163">
        <v>62.393999999999998</v>
      </c>
      <c r="E1163">
        <v>2.9</v>
      </c>
      <c r="F1163">
        <v>1.8180000000000001</v>
      </c>
      <c r="H1163" s="4" t="str">
        <f t="array" aca="1" ref="H1163" ca="1">SUBSTITUTE(SUBSTITUTE(_xlfn.TEXTJOIN("",TRUE,IF(ISERR(MID(C1163,ROW(INDIRECT("1:100")),1)+0),MID(C1163,ROW(INDIRECT("1:100")),1),"")),")",""),"(","")</f>
        <v>Services</v>
      </c>
    </row>
    <row r="1164" spans="1:8" x14ac:dyDescent="0.25">
      <c r="A1164">
        <v>2018</v>
      </c>
      <c r="B1164">
        <v>5</v>
      </c>
      <c r="C1164" t="s">
        <v>28</v>
      </c>
      <c r="D1164">
        <v>10.050000000000001</v>
      </c>
      <c r="E1164">
        <v>-1.6</v>
      </c>
      <c r="F1164">
        <v>-0.13900000000000001</v>
      </c>
      <c r="H1164" s="4" t="str">
        <f t="array" aca="1" ref="H1164" ca="1">SUBSTITUTE(SUBSTITUTE(_xlfn.TEXTJOIN("",TRUE,IF(ISERR(MID(C1164,ROW(INDIRECT("1:100")),1)+0),MID(C1164,ROW(INDIRECT("1:100")),1),"")),")",""),"(","")</f>
        <v>Durables</v>
      </c>
    </row>
    <row r="1165" spans="1:8" x14ac:dyDescent="0.25">
      <c r="A1165">
        <v>2018</v>
      </c>
      <c r="B1165">
        <v>5</v>
      </c>
      <c r="C1165" t="s">
        <v>29</v>
      </c>
      <c r="D1165">
        <v>27.556000000000001</v>
      </c>
      <c r="E1165">
        <v>4.0999999999999996</v>
      </c>
      <c r="F1165">
        <v>1.1220000000000001</v>
      </c>
      <c r="H1165" s="4" t="str">
        <f t="array" aca="1" ref="H1165" ca="1">SUBSTITUTE(SUBSTITUTE(_xlfn.TEXTJOIN("",TRUE,IF(ISERR(MID(C1165,ROW(INDIRECT("1:100")),1)+0),MID(C1165,ROW(INDIRECT("1:100")),1),"")),")",""),"(","")</f>
        <v>Nondurables</v>
      </c>
    </row>
    <row r="1166" spans="1:8" x14ac:dyDescent="0.25">
      <c r="A1166">
        <v>2018</v>
      </c>
      <c r="B1166">
        <v>5</v>
      </c>
      <c r="C1166" t="s">
        <v>8</v>
      </c>
      <c r="D1166">
        <v>41.606999999999999</v>
      </c>
      <c r="E1166">
        <v>3</v>
      </c>
      <c r="F1166">
        <v>1.264</v>
      </c>
      <c r="H1166" s="4" t="str">
        <f t="array" aca="1" ref="H1166" ca="1">SUBSTITUTE(SUBSTITUTE(_xlfn.TEXTJOIN("",TRUE,IF(ISERR(MID(C1166,ROW(INDIRECT("1:100")),1)+0),MID(C1166,ROW(INDIRECT("1:100")),1),"")),")",""),"(","")</f>
        <v>Housing</v>
      </c>
    </row>
    <row r="1167" spans="1:8" x14ac:dyDescent="0.25">
      <c r="A1167">
        <v>2018</v>
      </c>
      <c r="B1167">
        <v>5</v>
      </c>
      <c r="C1167" t="s">
        <v>30</v>
      </c>
      <c r="D1167">
        <v>6.5650000000000004</v>
      </c>
      <c r="E1167">
        <v>0.5</v>
      </c>
      <c r="F1167">
        <v>3.5000000000000003E-2</v>
      </c>
      <c r="H1167" s="4" t="str">
        <f t="array" aca="1" ref="H1167" ca="1">SUBSTITUTE(SUBSTITUTE(_xlfn.TEXTJOIN("",TRUE,IF(ISERR(MID(C1167,ROW(INDIRECT("1:100")),1)+0),MID(C1167,ROW(INDIRECT("1:100")),1),"")),")",""),"(","")</f>
        <v>Education and communication</v>
      </c>
    </row>
    <row r="1168" spans="1:8" x14ac:dyDescent="0.25">
      <c r="A1168">
        <v>2018</v>
      </c>
      <c r="B1168">
        <v>5</v>
      </c>
      <c r="C1168" t="s">
        <v>31</v>
      </c>
      <c r="D1168">
        <v>5.6749999999999998</v>
      </c>
      <c r="E1168">
        <v>0.2</v>
      </c>
      <c r="F1168">
        <v>1.4E-2</v>
      </c>
      <c r="H1168" s="4" t="str">
        <f t="array" aca="1" ref="H1168" ca="1">SUBSTITUTE(SUBSTITUTE(_xlfn.TEXTJOIN("",TRUE,IF(ISERR(MID(C1168,ROW(INDIRECT("1:100")),1)+0),MID(C1168,ROW(INDIRECT("1:100")),1),"")),")",""),"(","")</f>
        <v>Recreation</v>
      </c>
    </row>
    <row r="1169" spans="1:8" x14ac:dyDescent="0.25">
      <c r="A1169">
        <v>2018</v>
      </c>
      <c r="B1169">
        <v>5</v>
      </c>
      <c r="C1169" t="s">
        <v>6</v>
      </c>
      <c r="D1169">
        <v>14.239000000000001</v>
      </c>
      <c r="E1169">
        <v>1.2</v>
      </c>
      <c r="F1169">
        <v>0.18</v>
      </c>
      <c r="H1169" s="4" t="str">
        <f t="array" aca="1" ref="H1169" ca="1">SUBSTITUTE(SUBSTITUTE(_xlfn.TEXTJOIN("",TRUE,IF(ISERR(MID(C1169,ROW(INDIRECT("1:100")),1)+0),MID(C1169,ROW(INDIRECT("1:100")),1),"")),")",""),"(","")</f>
        <v>Food and beverages</v>
      </c>
    </row>
    <row r="1170" spans="1:8" x14ac:dyDescent="0.25">
      <c r="A1170">
        <v>2018</v>
      </c>
      <c r="B1170">
        <v>5</v>
      </c>
      <c r="C1170" t="s">
        <v>32</v>
      </c>
      <c r="D1170">
        <v>11.475</v>
      </c>
      <c r="E1170">
        <v>1.5</v>
      </c>
      <c r="F1170">
        <v>0.17</v>
      </c>
      <c r="H1170" s="4" t="str">
        <f t="array" aca="1" ref="H1170" ca="1">SUBSTITUTE(SUBSTITUTE(_xlfn.TEXTJOIN("",TRUE,IF(ISERR(MID(C1170,ROW(INDIRECT("1:100")),1)+0),MID(C1170,ROW(INDIRECT("1:100")),1),"")),")",""),"(","")</f>
        <v>Other services</v>
      </c>
    </row>
    <row r="1171" spans="1:8" x14ac:dyDescent="0.25">
      <c r="A1171">
        <v>2018</v>
      </c>
      <c r="B1171">
        <v>5</v>
      </c>
      <c r="C1171" t="s">
        <v>33</v>
      </c>
      <c r="D1171">
        <v>2.4950000000000001</v>
      </c>
      <c r="E1171">
        <v>2</v>
      </c>
      <c r="F1171">
        <v>5.3999999999999999E-2</v>
      </c>
      <c r="H1171" s="4" t="str">
        <f t="array" aca="1" ref="H1171" ca="1">SUBSTITUTE(SUBSTITUTE(_xlfn.TEXTJOIN("",TRUE,IF(ISERR(MID(C1171,ROW(INDIRECT("1:100")),1)+0),MID(C1171,ROW(INDIRECT("1:100")),1),"")),")",""),"(","")</f>
        <v>Apparel less footwear</v>
      </c>
    </row>
    <row r="1172" spans="1:8" x14ac:dyDescent="0.25">
      <c r="A1172">
        <v>2018</v>
      </c>
      <c r="B1172">
        <v>5</v>
      </c>
      <c r="C1172" t="s">
        <v>34</v>
      </c>
      <c r="D1172">
        <v>4.6319999999999997</v>
      </c>
      <c r="E1172">
        <v>1.8</v>
      </c>
      <c r="F1172">
        <v>8.5999999999999993E-2</v>
      </c>
      <c r="H1172" s="4" t="str">
        <f t="array" aca="1" ref="H1172" ca="1">SUBSTITUTE(SUBSTITUTE(_xlfn.TEXTJOIN("",TRUE,IF(ISERR(MID(C1172,ROW(INDIRECT("1:100")),1)+0),MID(C1172,ROW(INDIRECT("1:100")),1),"")),")",""),"(","")</f>
        <v>Fuels and utilities</v>
      </c>
    </row>
    <row r="1173" spans="1:8" x14ac:dyDescent="0.25">
      <c r="A1173">
        <v>2018</v>
      </c>
      <c r="B1173">
        <v>5</v>
      </c>
      <c r="C1173" t="s">
        <v>11</v>
      </c>
      <c r="D1173">
        <v>8.6449999999999996</v>
      </c>
      <c r="E1173">
        <v>2.4</v>
      </c>
      <c r="F1173">
        <v>0.20599999999999999</v>
      </c>
      <c r="H1173" s="4" t="str">
        <f t="array" aca="1" ref="H1173" ca="1">SUBSTITUTE(SUBSTITUTE(_xlfn.TEXTJOIN("",TRUE,IF(ISERR(MID(C1173,ROW(INDIRECT("1:100")),1)+0),MID(C1173,ROW(INDIRECT("1:100")),1),"")),")",""),"(","")</f>
        <v>Medical care</v>
      </c>
    </row>
    <row r="1174" spans="1:8" x14ac:dyDescent="0.25">
      <c r="A1174">
        <v>2018</v>
      </c>
      <c r="B1174">
        <v>5</v>
      </c>
      <c r="C1174" t="s">
        <v>7</v>
      </c>
      <c r="D1174">
        <v>16.888999999999999</v>
      </c>
      <c r="E1174">
        <v>5.9</v>
      </c>
      <c r="F1174">
        <v>0.97299999999999998</v>
      </c>
      <c r="H1174" s="4" t="str">
        <f t="array" aca="1" ref="H1174" ca="1">SUBSTITUTE(SUBSTITUTE(_xlfn.TEXTJOIN("",TRUE,IF(ISERR(MID(C1174,ROW(INDIRECT("1:100")),1)+0),MID(C1174,ROW(INDIRECT("1:100")),1),"")),")",""),"(","")</f>
        <v>Transportation</v>
      </c>
    </row>
    <row r="1175" spans="1:8" x14ac:dyDescent="0.25">
      <c r="A1175">
        <v>2018</v>
      </c>
      <c r="B1175">
        <v>5</v>
      </c>
      <c r="C1175" t="s">
        <v>35</v>
      </c>
      <c r="D1175">
        <v>9.4139999999999997</v>
      </c>
      <c r="E1175">
        <v>0.5</v>
      </c>
      <c r="F1175">
        <v>5.0999999999999997E-2</v>
      </c>
      <c r="H1175" s="4" t="str">
        <f t="array" aca="1" ref="H1175" ca="1">SUBSTITUTE(SUBSTITUTE(_xlfn.TEXTJOIN("",TRUE,IF(ISERR(MID(C1175,ROW(INDIRECT("1:100")),1)+0),MID(C1175,ROW(INDIRECT("1:100")),1),"")),")",""),"(","")</f>
        <v>Utilities and public transportation</v>
      </c>
    </row>
    <row r="1176" spans="1:8" x14ac:dyDescent="0.25">
      <c r="A1176">
        <v>2018</v>
      </c>
      <c r="B1176">
        <v>5</v>
      </c>
      <c r="C1176" t="s">
        <v>36</v>
      </c>
      <c r="D1176">
        <v>4.26</v>
      </c>
      <c r="E1176">
        <v>0.3</v>
      </c>
      <c r="F1176">
        <v>1.6E-2</v>
      </c>
      <c r="H1176" s="4" t="str">
        <f t="array" aca="1" ref="H1176" ca="1">SUBSTITUTE(SUBSTITUTE(_xlfn.TEXTJOIN("",TRUE,IF(ISERR(MID(C1176,ROW(INDIRECT("1:100")),1)+0),MID(C1176,ROW(INDIRECT("1:100")),1),"")),")",""),"(","")</f>
        <v>Household furnishings and operations</v>
      </c>
    </row>
    <row r="1177" spans="1:8" x14ac:dyDescent="0.25">
      <c r="A1177">
        <v>2018</v>
      </c>
      <c r="B1177">
        <v>5</v>
      </c>
      <c r="C1177" t="s">
        <v>12</v>
      </c>
      <c r="D1177">
        <v>3.1949999999999998</v>
      </c>
      <c r="E1177">
        <v>2.5</v>
      </c>
      <c r="F1177">
        <v>0.08</v>
      </c>
      <c r="H1177" s="4" t="str">
        <f t="array" aca="1" ref="H1177" ca="1">SUBSTITUTE(SUBSTITUTE(_xlfn.TEXTJOIN("",TRUE,IF(ISERR(MID(C1177,ROW(INDIRECT("1:100")),1)+0),MID(C1177,ROW(INDIRECT("1:100")),1),"")),")",""),"(","")</f>
        <v>Other goods and services</v>
      </c>
    </row>
    <row r="1178" spans="1:8" x14ac:dyDescent="0.25">
      <c r="A1178">
        <v>2018</v>
      </c>
      <c r="B1178">
        <v>6</v>
      </c>
      <c r="C1178" t="s">
        <v>14</v>
      </c>
      <c r="D1178">
        <v>100</v>
      </c>
      <c r="E1178">
        <v>2.9</v>
      </c>
      <c r="H1178" s="4" t="str">
        <f t="array" aca="1" ref="H1178" ca="1">SUBSTITUTE(SUBSTITUTE(_xlfn.TEXTJOIN("",TRUE,IF(ISERR(MID(C1178,ROW(INDIRECT("1:100")),1)+0),MID(C1178,ROW(INDIRECT("1:100")),1),"")),")",""),"(","")</f>
        <v>All items</v>
      </c>
    </row>
    <row r="1179" spans="1:8" x14ac:dyDescent="0.25">
      <c r="A1179">
        <v>2018</v>
      </c>
      <c r="B1179">
        <v>6</v>
      </c>
      <c r="C1179" t="s">
        <v>15</v>
      </c>
      <c r="D1179">
        <v>13.212</v>
      </c>
      <c r="E1179">
        <v>1.4</v>
      </c>
      <c r="F1179">
        <v>0.193</v>
      </c>
      <c r="H1179" s="4" t="str">
        <f t="array" aca="1" ref="H1179" ca="1">SUBSTITUTE(SUBSTITUTE(_xlfn.TEXTJOIN("",TRUE,IF(ISERR(MID(C1179,ROW(INDIRECT("1:100")),1)+0),MID(C1179,ROW(INDIRECT("1:100")),1),"")),")",""),"(","")</f>
        <v>Food</v>
      </c>
    </row>
    <row r="1180" spans="1:8" x14ac:dyDescent="0.25">
      <c r="A1180">
        <v>2018</v>
      </c>
      <c r="B1180">
        <v>6</v>
      </c>
      <c r="C1180" t="s">
        <v>16</v>
      </c>
      <c r="D1180">
        <v>8.0820000000000007</v>
      </c>
      <c r="E1180">
        <v>12</v>
      </c>
      <c r="F1180">
        <v>0.89500000000000002</v>
      </c>
      <c r="H1180" s="4" t="str">
        <f t="array" aca="1" ref="H1180" ca="1">SUBSTITUTE(SUBSTITUTE(_xlfn.TEXTJOIN("",TRUE,IF(ISERR(MID(C1180,ROW(INDIRECT("1:100")),1)+0),MID(C1180,ROW(INDIRECT("1:100")),1),"")),")",""),"(","")</f>
        <v>Energy</v>
      </c>
    </row>
    <row r="1181" spans="1:8" x14ac:dyDescent="0.25">
      <c r="A1181">
        <v>2018</v>
      </c>
      <c r="B1181">
        <v>6</v>
      </c>
      <c r="C1181" t="s">
        <v>17</v>
      </c>
      <c r="D1181">
        <v>78.706000000000003</v>
      </c>
      <c r="E1181">
        <v>2.2999999999999998</v>
      </c>
      <c r="F1181">
        <v>1.784</v>
      </c>
      <c r="H1181" s="4" t="str">
        <f t="array" aca="1" ref="H1181" ca="1">SUBSTITUTE(SUBSTITUTE(_xlfn.TEXTJOIN("",TRUE,IF(ISERR(MID(C1181,ROW(INDIRECT("1:100")),1)+0),MID(C1181,ROW(INDIRECT("1:100")),1),"")),")",""),"(","")</f>
        <v>All items less food and energy</v>
      </c>
    </row>
    <row r="1182" spans="1:8" x14ac:dyDescent="0.25">
      <c r="A1182">
        <v>2018</v>
      </c>
      <c r="B1182">
        <v>6</v>
      </c>
      <c r="C1182" t="s">
        <v>18</v>
      </c>
      <c r="H1182" s="4" t="str">
        <f t="array" aca="1" ref="H1182" ca="1">SUBSTITUTE(SUBSTITUTE(_xlfn.TEXTJOIN("",TRUE,IF(ISERR(MID(C1182,ROW(INDIRECT("1:100")),1)+0),MID(C1182,ROW(INDIRECT("1:100")),1),"")),")",""),"(","")</f>
        <v>Special aggregate indexes</v>
      </c>
    </row>
    <row r="1183" spans="1:8" x14ac:dyDescent="0.25">
      <c r="A1183">
        <v>2018</v>
      </c>
      <c r="B1183">
        <v>6</v>
      </c>
      <c r="C1183" t="s">
        <v>19</v>
      </c>
      <c r="D1183">
        <v>86.787999999999997</v>
      </c>
      <c r="E1183">
        <v>3.1</v>
      </c>
      <c r="F1183">
        <v>2.6779999999999999</v>
      </c>
      <c r="H1183" s="4" t="str">
        <f t="array" aca="1" ref="H1183" ca="1">SUBSTITUTE(SUBSTITUTE(_xlfn.TEXTJOIN("",TRUE,IF(ISERR(MID(C1183,ROW(INDIRECT("1:100")),1)+0),MID(C1183,ROW(INDIRECT("1:100")),1),"")),")",""),"(","")</f>
        <v>All items less food</v>
      </c>
    </row>
    <row r="1184" spans="1:8" x14ac:dyDescent="0.25">
      <c r="A1184">
        <v>2018</v>
      </c>
      <c r="B1184">
        <v>6</v>
      </c>
      <c r="C1184" t="s">
        <v>20</v>
      </c>
      <c r="D1184">
        <v>67.293000000000006</v>
      </c>
      <c r="E1184">
        <v>2.6</v>
      </c>
      <c r="F1184">
        <v>1.7509999999999999</v>
      </c>
      <c r="H1184" s="4" t="str">
        <f t="array" aca="1" ref="H1184" ca="1">SUBSTITUTE(SUBSTITUTE(_xlfn.TEXTJOIN("",TRUE,IF(ISERR(MID(C1184,ROW(INDIRECT("1:100")),1)+0),MID(C1184,ROW(INDIRECT("1:100")),1),"")),")",""),"(","")</f>
        <v>All items less shelter</v>
      </c>
    </row>
    <row r="1185" spans="1:8" x14ac:dyDescent="0.25">
      <c r="A1185">
        <v>2018</v>
      </c>
      <c r="B1185">
        <v>6</v>
      </c>
      <c r="C1185" t="s">
        <v>21</v>
      </c>
      <c r="D1185">
        <v>54.081000000000003</v>
      </c>
      <c r="E1185">
        <v>2.9</v>
      </c>
      <c r="F1185">
        <v>1.5580000000000001</v>
      </c>
      <c r="H1185" s="4" t="str">
        <f t="array" aca="1" ref="H1185" ca="1">SUBSTITUTE(SUBSTITUTE(_xlfn.TEXTJOIN("",TRUE,IF(ISERR(MID(C1185,ROW(INDIRECT("1:100")),1)+0),MID(C1185,ROW(INDIRECT("1:100")),1),"")),")",""),"(","")</f>
        <v>All items less food and shelter</v>
      </c>
    </row>
    <row r="1186" spans="1:8" x14ac:dyDescent="0.25">
      <c r="A1186">
        <v>2018</v>
      </c>
      <c r="B1186">
        <v>6</v>
      </c>
      <c r="C1186" t="s">
        <v>22</v>
      </c>
      <c r="D1186">
        <v>45.999000000000002</v>
      </c>
      <c r="E1186">
        <v>1.4</v>
      </c>
      <c r="F1186">
        <v>0.66300000000000003</v>
      </c>
      <c r="H1186" s="4" t="str">
        <f t="array" aca="1" ref="H1186" ca="1">SUBSTITUTE(SUBSTITUTE(_xlfn.TEXTJOIN("",TRUE,IF(ISERR(MID(C1186,ROW(INDIRECT("1:100")),1)+0),MID(C1186,ROW(INDIRECT("1:100")),1),"")),")",""),"(","")</f>
        <v>All items less food, shelter, and energy</v>
      </c>
    </row>
    <row r="1187" spans="1:8" x14ac:dyDescent="0.25">
      <c r="A1187">
        <v>2018</v>
      </c>
      <c r="B1187">
        <v>6</v>
      </c>
      <c r="C1187" t="s">
        <v>23</v>
      </c>
      <c r="D1187">
        <v>43.603999999999999</v>
      </c>
      <c r="E1187">
        <v>1.5</v>
      </c>
      <c r="F1187">
        <v>0.66600000000000004</v>
      </c>
      <c r="H1187" s="4" t="str">
        <f t="array" aca="1" ref="H1187" ca="1">SUBSTITUTE(SUBSTITUTE(_xlfn.TEXTJOIN("",TRUE,IF(ISERR(MID(C1187,ROW(INDIRECT("1:100")),1)+0),MID(C1187,ROW(INDIRECT("1:100")),1),"")),")",""),"(","")</f>
        <v>All items less food, shelter, energy, and used cars and trucks</v>
      </c>
    </row>
    <row r="1188" spans="1:8" x14ac:dyDescent="0.25">
      <c r="A1188">
        <v>2018</v>
      </c>
      <c r="B1188">
        <v>6</v>
      </c>
      <c r="C1188" t="s">
        <v>24</v>
      </c>
      <c r="D1188">
        <v>91.376000000000005</v>
      </c>
      <c r="E1188">
        <v>2.9</v>
      </c>
      <c r="F1188">
        <v>2.66</v>
      </c>
      <c r="H1188" s="4" t="str">
        <f t="array" aca="1" ref="H1188" ca="1">SUBSTITUTE(SUBSTITUTE(_xlfn.TEXTJOIN("",TRUE,IF(ISERR(MID(C1188,ROW(INDIRECT("1:100")),1)+0),MID(C1188,ROW(INDIRECT("1:100")),1),"")),")",""),"(","")</f>
        <v>All items less medical care</v>
      </c>
    </row>
    <row r="1189" spans="1:8" x14ac:dyDescent="0.25">
      <c r="A1189">
        <v>2018</v>
      </c>
      <c r="B1189">
        <v>6</v>
      </c>
      <c r="C1189" t="s">
        <v>25</v>
      </c>
      <c r="D1189">
        <v>91.918000000000006</v>
      </c>
      <c r="E1189">
        <v>2.1</v>
      </c>
      <c r="F1189">
        <v>1.9770000000000001</v>
      </c>
      <c r="H1189" s="4" t="str">
        <f t="array" aca="1" ref="H1189" ca="1">SUBSTITUTE(SUBSTITUTE(_xlfn.TEXTJOIN("",TRUE,IF(ISERR(MID(C1189,ROW(INDIRECT("1:100")),1)+0),MID(C1189,ROW(INDIRECT("1:100")),1),"")),")",""),"(","")</f>
        <v>All items less energy</v>
      </c>
    </row>
    <row r="1190" spans="1:8" x14ac:dyDescent="0.25">
      <c r="A1190">
        <v>2018</v>
      </c>
      <c r="B1190">
        <v>6</v>
      </c>
      <c r="C1190" t="s">
        <v>26</v>
      </c>
      <c r="D1190">
        <v>37.637</v>
      </c>
      <c r="E1190">
        <v>2.9</v>
      </c>
      <c r="F1190">
        <v>1.087</v>
      </c>
      <c r="H1190" s="4" t="str">
        <f t="array" aca="1" ref="H1190" ca="1">SUBSTITUTE(SUBSTITUTE(_xlfn.TEXTJOIN("",TRUE,IF(ISERR(MID(C1190,ROW(INDIRECT("1:100")),1)+0),MID(C1190,ROW(INDIRECT("1:100")),1),"")),")",""),"(","")</f>
        <v>Commodities</v>
      </c>
    </row>
    <row r="1191" spans="1:8" x14ac:dyDescent="0.25">
      <c r="A1191">
        <v>2018</v>
      </c>
      <c r="B1191">
        <v>6</v>
      </c>
      <c r="C1191" t="s">
        <v>27</v>
      </c>
      <c r="D1191">
        <v>62.363</v>
      </c>
      <c r="E1191">
        <v>2.8</v>
      </c>
      <c r="F1191">
        <v>1.7849999999999999</v>
      </c>
      <c r="H1191" s="4" t="str">
        <f t="array" aca="1" ref="H1191" ca="1">SUBSTITUTE(SUBSTITUTE(_xlfn.TEXTJOIN("",TRUE,IF(ISERR(MID(C1191,ROW(INDIRECT("1:100")),1)+0),MID(C1191,ROW(INDIRECT("1:100")),1),"")),")",""),"(","")</f>
        <v>Services</v>
      </c>
    </row>
    <row r="1192" spans="1:8" x14ac:dyDescent="0.25">
      <c r="A1192">
        <v>2018</v>
      </c>
      <c r="B1192">
        <v>6</v>
      </c>
      <c r="C1192" t="s">
        <v>28</v>
      </c>
      <c r="D1192">
        <v>9.9789999999999992</v>
      </c>
      <c r="E1192">
        <v>-1.2</v>
      </c>
      <c r="F1192">
        <v>-0.104</v>
      </c>
      <c r="H1192" s="4" t="str">
        <f t="array" aca="1" ref="H1192" ca="1">SUBSTITUTE(SUBSTITUTE(_xlfn.TEXTJOIN("",TRUE,IF(ISERR(MID(C1192,ROW(INDIRECT("1:100")),1)+0),MID(C1192,ROW(INDIRECT("1:100")),1),"")),")",""),"(","")</f>
        <v>Durables</v>
      </c>
    </row>
    <row r="1193" spans="1:8" x14ac:dyDescent="0.25">
      <c r="A1193">
        <v>2018</v>
      </c>
      <c r="B1193">
        <v>6</v>
      </c>
      <c r="C1193" t="s">
        <v>29</v>
      </c>
      <c r="D1193">
        <v>27.658999999999999</v>
      </c>
      <c r="E1193">
        <v>4.4000000000000004</v>
      </c>
      <c r="F1193">
        <v>1.1919999999999999</v>
      </c>
      <c r="H1193" s="4" t="str">
        <f t="array" aca="1" ref="H1193" ca="1">SUBSTITUTE(SUBSTITUTE(_xlfn.TEXTJOIN("",TRUE,IF(ISERR(MID(C1193,ROW(INDIRECT("1:100")),1)+0),MID(C1193,ROW(INDIRECT("1:100")),1),"")),")",""),"(","")</f>
        <v>Nondurables</v>
      </c>
    </row>
    <row r="1194" spans="1:8" x14ac:dyDescent="0.25">
      <c r="A1194">
        <v>2018</v>
      </c>
      <c r="B1194">
        <v>6</v>
      </c>
      <c r="C1194" t="s">
        <v>8</v>
      </c>
      <c r="D1194">
        <v>41.585999999999999</v>
      </c>
      <c r="E1194">
        <v>2.8</v>
      </c>
      <c r="F1194">
        <v>1.1830000000000001</v>
      </c>
      <c r="H1194" s="4" t="str">
        <f t="array" aca="1" ref="H1194" ca="1">SUBSTITUTE(SUBSTITUTE(_xlfn.TEXTJOIN("",TRUE,IF(ISERR(MID(C1194,ROW(INDIRECT("1:100")),1)+0),MID(C1194,ROW(INDIRECT("1:100")),1),"")),")",""),"(","")</f>
        <v>Housing</v>
      </c>
    </row>
    <row r="1195" spans="1:8" x14ac:dyDescent="0.25">
      <c r="A1195">
        <v>2018</v>
      </c>
      <c r="B1195">
        <v>6</v>
      </c>
      <c r="C1195" t="s">
        <v>30</v>
      </c>
      <c r="D1195">
        <v>6.5529999999999999</v>
      </c>
      <c r="E1195">
        <v>0.8</v>
      </c>
      <c r="F1195">
        <v>5.0999999999999997E-2</v>
      </c>
      <c r="H1195" s="4" t="str">
        <f t="array" aca="1" ref="H1195" ca="1">SUBSTITUTE(SUBSTITUTE(_xlfn.TEXTJOIN("",TRUE,IF(ISERR(MID(C1195,ROW(INDIRECT("1:100")),1)+0),MID(C1195,ROW(INDIRECT("1:100")),1),"")),")",""),"(","")</f>
        <v>Education and communication</v>
      </c>
    </row>
    <row r="1196" spans="1:8" x14ac:dyDescent="0.25">
      <c r="A1196">
        <v>2018</v>
      </c>
      <c r="B1196">
        <v>6</v>
      </c>
      <c r="C1196" t="s">
        <v>31</v>
      </c>
      <c r="D1196">
        <v>5.6459999999999999</v>
      </c>
      <c r="E1196">
        <v>0.5</v>
      </c>
      <c r="F1196">
        <v>3.1E-2</v>
      </c>
      <c r="H1196" s="4" t="str">
        <f t="array" aca="1" ref="H1196" ca="1">SUBSTITUTE(SUBSTITUTE(_xlfn.TEXTJOIN("",TRUE,IF(ISERR(MID(C1196,ROW(INDIRECT("1:100")),1)+0),MID(C1196,ROW(INDIRECT("1:100")),1),"")),")",""),"(","")</f>
        <v>Recreation</v>
      </c>
    </row>
    <row r="1197" spans="1:8" x14ac:dyDescent="0.25">
      <c r="A1197">
        <v>2018</v>
      </c>
      <c r="B1197">
        <v>6</v>
      </c>
      <c r="C1197" t="s">
        <v>6</v>
      </c>
      <c r="D1197">
        <v>14.172000000000001</v>
      </c>
      <c r="E1197">
        <v>1.5</v>
      </c>
      <c r="F1197">
        <v>0.21</v>
      </c>
      <c r="H1197" s="4" t="str">
        <f t="array" aca="1" ref="H1197" ca="1">SUBSTITUTE(SUBSTITUTE(_xlfn.TEXTJOIN("",TRUE,IF(ISERR(MID(C1197,ROW(INDIRECT("1:100")),1)+0),MID(C1197,ROW(INDIRECT("1:100")),1),"")),")",""),"(","")</f>
        <v>Food and beverages</v>
      </c>
    </row>
    <row r="1198" spans="1:8" x14ac:dyDescent="0.25">
      <c r="A1198">
        <v>2018</v>
      </c>
      <c r="B1198">
        <v>6</v>
      </c>
      <c r="C1198" t="s">
        <v>32</v>
      </c>
      <c r="D1198">
        <v>11.452</v>
      </c>
      <c r="E1198">
        <v>1.8</v>
      </c>
      <c r="F1198">
        <v>0.21099999999999999</v>
      </c>
      <c r="H1198" s="4" t="str">
        <f t="array" aca="1" ref="H1198" ca="1">SUBSTITUTE(SUBSTITUTE(_xlfn.TEXTJOIN("",TRUE,IF(ISERR(MID(C1198,ROW(INDIRECT("1:100")),1)+0),MID(C1198,ROW(INDIRECT("1:100")),1),"")),")",""),"(","")</f>
        <v>Other services</v>
      </c>
    </row>
    <row r="1199" spans="1:8" x14ac:dyDescent="0.25">
      <c r="A1199">
        <v>2018</v>
      </c>
      <c r="B1199">
        <v>6</v>
      </c>
      <c r="C1199" t="s">
        <v>33</v>
      </c>
      <c r="D1199">
        <v>2.468</v>
      </c>
      <c r="E1199">
        <v>1.2</v>
      </c>
      <c r="F1199">
        <v>3.1E-2</v>
      </c>
      <c r="H1199" s="4" t="str">
        <f t="array" aca="1" ref="H1199" ca="1">SUBSTITUTE(SUBSTITUTE(_xlfn.TEXTJOIN("",TRUE,IF(ISERR(MID(C1199,ROW(INDIRECT("1:100")),1)+0),MID(C1199,ROW(INDIRECT("1:100")),1),"")),")",""),"(","")</f>
        <v>Apparel less footwear</v>
      </c>
    </row>
    <row r="1200" spans="1:8" x14ac:dyDescent="0.25">
      <c r="A1200">
        <v>2018</v>
      </c>
      <c r="B1200">
        <v>6</v>
      </c>
      <c r="C1200" t="s">
        <v>34</v>
      </c>
      <c r="D1200">
        <v>4.6520000000000001</v>
      </c>
      <c r="E1200">
        <v>1.1000000000000001</v>
      </c>
      <c r="F1200">
        <v>4.4999999999999998E-2</v>
      </c>
      <c r="H1200" s="4" t="str">
        <f t="array" aca="1" ref="H1200" ca="1">SUBSTITUTE(SUBSTITUTE(_xlfn.TEXTJOIN("",TRUE,IF(ISERR(MID(C1200,ROW(INDIRECT("1:100")),1)+0),MID(C1200,ROW(INDIRECT("1:100")),1),"")),")",""),"(","")</f>
        <v>Fuels and utilities</v>
      </c>
    </row>
    <row r="1201" spans="1:8" x14ac:dyDescent="0.25">
      <c r="A1201">
        <v>2018</v>
      </c>
      <c r="B1201">
        <v>6</v>
      </c>
      <c r="C1201" t="s">
        <v>11</v>
      </c>
      <c r="D1201">
        <v>8.6240000000000006</v>
      </c>
      <c r="E1201">
        <v>2.5</v>
      </c>
      <c r="F1201">
        <v>0.21199999999999999</v>
      </c>
      <c r="H1201" s="4" t="str">
        <f t="array" aca="1" ref="H1201" ca="1">SUBSTITUTE(SUBSTITUTE(_xlfn.TEXTJOIN("",TRUE,IF(ISERR(MID(C1201,ROW(INDIRECT("1:100")),1)+0),MID(C1201,ROW(INDIRECT("1:100")),1),"")),")",""),"(","")</f>
        <v>Medical care</v>
      </c>
    </row>
    <row r="1202" spans="1:8" x14ac:dyDescent="0.25">
      <c r="A1202">
        <v>2018</v>
      </c>
      <c r="B1202">
        <v>6</v>
      </c>
      <c r="C1202" t="s">
        <v>7</v>
      </c>
      <c r="D1202">
        <v>17.09</v>
      </c>
      <c r="E1202">
        <v>6.7</v>
      </c>
      <c r="F1202">
        <v>1.091</v>
      </c>
      <c r="H1202" s="4" t="str">
        <f t="array" aca="1" ref="H1202" ca="1">SUBSTITUTE(SUBSTITUTE(_xlfn.TEXTJOIN("",TRUE,IF(ISERR(MID(C1202,ROW(INDIRECT("1:100")),1)+0),MID(C1202,ROW(INDIRECT("1:100")),1),"")),")",""),"(","")</f>
        <v>Transportation</v>
      </c>
    </row>
    <row r="1203" spans="1:8" x14ac:dyDescent="0.25">
      <c r="A1203">
        <v>2018</v>
      </c>
      <c r="B1203">
        <v>6</v>
      </c>
      <c r="C1203" t="s">
        <v>35</v>
      </c>
      <c r="D1203">
        <v>9.4359999999999999</v>
      </c>
      <c r="E1203">
        <v>0.2</v>
      </c>
      <c r="F1203">
        <v>1.4999999999999999E-2</v>
      </c>
      <c r="H1203" s="4" t="str">
        <f t="array" aca="1" ref="H1203" ca="1">SUBSTITUTE(SUBSTITUTE(_xlfn.TEXTJOIN("",TRUE,IF(ISERR(MID(C1203,ROW(INDIRECT("1:100")),1)+0),MID(C1203,ROW(INDIRECT("1:100")),1),"")),")",""),"(","")</f>
        <v>Utilities and public transportation</v>
      </c>
    </row>
    <row r="1204" spans="1:8" x14ac:dyDescent="0.25">
      <c r="A1204">
        <v>2018</v>
      </c>
      <c r="B1204">
        <v>6</v>
      </c>
      <c r="C1204" t="s">
        <v>36</v>
      </c>
      <c r="D1204">
        <v>4.2270000000000003</v>
      </c>
      <c r="E1204">
        <v>0.3</v>
      </c>
      <c r="F1204">
        <v>1.7000000000000001E-2</v>
      </c>
      <c r="H1204" s="4" t="str">
        <f t="array" aca="1" ref="H1204" ca="1">SUBSTITUTE(SUBSTITUTE(_xlfn.TEXTJOIN("",TRUE,IF(ISERR(MID(C1204,ROW(INDIRECT("1:100")),1)+0),MID(C1204,ROW(INDIRECT("1:100")),1),"")),")",""),"(","")</f>
        <v>Household furnishings and operations</v>
      </c>
    </row>
    <row r="1205" spans="1:8" x14ac:dyDescent="0.25">
      <c r="A1205">
        <v>2018</v>
      </c>
      <c r="B1205">
        <v>6</v>
      </c>
      <c r="C1205" t="s">
        <v>12</v>
      </c>
      <c r="D1205">
        <v>3.1829999999999998</v>
      </c>
      <c r="E1205">
        <v>2.2000000000000002</v>
      </c>
      <c r="F1205">
        <v>7.1999999999999995E-2</v>
      </c>
      <c r="H1205" s="4" t="str">
        <f t="array" aca="1" ref="H1205" ca="1">SUBSTITUTE(SUBSTITUTE(_xlfn.TEXTJOIN("",TRUE,IF(ISERR(MID(C1205,ROW(INDIRECT("1:100")),1)+0),MID(C1205,ROW(INDIRECT("1:100")),1),"")),")",""),"(","")</f>
        <v>Other goods and services</v>
      </c>
    </row>
    <row r="1206" spans="1:8" x14ac:dyDescent="0.25">
      <c r="A1206">
        <v>2018</v>
      </c>
      <c r="B1206">
        <v>7</v>
      </c>
      <c r="C1206" t="s">
        <v>14</v>
      </c>
      <c r="D1206">
        <v>100</v>
      </c>
      <c r="E1206">
        <v>2.9</v>
      </c>
      <c r="H1206" s="4" t="str">
        <f t="array" aca="1" ref="H1206" ca="1">SUBSTITUTE(SUBSTITUTE(_xlfn.TEXTJOIN("",TRUE,IF(ISERR(MID(C1206,ROW(INDIRECT("1:100")),1)+0),MID(C1206,ROW(INDIRECT("1:100")),1),"")),")",""),"(","")</f>
        <v>All items</v>
      </c>
    </row>
    <row r="1207" spans="1:8" x14ac:dyDescent="0.25">
      <c r="A1207">
        <v>2018</v>
      </c>
      <c r="B1207">
        <v>7</v>
      </c>
      <c r="C1207" t="s">
        <v>15</v>
      </c>
      <c r="D1207">
        <v>13.198</v>
      </c>
      <c r="E1207">
        <v>1.4</v>
      </c>
      <c r="F1207">
        <v>0.19</v>
      </c>
      <c r="H1207" s="4" t="str">
        <f t="array" aca="1" ref="H1207" ca="1">SUBSTITUTE(SUBSTITUTE(_xlfn.TEXTJOIN("",TRUE,IF(ISERR(MID(C1207,ROW(INDIRECT("1:100")),1)+0),MID(C1207,ROW(INDIRECT("1:100")),1),"")),")",""),"(","")</f>
        <v>Food</v>
      </c>
    </row>
    <row r="1208" spans="1:8" x14ac:dyDescent="0.25">
      <c r="A1208">
        <v>2018</v>
      </c>
      <c r="B1208">
        <v>7</v>
      </c>
      <c r="C1208" t="s">
        <v>16</v>
      </c>
      <c r="D1208">
        <v>8.1509999999999998</v>
      </c>
      <c r="E1208">
        <v>12.1</v>
      </c>
      <c r="F1208">
        <v>0.89600000000000002</v>
      </c>
      <c r="H1208" s="4" t="str">
        <f t="array" aca="1" ref="H1208" ca="1">SUBSTITUTE(SUBSTITUTE(_xlfn.TEXTJOIN("",TRUE,IF(ISERR(MID(C1208,ROW(INDIRECT("1:100")),1)+0),MID(C1208,ROW(INDIRECT("1:100")),1),"")),")",""),"(","")</f>
        <v>Energy</v>
      </c>
    </row>
    <row r="1209" spans="1:8" x14ac:dyDescent="0.25">
      <c r="A1209">
        <v>2018</v>
      </c>
      <c r="B1209">
        <v>7</v>
      </c>
      <c r="C1209" t="s">
        <v>17</v>
      </c>
      <c r="D1209">
        <v>78.650999999999996</v>
      </c>
      <c r="E1209">
        <v>2.4</v>
      </c>
      <c r="F1209">
        <v>1.863</v>
      </c>
      <c r="H1209" s="4" t="str">
        <f t="array" aca="1" ref="H1209" ca="1">SUBSTITUTE(SUBSTITUTE(_xlfn.TEXTJOIN("",TRUE,IF(ISERR(MID(C1209,ROW(INDIRECT("1:100")),1)+0),MID(C1209,ROW(INDIRECT("1:100")),1),"")),")",""),"(","")</f>
        <v>All items less food and energy</v>
      </c>
    </row>
    <row r="1210" spans="1:8" x14ac:dyDescent="0.25">
      <c r="A1210">
        <v>2018</v>
      </c>
      <c r="B1210">
        <v>7</v>
      </c>
      <c r="C1210" t="s">
        <v>18</v>
      </c>
      <c r="H1210" s="4" t="str">
        <f t="array" aca="1" ref="H1210" ca="1">SUBSTITUTE(SUBSTITUTE(_xlfn.TEXTJOIN("",TRUE,IF(ISERR(MID(C1210,ROW(INDIRECT("1:100")),1)+0),MID(C1210,ROW(INDIRECT("1:100")),1),"")),")",""),"(","")</f>
        <v>Special aggregate indexes</v>
      </c>
    </row>
    <row r="1211" spans="1:8" x14ac:dyDescent="0.25">
      <c r="A1211">
        <v>2018</v>
      </c>
      <c r="B1211">
        <v>7</v>
      </c>
      <c r="C1211" t="s">
        <v>19</v>
      </c>
      <c r="D1211">
        <v>86.802000000000007</v>
      </c>
      <c r="E1211">
        <v>3.2</v>
      </c>
      <c r="F1211">
        <v>2.7589999999999999</v>
      </c>
      <c r="H1211" s="4" t="str">
        <f t="array" aca="1" ref="H1211" ca="1">SUBSTITUTE(SUBSTITUTE(_xlfn.TEXTJOIN("",TRUE,IF(ISERR(MID(C1211,ROW(INDIRECT("1:100")),1)+0),MID(C1211,ROW(INDIRECT("1:100")),1),"")),")",""),"(","")</f>
        <v>All items less food</v>
      </c>
    </row>
    <row r="1212" spans="1:8" x14ac:dyDescent="0.25">
      <c r="A1212">
        <v>2018</v>
      </c>
      <c r="B1212">
        <v>7</v>
      </c>
      <c r="C1212" t="s">
        <v>20</v>
      </c>
      <c r="D1212">
        <v>67.28</v>
      </c>
      <c r="E1212">
        <v>2.7</v>
      </c>
      <c r="F1212">
        <v>1.786</v>
      </c>
      <c r="H1212" s="4" t="str">
        <f t="array" aca="1" ref="H1212" ca="1">SUBSTITUTE(SUBSTITUTE(_xlfn.TEXTJOIN("",TRUE,IF(ISERR(MID(C1212,ROW(INDIRECT("1:100")),1)+0),MID(C1212,ROW(INDIRECT("1:100")),1),"")),")",""),"(","")</f>
        <v>All items less shelter</v>
      </c>
    </row>
    <row r="1213" spans="1:8" x14ac:dyDescent="0.25">
      <c r="A1213">
        <v>2018</v>
      </c>
      <c r="B1213">
        <v>7</v>
      </c>
      <c r="C1213" t="s">
        <v>21</v>
      </c>
      <c r="D1213">
        <v>54.082000000000001</v>
      </c>
      <c r="E1213">
        <v>3</v>
      </c>
      <c r="F1213">
        <v>1.5960000000000001</v>
      </c>
      <c r="H1213" s="4" t="str">
        <f t="array" aca="1" ref="H1213" ca="1">SUBSTITUTE(SUBSTITUTE(_xlfn.TEXTJOIN("",TRUE,IF(ISERR(MID(C1213,ROW(INDIRECT("1:100")),1)+0),MID(C1213,ROW(INDIRECT("1:100")),1),"")),")",""),"(","")</f>
        <v>All items less food and shelter</v>
      </c>
    </row>
    <row r="1214" spans="1:8" x14ac:dyDescent="0.25">
      <c r="A1214">
        <v>2018</v>
      </c>
      <c r="B1214">
        <v>7</v>
      </c>
      <c r="C1214" t="s">
        <v>22</v>
      </c>
      <c r="D1214">
        <v>45.930999999999997</v>
      </c>
      <c r="E1214">
        <v>1.5</v>
      </c>
      <c r="F1214">
        <v>0.7</v>
      </c>
      <c r="H1214" s="4" t="str">
        <f t="array" aca="1" ref="H1214" ca="1">SUBSTITUTE(SUBSTITUTE(_xlfn.TEXTJOIN("",TRUE,IF(ISERR(MID(C1214,ROW(INDIRECT("1:100")),1)+0),MID(C1214,ROW(INDIRECT("1:100")),1),"")),")",""),"(","")</f>
        <v>All items less food, shelter, and energy</v>
      </c>
    </row>
    <row r="1215" spans="1:8" x14ac:dyDescent="0.25">
      <c r="A1215">
        <v>2018</v>
      </c>
      <c r="B1215">
        <v>7</v>
      </c>
      <c r="C1215" t="s">
        <v>23</v>
      </c>
      <c r="D1215">
        <v>43.529000000000003</v>
      </c>
      <c r="E1215">
        <v>1.5</v>
      </c>
      <c r="F1215">
        <v>0.66700000000000004</v>
      </c>
      <c r="H1215" s="4" t="str">
        <f t="array" aca="1" ref="H1215" ca="1">SUBSTITUTE(SUBSTITUTE(_xlfn.TEXTJOIN("",TRUE,IF(ISERR(MID(C1215,ROW(INDIRECT("1:100")),1)+0),MID(C1215,ROW(INDIRECT("1:100")),1),"")),")",""),"(","")</f>
        <v>All items less food, shelter, energy, and used cars and trucks</v>
      </c>
    </row>
    <row r="1216" spans="1:8" x14ac:dyDescent="0.25">
      <c r="A1216">
        <v>2018</v>
      </c>
      <c r="B1216">
        <v>7</v>
      </c>
      <c r="C1216" t="s">
        <v>24</v>
      </c>
      <c r="D1216">
        <v>91.369</v>
      </c>
      <c r="E1216">
        <v>3</v>
      </c>
      <c r="F1216">
        <v>2.7839999999999998</v>
      </c>
      <c r="H1216" s="4" t="str">
        <f t="array" aca="1" ref="H1216" ca="1">SUBSTITUTE(SUBSTITUTE(_xlfn.TEXTJOIN("",TRUE,IF(ISERR(MID(C1216,ROW(INDIRECT("1:100")),1)+0),MID(C1216,ROW(INDIRECT("1:100")),1),"")),")",""),"(","")</f>
        <v>All items less medical care</v>
      </c>
    </row>
    <row r="1217" spans="1:8" x14ac:dyDescent="0.25">
      <c r="A1217">
        <v>2018</v>
      </c>
      <c r="B1217">
        <v>7</v>
      </c>
      <c r="C1217" t="s">
        <v>25</v>
      </c>
      <c r="D1217">
        <v>91.849000000000004</v>
      </c>
      <c r="E1217">
        <v>2.2000000000000002</v>
      </c>
      <c r="F1217">
        <v>2.0529999999999999</v>
      </c>
      <c r="H1217" s="4" t="str">
        <f t="array" aca="1" ref="H1217" ca="1">SUBSTITUTE(SUBSTITUTE(_xlfn.TEXTJOIN("",TRUE,IF(ISERR(MID(C1217,ROW(INDIRECT("1:100")),1)+0),MID(C1217,ROW(INDIRECT("1:100")),1),"")),")",""),"(","")</f>
        <v>All items less energy</v>
      </c>
    </row>
    <row r="1218" spans="1:8" x14ac:dyDescent="0.25">
      <c r="A1218">
        <v>2018</v>
      </c>
      <c r="B1218">
        <v>7</v>
      </c>
      <c r="C1218" t="s">
        <v>26</v>
      </c>
      <c r="D1218">
        <v>37.53</v>
      </c>
      <c r="E1218">
        <v>3</v>
      </c>
      <c r="F1218">
        <v>1.133</v>
      </c>
      <c r="H1218" s="4" t="str">
        <f t="array" aca="1" ref="H1218" ca="1">SUBSTITUTE(SUBSTITUTE(_xlfn.TEXTJOIN("",TRUE,IF(ISERR(MID(C1218,ROW(INDIRECT("1:100")),1)+0),MID(C1218,ROW(INDIRECT("1:100")),1),"")),")",""),"(","")</f>
        <v>Commodities</v>
      </c>
    </row>
    <row r="1219" spans="1:8" x14ac:dyDescent="0.25">
      <c r="A1219">
        <v>2018</v>
      </c>
      <c r="B1219">
        <v>7</v>
      </c>
      <c r="C1219" t="s">
        <v>27</v>
      </c>
      <c r="D1219">
        <v>62.47</v>
      </c>
      <c r="E1219">
        <v>2.9</v>
      </c>
      <c r="F1219">
        <v>1.8160000000000001</v>
      </c>
      <c r="H1219" s="4" t="str">
        <f t="array" aca="1" ref="H1219" ca="1">SUBSTITUTE(SUBSTITUTE(_xlfn.TEXTJOIN("",TRUE,IF(ISERR(MID(C1219,ROW(INDIRECT("1:100")),1)+0),MID(C1219,ROW(INDIRECT("1:100")),1),"")),")",""),"(","")</f>
        <v>Services</v>
      </c>
    </row>
    <row r="1220" spans="1:8" x14ac:dyDescent="0.25">
      <c r="A1220">
        <v>2018</v>
      </c>
      <c r="B1220">
        <v>7</v>
      </c>
      <c r="C1220" t="s">
        <v>28</v>
      </c>
      <c r="D1220">
        <v>9.968</v>
      </c>
      <c r="E1220">
        <v>-0.4</v>
      </c>
      <c r="F1220">
        <v>-2.9000000000000001E-2</v>
      </c>
      <c r="H1220" s="4" t="str">
        <f t="array" aca="1" ref="H1220" ca="1">SUBSTITUTE(SUBSTITUTE(_xlfn.TEXTJOIN("",TRUE,IF(ISERR(MID(C1220,ROW(INDIRECT("1:100")),1)+0),MID(C1220,ROW(INDIRECT("1:100")),1),"")),")",""),"(","")</f>
        <v>Durables</v>
      </c>
    </row>
    <row r="1221" spans="1:8" x14ac:dyDescent="0.25">
      <c r="A1221">
        <v>2018</v>
      </c>
      <c r="B1221">
        <v>7</v>
      </c>
      <c r="C1221" t="s">
        <v>29</v>
      </c>
      <c r="D1221">
        <v>27.562000000000001</v>
      </c>
      <c r="E1221">
        <v>4.3</v>
      </c>
      <c r="F1221">
        <v>1.1619999999999999</v>
      </c>
      <c r="H1221" s="4" t="str">
        <f t="array" aca="1" ref="H1221" ca="1">SUBSTITUTE(SUBSTITUTE(_xlfn.TEXTJOIN("",TRUE,IF(ISERR(MID(C1221,ROW(INDIRECT("1:100")),1)+0),MID(C1221,ROW(INDIRECT("1:100")),1),"")),")",""),"(","")</f>
        <v>Nondurables</v>
      </c>
    </row>
    <row r="1222" spans="1:8" x14ac:dyDescent="0.25">
      <c r="A1222">
        <v>2018</v>
      </c>
      <c r="B1222">
        <v>7</v>
      </c>
      <c r="C1222" t="s">
        <v>8</v>
      </c>
      <c r="D1222">
        <v>41.649000000000001</v>
      </c>
      <c r="E1222">
        <v>2.9</v>
      </c>
      <c r="F1222">
        <v>1.2350000000000001</v>
      </c>
      <c r="H1222" s="4" t="str">
        <f t="array" aca="1" ref="H1222" ca="1">SUBSTITUTE(SUBSTITUTE(_xlfn.TEXTJOIN("",TRUE,IF(ISERR(MID(C1222,ROW(INDIRECT("1:100")),1)+0),MID(C1222,ROW(INDIRECT("1:100")),1),"")),")",""),"(","")</f>
        <v>Housing</v>
      </c>
    </row>
    <row r="1223" spans="1:8" x14ac:dyDescent="0.25">
      <c r="A1223">
        <v>2018</v>
      </c>
      <c r="B1223">
        <v>7</v>
      </c>
      <c r="C1223" t="s">
        <v>30</v>
      </c>
      <c r="D1223">
        <v>6.556</v>
      </c>
      <c r="E1223">
        <v>1</v>
      </c>
      <c r="F1223">
        <v>6.8000000000000005E-2</v>
      </c>
      <c r="H1223" s="4" t="str">
        <f t="array" aca="1" ref="H1223" ca="1">SUBSTITUTE(SUBSTITUTE(_xlfn.TEXTJOIN("",TRUE,IF(ISERR(MID(C1223,ROW(INDIRECT("1:100")),1)+0),MID(C1223,ROW(INDIRECT("1:100")),1),"")),")",""),"(","")</f>
        <v>Education and communication</v>
      </c>
    </row>
    <row r="1224" spans="1:8" x14ac:dyDescent="0.25">
      <c r="A1224">
        <v>2018</v>
      </c>
      <c r="B1224">
        <v>7</v>
      </c>
      <c r="C1224" t="s">
        <v>31</v>
      </c>
      <c r="D1224">
        <v>5.6509999999999998</v>
      </c>
      <c r="E1224">
        <v>0.3</v>
      </c>
      <c r="F1224">
        <v>0.02</v>
      </c>
      <c r="H1224" s="4" t="str">
        <f t="array" aca="1" ref="H1224" ca="1">SUBSTITUTE(SUBSTITUTE(_xlfn.TEXTJOIN("",TRUE,IF(ISERR(MID(C1224,ROW(INDIRECT("1:100")),1)+0),MID(C1224,ROW(INDIRECT("1:100")),1),"")),")",""),"(","")</f>
        <v>Recreation</v>
      </c>
    </row>
    <row r="1225" spans="1:8" x14ac:dyDescent="0.25">
      <c r="A1225">
        <v>2018</v>
      </c>
      <c r="B1225">
        <v>7</v>
      </c>
      <c r="C1225" t="s">
        <v>6</v>
      </c>
      <c r="D1225">
        <v>14.159000000000001</v>
      </c>
      <c r="E1225">
        <v>1.4</v>
      </c>
      <c r="F1225">
        <v>0.20499999999999999</v>
      </c>
      <c r="H1225" s="4" t="str">
        <f t="array" aca="1" ref="H1225" ca="1">SUBSTITUTE(SUBSTITUTE(_xlfn.TEXTJOIN("",TRUE,IF(ISERR(MID(C1225,ROW(INDIRECT("1:100")),1)+0),MID(C1225,ROW(INDIRECT("1:100")),1),"")),")",""),"(","")</f>
        <v>Food and beverages</v>
      </c>
    </row>
    <row r="1226" spans="1:8" x14ac:dyDescent="0.25">
      <c r="A1226">
        <v>2018</v>
      </c>
      <c r="B1226">
        <v>7</v>
      </c>
      <c r="C1226" t="s">
        <v>32</v>
      </c>
      <c r="D1226">
        <v>11.475</v>
      </c>
      <c r="E1226">
        <v>1.8</v>
      </c>
      <c r="F1226">
        <v>0.215</v>
      </c>
      <c r="H1226" s="4" t="str">
        <f t="array" aca="1" ref="H1226" ca="1">SUBSTITUTE(SUBSTITUTE(_xlfn.TEXTJOIN("",TRUE,IF(ISERR(MID(C1226,ROW(INDIRECT("1:100")),1)+0),MID(C1226,ROW(INDIRECT("1:100")),1),"")),")",""),"(","")</f>
        <v>Other services</v>
      </c>
    </row>
    <row r="1227" spans="1:8" x14ac:dyDescent="0.25">
      <c r="A1227">
        <v>2018</v>
      </c>
      <c r="B1227">
        <v>7</v>
      </c>
      <c r="C1227" t="s">
        <v>33</v>
      </c>
      <c r="D1227">
        <v>2.4009999999999998</v>
      </c>
      <c r="E1227">
        <v>0.2</v>
      </c>
      <c r="F1227">
        <v>7.0000000000000001E-3</v>
      </c>
      <c r="H1227" s="4" t="str">
        <f t="array" aca="1" ref="H1227" ca="1">SUBSTITUTE(SUBSTITUTE(_xlfn.TEXTJOIN("",TRUE,IF(ISERR(MID(C1227,ROW(INDIRECT("1:100")),1)+0),MID(C1227,ROW(INDIRECT("1:100")),1),"")),")",""),"(","")</f>
        <v>Apparel less footwear</v>
      </c>
    </row>
    <row r="1228" spans="1:8" x14ac:dyDescent="0.25">
      <c r="A1228">
        <v>2018</v>
      </c>
      <c r="B1228">
        <v>7</v>
      </c>
      <c r="C1228" t="s">
        <v>34</v>
      </c>
      <c r="D1228">
        <v>4.7149999999999999</v>
      </c>
      <c r="E1228">
        <v>0.9</v>
      </c>
      <c r="F1228">
        <v>3.5999999999999997E-2</v>
      </c>
      <c r="H1228" s="4" t="str">
        <f t="array" aca="1" ref="H1228" ca="1">SUBSTITUTE(SUBSTITUTE(_xlfn.TEXTJOIN("",TRUE,IF(ISERR(MID(C1228,ROW(INDIRECT("1:100")),1)+0),MID(C1228,ROW(INDIRECT("1:100")),1),"")),")",""),"(","")</f>
        <v>Fuels and utilities</v>
      </c>
    </row>
    <row r="1229" spans="1:8" x14ac:dyDescent="0.25">
      <c r="A1229">
        <v>2018</v>
      </c>
      <c r="B1229">
        <v>7</v>
      </c>
      <c r="C1229" t="s">
        <v>11</v>
      </c>
      <c r="D1229">
        <v>8.6310000000000002</v>
      </c>
      <c r="E1229">
        <v>1.9</v>
      </c>
      <c r="F1229">
        <v>0.16500000000000001</v>
      </c>
      <c r="H1229" s="4" t="str">
        <f t="array" aca="1" ref="H1229" ca="1">SUBSTITUTE(SUBSTITUTE(_xlfn.TEXTJOIN("",TRUE,IF(ISERR(MID(C1229,ROW(INDIRECT("1:100")),1)+0),MID(C1229,ROW(INDIRECT("1:100")),1),"")),")",""),"(","")</f>
        <v>Medical care</v>
      </c>
    </row>
    <row r="1230" spans="1:8" x14ac:dyDescent="0.25">
      <c r="A1230">
        <v>2018</v>
      </c>
      <c r="B1230">
        <v>7</v>
      </c>
      <c r="C1230" t="s">
        <v>7</v>
      </c>
      <c r="D1230">
        <v>17.106999999999999</v>
      </c>
      <c r="E1230">
        <v>7.3</v>
      </c>
      <c r="F1230">
        <v>1.177</v>
      </c>
      <c r="H1230" s="4" t="str">
        <f t="array" aca="1" ref="H1230" ca="1">SUBSTITUTE(SUBSTITUTE(_xlfn.TEXTJOIN("",TRUE,IF(ISERR(MID(C1230,ROW(INDIRECT("1:100")),1)+0),MID(C1230,ROW(INDIRECT("1:100")),1),"")),")",""),"(","")</f>
        <v>Transportation</v>
      </c>
    </row>
    <row r="1231" spans="1:8" x14ac:dyDescent="0.25">
      <c r="A1231">
        <v>2018</v>
      </c>
      <c r="B1231">
        <v>7</v>
      </c>
      <c r="C1231" t="s">
        <v>35</v>
      </c>
      <c r="D1231">
        <v>9.4830000000000005</v>
      </c>
      <c r="E1231">
        <v>0.2</v>
      </c>
      <c r="F1231">
        <v>1.4E-2</v>
      </c>
      <c r="H1231" s="4" t="str">
        <f t="array" aca="1" ref="H1231" ca="1">SUBSTITUTE(SUBSTITUTE(_xlfn.TEXTJOIN("",TRUE,IF(ISERR(MID(C1231,ROW(INDIRECT("1:100")),1)+0),MID(C1231,ROW(INDIRECT("1:100")),1),"")),")",""),"(","")</f>
        <v>Utilities and public transportation</v>
      </c>
    </row>
    <row r="1232" spans="1:8" x14ac:dyDescent="0.25">
      <c r="A1232">
        <v>2018</v>
      </c>
      <c r="B1232">
        <v>7</v>
      </c>
      <c r="C1232" t="s">
        <v>36</v>
      </c>
      <c r="D1232">
        <v>4.2140000000000004</v>
      </c>
      <c r="E1232">
        <v>0.8</v>
      </c>
      <c r="F1232">
        <v>3.5999999999999997E-2</v>
      </c>
      <c r="H1232" s="4" t="str">
        <f t="array" aca="1" ref="H1232" ca="1">SUBSTITUTE(SUBSTITUTE(_xlfn.TEXTJOIN("",TRUE,IF(ISERR(MID(C1232,ROW(INDIRECT("1:100")),1)+0),MID(C1232,ROW(INDIRECT("1:100")),1),"")),")",""),"(","")</f>
        <v>Household furnishings and operations</v>
      </c>
    </row>
    <row r="1233" spans="1:8" x14ac:dyDescent="0.25">
      <c r="A1233">
        <v>2018</v>
      </c>
      <c r="B1233">
        <v>7</v>
      </c>
      <c r="C1233" t="s">
        <v>12</v>
      </c>
      <c r="D1233">
        <v>3.1789999999999998</v>
      </c>
      <c r="E1233">
        <v>2.1</v>
      </c>
      <c r="F1233">
        <v>6.7000000000000004E-2</v>
      </c>
      <c r="H1233" s="4" t="str">
        <f t="array" aca="1" ref="H1233" ca="1">SUBSTITUTE(SUBSTITUTE(_xlfn.TEXTJOIN("",TRUE,IF(ISERR(MID(C1233,ROW(INDIRECT("1:100")),1)+0),MID(C1233,ROW(INDIRECT("1:100")),1),"")),")",""),"(","")</f>
        <v>Other goods and services</v>
      </c>
    </row>
    <row r="1234" spans="1:8" x14ac:dyDescent="0.25">
      <c r="A1234">
        <v>2018</v>
      </c>
      <c r="B1234">
        <v>8</v>
      </c>
      <c r="C1234" t="s">
        <v>14</v>
      </c>
      <c r="D1234">
        <v>100</v>
      </c>
      <c r="E1234">
        <v>2.7</v>
      </c>
      <c r="H1234" s="4" t="str">
        <f t="array" aca="1" ref="H1234" ca="1">SUBSTITUTE(SUBSTITUTE(_xlfn.TEXTJOIN("",TRUE,IF(ISERR(MID(C1234,ROW(INDIRECT("1:100")),1)+0),MID(C1234,ROW(INDIRECT("1:100")),1),"")),")",""),"(","")</f>
        <v>All items</v>
      </c>
    </row>
    <row r="1235" spans="1:8" x14ac:dyDescent="0.25">
      <c r="A1235">
        <v>2018</v>
      </c>
      <c r="B1235">
        <v>8</v>
      </c>
      <c r="C1235" t="s">
        <v>15</v>
      </c>
      <c r="D1235">
        <v>13.224</v>
      </c>
      <c r="E1235">
        <v>1.4</v>
      </c>
      <c r="F1235">
        <v>0.192</v>
      </c>
      <c r="H1235" s="4" t="str">
        <f t="array" aca="1" ref="H1235" ca="1">SUBSTITUTE(SUBSTITUTE(_xlfn.TEXTJOIN("",TRUE,IF(ISERR(MID(C1235,ROW(INDIRECT("1:100")),1)+0),MID(C1235,ROW(INDIRECT("1:100")),1),"")),")",""),"(","")</f>
        <v>Food</v>
      </c>
    </row>
    <row r="1236" spans="1:8" x14ac:dyDescent="0.25">
      <c r="A1236">
        <v>2018</v>
      </c>
      <c r="B1236">
        <v>8</v>
      </c>
      <c r="C1236" t="s">
        <v>16</v>
      </c>
      <c r="D1236">
        <v>8.0790000000000006</v>
      </c>
      <c r="E1236">
        <v>10.199999999999999</v>
      </c>
      <c r="F1236">
        <v>0.76800000000000002</v>
      </c>
      <c r="H1236" s="4" t="str">
        <f t="array" aca="1" ref="H1236" ca="1">SUBSTITUTE(SUBSTITUTE(_xlfn.TEXTJOIN("",TRUE,IF(ISERR(MID(C1236,ROW(INDIRECT("1:100")),1)+0),MID(C1236,ROW(INDIRECT("1:100")),1),"")),")",""),"(","")</f>
        <v>Energy</v>
      </c>
    </row>
    <row r="1237" spans="1:8" x14ac:dyDescent="0.25">
      <c r="A1237">
        <v>2018</v>
      </c>
      <c r="B1237">
        <v>8</v>
      </c>
      <c r="C1237" t="s">
        <v>17</v>
      </c>
      <c r="D1237">
        <v>78.697000000000003</v>
      </c>
      <c r="E1237">
        <v>2.2000000000000002</v>
      </c>
      <c r="F1237">
        <v>1.7390000000000001</v>
      </c>
      <c r="H1237" s="4" t="str">
        <f t="array" aca="1" ref="H1237" ca="1">SUBSTITUTE(SUBSTITUTE(_xlfn.TEXTJOIN("",TRUE,IF(ISERR(MID(C1237,ROW(INDIRECT("1:100")),1)+0),MID(C1237,ROW(INDIRECT("1:100")),1),"")),")",""),"(","")</f>
        <v>All items less food and energy</v>
      </c>
    </row>
    <row r="1238" spans="1:8" x14ac:dyDescent="0.25">
      <c r="A1238">
        <v>2018</v>
      </c>
      <c r="B1238">
        <v>8</v>
      </c>
      <c r="C1238" t="s">
        <v>18</v>
      </c>
      <c r="H1238" s="4" t="str">
        <f t="array" aca="1" ref="H1238" ca="1">SUBSTITUTE(SUBSTITUTE(_xlfn.TEXTJOIN("",TRUE,IF(ISERR(MID(C1238,ROW(INDIRECT("1:100")),1)+0),MID(C1238,ROW(INDIRECT("1:100")),1),"")),")",""),"(","")</f>
        <v>Special aggregate indexes</v>
      </c>
    </row>
    <row r="1239" spans="1:8" x14ac:dyDescent="0.25">
      <c r="A1239">
        <v>2018</v>
      </c>
      <c r="B1239">
        <v>8</v>
      </c>
      <c r="C1239" t="s">
        <v>19</v>
      </c>
      <c r="D1239">
        <v>86.775999999999996</v>
      </c>
      <c r="E1239">
        <v>2.9</v>
      </c>
      <c r="F1239">
        <v>2.5070000000000001</v>
      </c>
      <c r="H1239" s="4" t="str">
        <f t="array" aca="1" ref="H1239" ca="1">SUBSTITUTE(SUBSTITUTE(_xlfn.TEXTJOIN("",TRUE,IF(ISERR(MID(C1239,ROW(INDIRECT("1:100")),1)+0),MID(C1239,ROW(INDIRECT("1:100")),1),"")),")",""),"(","")</f>
        <v>All items less food</v>
      </c>
    </row>
    <row r="1240" spans="1:8" x14ac:dyDescent="0.25">
      <c r="A1240">
        <v>2018</v>
      </c>
      <c r="B1240">
        <v>8</v>
      </c>
      <c r="C1240" t="s">
        <v>20</v>
      </c>
      <c r="D1240">
        <v>67.188999999999993</v>
      </c>
      <c r="E1240">
        <v>2.4</v>
      </c>
      <c r="F1240">
        <v>1.581</v>
      </c>
      <c r="H1240" s="4" t="str">
        <f t="array" aca="1" ref="H1240" ca="1">SUBSTITUTE(SUBSTITUTE(_xlfn.TEXTJOIN("",TRUE,IF(ISERR(MID(C1240,ROW(INDIRECT("1:100")),1)+0),MID(C1240,ROW(INDIRECT("1:100")),1),"")),")",""),"(","")</f>
        <v>All items less shelter</v>
      </c>
    </row>
    <row r="1241" spans="1:8" x14ac:dyDescent="0.25">
      <c r="A1241">
        <v>2018</v>
      </c>
      <c r="B1241">
        <v>8</v>
      </c>
      <c r="C1241" t="s">
        <v>21</v>
      </c>
      <c r="D1241">
        <v>53.965000000000003</v>
      </c>
      <c r="E1241">
        <v>2.6</v>
      </c>
      <c r="F1241">
        <v>1.3879999999999999</v>
      </c>
      <c r="H1241" s="4" t="str">
        <f t="array" aca="1" ref="H1241" ca="1">SUBSTITUTE(SUBSTITUTE(_xlfn.TEXTJOIN("",TRUE,IF(ISERR(MID(C1241,ROW(INDIRECT("1:100")),1)+0),MID(C1241,ROW(INDIRECT("1:100")),1),"")),")",""),"(","")</f>
        <v>All items less food and shelter</v>
      </c>
    </row>
    <row r="1242" spans="1:8" x14ac:dyDescent="0.25">
      <c r="A1242">
        <v>2018</v>
      </c>
      <c r="B1242">
        <v>8</v>
      </c>
      <c r="C1242" t="s">
        <v>22</v>
      </c>
      <c r="D1242">
        <v>45.887</v>
      </c>
      <c r="E1242">
        <v>1.3</v>
      </c>
      <c r="F1242">
        <v>0.621</v>
      </c>
      <c r="H1242" s="4" t="str">
        <f t="array" aca="1" ref="H1242" ca="1">SUBSTITUTE(SUBSTITUTE(_xlfn.TEXTJOIN("",TRUE,IF(ISERR(MID(C1242,ROW(INDIRECT("1:100")),1)+0),MID(C1242,ROW(INDIRECT("1:100")),1),"")),")",""),"(","")</f>
        <v>All items less food, shelter, and energy</v>
      </c>
    </row>
    <row r="1243" spans="1:8" x14ac:dyDescent="0.25">
      <c r="A1243">
        <v>2018</v>
      </c>
      <c r="B1243">
        <v>8</v>
      </c>
      <c r="C1243" t="s">
        <v>23</v>
      </c>
      <c r="D1243">
        <v>43.457999999999998</v>
      </c>
      <c r="E1243">
        <v>1.3</v>
      </c>
      <c r="F1243">
        <v>0.57799999999999996</v>
      </c>
      <c r="H1243" s="4" t="str">
        <f t="array" aca="1" ref="H1243" ca="1">SUBSTITUTE(SUBSTITUTE(_xlfn.TEXTJOIN("",TRUE,IF(ISERR(MID(C1243,ROW(INDIRECT("1:100")),1)+0),MID(C1243,ROW(INDIRECT("1:100")),1),"")),")",""),"(","")</f>
        <v>All items less food, shelter, energy, and used cars and trucks</v>
      </c>
    </row>
    <row r="1244" spans="1:8" x14ac:dyDescent="0.25">
      <c r="A1244">
        <v>2018</v>
      </c>
      <c r="B1244">
        <v>8</v>
      </c>
      <c r="C1244" t="s">
        <v>24</v>
      </c>
      <c r="D1244">
        <v>91.384</v>
      </c>
      <c r="E1244">
        <v>2.8</v>
      </c>
      <c r="F1244">
        <v>2.5659999999999998</v>
      </c>
      <c r="H1244" s="4" t="str">
        <f t="array" aca="1" ref="H1244" ca="1">SUBSTITUTE(SUBSTITUTE(_xlfn.TEXTJOIN("",TRUE,IF(ISERR(MID(C1244,ROW(INDIRECT("1:100")),1)+0),MID(C1244,ROW(INDIRECT("1:100")),1),"")),")",""),"(","")</f>
        <v>All items less medical care</v>
      </c>
    </row>
    <row r="1245" spans="1:8" x14ac:dyDescent="0.25">
      <c r="A1245">
        <v>2018</v>
      </c>
      <c r="B1245">
        <v>8</v>
      </c>
      <c r="C1245" t="s">
        <v>25</v>
      </c>
      <c r="D1245">
        <v>91.921000000000006</v>
      </c>
      <c r="E1245">
        <v>2.1</v>
      </c>
      <c r="F1245">
        <v>1.931</v>
      </c>
      <c r="H1245" s="4" t="str">
        <f t="array" aca="1" ref="H1245" ca="1">SUBSTITUTE(SUBSTITUTE(_xlfn.TEXTJOIN("",TRUE,IF(ISERR(MID(C1245,ROW(INDIRECT("1:100")),1)+0),MID(C1245,ROW(INDIRECT("1:100")),1),"")),")",""),"(","")</f>
        <v>All items less energy</v>
      </c>
    </row>
    <row r="1246" spans="1:8" x14ac:dyDescent="0.25">
      <c r="A1246">
        <v>2018</v>
      </c>
      <c r="B1246">
        <v>8</v>
      </c>
      <c r="C1246" t="s">
        <v>26</v>
      </c>
      <c r="D1246">
        <v>37.44</v>
      </c>
      <c r="E1246">
        <v>2.5</v>
      </c>
      <c r="F1246">
        <v>0.95199999999999996</v>
      </c>
      <c r="H1246" s="4" t="str">
        <f t="array" aca="1" ref="H1246" ca="1">SUBSTITUTE(SUBSTITUTE(_xlfn.TEXTJOIN("",TRUE,IF(ISERR(MID(C1246,ROW(INDIRECT("1:100")),1)+0),MID(C1246,ROW(INDIRECT("1:100")),1),"")),")",""),"(","")</f>
        <v>Commodities</v>
      </c>
    </row>
    <row r="1247" spans="1:8" x14ac:dyDescent="0.25">
      <c r="A1247">
        <v>2018</v>
      </c>
      <c r="B1247">
        <v>8</v>
      </c>
      <c r="C1247" t="s">
        <v>27</v>
      </c>
      <c r="D1247">
        <v>62.56</v>
      </c>
      <c r="E1247">
        <v>2.8</v>
      </c>
      <c r="F1247">
        <v>1.7470000000000001</v>
      </c>
      <c r="H1247" s="4" t="str">
        <f t="array" aca="1" ref="H1247" ca="1">SUBSTITUTE(SUBSTITUTE(_xlfn.TEXTJOIN("",TRUE,IF(ISERR(MID(C1247,ROW(INDIRECT("1:100")),1)+0),MID(C1247,ROW(INDIRECT("1:100")),1),"")),")",""),"(","")</f>
        <v>Services</v>
      </c>
    </row>
    <row r="1248" spans="1:8" x14ac:dyDescent="0.25">
      <c r="A1248">
        <v>2018</v>
      </c>
      <c r="B1248">
        <v>8</v>
      </c>
      <c r="C1248" t="s">
        <v>28</v>
      </c>
      <c r="D1248">
        <v>9.9890000000000008</v>
      </c>
      <c r="E1248">
        <v>-0.2</v>
      </c>
      <c r="F1248">
        <v>-1.2999999999999999E-2</v>
      </c>
      <c r="H1248" s="4" t="str">
        <f t="array" aca="1" ref="H1248" ca="1">SUBSTITUTE(SUBSTITUTE(_xlfn.TEXTJOIN("",TRUE,IF(ISERR(MID(C1248,ROW(INDIRECT("1:100")),1)+0),MID(C1248,ROW(INDIRECT("1:100")),1),"")),")",""),"(","")</f>
        <v>Durables</v>
      </c>
    </row>
    <row r="1249" spans="1:8" x14ac:dyDescent="0.25">
      <c r="A1249">
        <v>2018</v>
      </c>
      <c r="B1249">
        <v>8</v>
      </c>
      <c r="C1249" t="s">
        <v>29</v>
      </c>
      <c r="D1249">
        <v>27.451000000000001</v>
      </c>
      <c r="E1249">
        <v>3.6</v>
      </c>
      <c r="F1249">
        <v>0.96499999999999997</v>
      </c>
      <c r="H1249" s="4" t="str">
        <f t="array" aca="1" ref="H1249" ca="1">SUBSTITUTE(SUBSTITUTE(_xlfn.TEXTJOIN("",TRUE,IF(ISERR(MID(C1249,ROW(INDIRECT("1:100")),1)+0),MID(C1249,ROW(INDIRECT("1:100")),1),"")),")",""),"(","")</f>
        <v>Nondurables</v>
      </c>
    </row>
    <row r="1250" spans="1:8" x14ac:dyDescent="0.25">
      <c r="A1250">
        <v>2018</v>
      </c>
      <c r="B1250">
        <v>8</v>
      </c>
      <c r="C1250" t="s">
        <v>8</v>
      </c>
      <c r="D1250">
        <v>41.735999999999997</v>
      </c>
      <c r="E1250">
        <v>2.9</v>
      </c>
      <c r="F1250">
        <v>1.2070000000000001</v>
      </c>
      <c r="H1250" s="4" t="str">
        <f t="array" aca="1" ref="H1250" ca="1">SUBSTITUTE(SUBSTITUTE(_xlfn.TEXTJOIN("",TRUE,IF(ISERR(MID(C1250,ROW(INDIRECT("1:100")),1)+0),MID(C1250,ROW(INDIRECT("1:100")),1),"")),")",""),"(","")</f>
        <v>Housing</v>
      </c>
    </row>
    <row r="1251" spans="1:8" x14ac:dyDescent="0.25">
      <c r="A1251">
        <v>2018</v>
      </c>
      <c r="B1251">
        <v>8</v>
      </c>
      <c r="C1251" t="s">
        <v>30</v>
      </c>
      <c r="D1251">
        <v>6.5659999999999998</v>
      </c>
      <c r="E1251">
        <v>1.2</v>
      </c>
      <c r="F1251">
        <v>8.1000000000000003E-2</v>
      </c>
      <c r="H1251" s="4" t="str">
        <f t="array" aca="1" ref="H1251" ca="1">SUBSTITUTE(SUBSTITUTE(_xlfn.TEXTJOIN("",TRUE,IF(ISERR(MID(C1251,ROW(INDIRECT("1:100")),1)+0),MID(C1251,ROW(INDIRECT("1:100")),1),"")),")",""),"(","")</f>
        <v>Education and communication</v>
      </c>
    </row>
    <row r="1252" spans="1:8" x14ac:dyDescent="0.25">
      <c r="A1252">
        <v>2018</v>
      </c>
      <c r="B1252">
        <v>8</v>
      </c>
      <c r="C1252" t="s">
        <v>31</v>
      </c>
      <c r="D1252">
        <v>5.6559999999999997</v>
      </c>
      <c r="E1252">
        <v>0.1</v>
      </c>
      <c r="F1252">
        <v>5.0000000000000001E-3</v>
      </c>
      <c r="H1252" s="4" t="str">
        <f t="array" aca="1" ref="H1252" ca="1">SUBSTITUTE(SUBSTITUTE(_xlfn.TEXTJOIN("",TRUE,IF(ISERR(MID(C1252,ROW(INDIRECT("1:100")),1)+0),MID(C1252,ROW(INDIRECT("1:100")),1),"")),")",""),"(","")</f>
        <v>Recreation</v>
      </c>
    </row>
    <row r="1253" spans="1:8" x14ac:dyDescent="0.25">
      <c r="A1253">
        <v>2018</v>
      </c>
      <c r="B1253">
        <v>8</v>
      </c>
      <c r="C1253" t="s">
        <v>6</v>
      </c>
      <c r="D1253">
        <v>14.183</v>
      </c>
      <c r="E1253">
        <v>1.4</v>
      </c>
      <c r="F1253">
        <v>0.20599999999999999</v>
      </c>
      <c r="H1253" s="4" t="str">
        <f t="array" aca="1" ref="H1253" ca="1">SUBSTITUTE(SUBSTITUTE(_xlfn.TEXTJOIN("",TRUE,IF(ISERR(MID(C1253,ROW(INDIRECT("1:100")),1)+0),MID(C1253,ROW(INDIRECT("1:100")),1),"")),")",""),"(","")</f>
        <v>Food and beverages</v>
      </c>
    </row>
    <row r="1254" spans="1:8" x14ac:dyDescent="0.25">
      <c r="A1254">
        <v>2018</v>
      </c>
      <c r="B1254">
        <v>8</v>
      </c>
      <c r="C1254" t="s">
        <v>32</v>
      </c>
      <c r="D1254">
        <v>11.494</v>
      </c>
      <c r="E1254">
        <v>1.8</v>
      </c>
      <c r="F1254">
        <v>0.20699999999999999</v>
      </c>
      <c r="H1254" s="4" t="str">
        <f t="array" aca="1" ref="H1254" ca="1">SUBSTITUTE(SUBSTITUTE(_xlfn.TEXTJOIN("",TRUE,IF(ISERR(MID(C1254,ROW(INDIRECT("1:100")),1)+0),MID(C1254,ROW(INDIRECT("1:100")),1),"")),")",""),"(","")</f>
        <v>Other services</v>
      </c>
    </row>
    <row r="1255" spans="1:8" x14ac:dyDescent="0.25">
      <c r="A1255">
        <v>2018</v>
      </c>
      <c r="B1255">
        <v>8</v>
      </c>
      <c r="C1255" t="s">
        <v>33</v>
      </c>
      <c r="D1255">
        <v>2.3370000000000002</v>
      </c>
      <c r="E1255">
        <v>-1.8</v>
      </c>
      <c r="F1255">
        <v>-4.2000000000000003E-2</v>
      </c>
      <c r="H1255" s="4" t="str">
        <f t="array" aca="1" ref="H1255" ca="1">SUBSTITUTE(SUBSTITUTE(_xlfn.TEXTJOIN("",TRUE,IF(ISERR(MID(C1255,ROW(INDIRECT("1:100")),1)+0),MID(C1255,ROW(INDIRECT("1:100")),1),"")),")",""),"(","")</f>
        <v>Apparel less footwear</v>
      </c>
    </row>
    <row r="1256" spans="1:8" x14ac:dyDescent="0.25">
      <c r="A1256">
        <v>2018</v>
      </c>
      <c r="B1256">
        <v>8</v>
      </c>
      <c r="C1256" t="s">
        <v>34</v>
      </c>
      <c r="D1256">
        <v>4.7089999999999996</v>
      </c>
      <c r="E1256">
        <v>1.3</v>
      </c>
      <c r="F1256">
        <v>5.5E-2</v>
      </c>
      <c r="H1256" s="4" t="str">
        <f t="array" aca="1" ref="H1256" ca="1">SUBSTITUTE(SUBSTITUTE(_xlfn.TEXTJOIN("",TRUE,IF(ISERR(MID(C1256,ROW(INDIRECT("1:100")),1)+0),MID(C1256,ROW(INDIRECT("1:100")),1),"")),")",""),"(","")</f>
        <v>Fuels and utilities</v>
      </c>
    </row>
    <row r="1257" spans="1:8" x14ac:dyDescent="0.25">
      <c r="A1257">
        <v>2018</v>
      </c>
      <c r="B1257">
        <v>8</v>
      </c>
      <c r="C1257" t="s">
        <v>11</v>
      </c>
      <c r="D1257">
        <v>8.6159999999999997</v>
      </c>
      <c r="E1257">
        <v>1.5</v>
      </c>
      <c r="F1257">
        <v>0.13300000000000001</v>
      </c>
      <c r="H1257" s="4" t="str">
        <f t="array" aca="1" ref="H1257" ca="1">SUBSTITUTE(SUBSTITUTE(_xlfn.TEXTJOIN("",TRUE,IF(ISERR(MID(C1257,ROW(INDIRECT("1:100")),1)+0),MID(C1257,ROW(INDIRECT("1:100")),1),"")),")",""),"(","")</f>
        <v>Medical care</v>
      </c>
    </row>
    <row r="1258" spans="1:8" x14ac:dyDescent="0.25">
      <c r="A1258">
        <v>2018</v>
      </c>
      <c r="B1258">
        <v>8</v>
      </c>
      <c r="C1258" t="s">
        <v>7</v>
      </c>
      <c r="D1258">
        <v>17.055</v>
      </c>
      <c r="E1258">
        <v>6.4</v>
      </c>
      <c r="F1258">
        <v>1.0369999999999999</v>
      </c>
      <c r="H1258" s="4" t="str">
        <f t="array" aca="1" ref="H1258" ca="1">SUBSTITUTE(SUBSTITUTE(_xlfn.TEXTJOIN("",TRUE,IF(ISERR(MID(C1258,ROW(INDIRECT("1:100")),1)+0),MID(C1258,ROW(INDIRECT("1:100")),1),"")),")",""),"(","")</f>
        <v>Transportation</v>
      </c>
    </row>
    <row r="1259" spans="1:8" x14ac:dyDescent="0.25">
      <c r="A1259">
        <v>2018</v>
      </c>
      <c r="B1259">
        <v>8</v>
      </c>
      <c r="C1259" t="s">
        <v>35</v>
      </c>
      <c r="D1259">
        <v>9.4450000000000003</v>
      </c>
      <c r="E1259">
        <v>0.5</v>
      </c>
      <c r="F1259">
        <v>4.2999999999999997E-2</v>
      </c>
      <c r="H1259" s="4" t="str">
        <f t="array" aca="1" ref="H1259" ca="1">SUBSTITUTE(SUBSTITUTE(_xlfn.TEXTJOIN("",TRUE,IF(ISERR(MID(C1259,ROW(INDIRECT("1:100")),1)+0),MID(C1259,ROW(INDIRECT("1:100")),1),"")),")",""),"(","")</f>
        <v>Utilities and public transportation</v>
      </c>
    </row>
    <row r="1260" spans="1:8" x14ac:dyDescent="0.25">
      <c r="A1260">
        <v>2018</v>
      </c>
      <c r="B1260">
        <v>8</v>
      </c>
      <c r="C1260" t="s">
        <v>36</v>
      </c>
      <c r="D1260">
        <v>4.2160000000000002</v>
      </c>
      <c r="E1260">
        <v>0.8</v>
      </c>
      <c r="F1260">
        <v>3.3000000000000002E-2</v>
      </c>
      <c r="H1260" s="4" t="str">
        <f t="array" aca="1" ref="H1260" ca="1">SUBSTITUTE(SUBSTITUTE(_xlfn.TEXTJOIN("",TRUE,IF(ISERR(MID(C1260,ROW(INDIRECT("1:100")),1)+0),MID(C1260,ROW(INDIRECT("1:100")),1),"")),")",""),"(","")</f>
        <v>Household furnishings and operations</v>
      </c>
    </row>
    <row r="1261" spans="1:8" x14ac:dyDescent="0.25">
      <c r="A1261">
        <v>2018</v>
      </c>
      <c r="B1261">
        <v>8</v>
      </c>
      <c r="C1261" t="s">
        <v>12</v>
      </c>
      <c r="D1261">
        <v>3.181</v>
      </c>
      <c r="E1261">
        <v>2.2000000000000002</v>
      </c>
      <c r="F1261">
        <v>7.0999999999999994E-2</v>
      </c>
      <c r="H1261" s="4" t="str">
        <f t="array" aca="1" ref="H1261" ca="1">SUBSTITUTE(SUBSTITUTE(_xlfn.TEXTJOIN("",TRUE,IF(ISERR(MID(C1261,ROW(INDIRECT("1:100")),1)+0),MID(C1261,ROW(INDIRECT("1:100")),1),"")),")",""),"(","")</f>
        <v>Other goods and services</v>
      </c>
    </row>
    <row r="1262" spans="1:8" x14ac:dyDescent="0.25">
      <c r="A1262">
        <v>2018</v>
      </c>
      <c r="B1262">
        <v>9</v>
      </c>
      <c r="C1262" t="s">
        <v>14</v>
      </c>
      <c r="D1262">
        <v>100</v>
      </c>
      <c r="E1262">
        <v>2.2999999999999998</v>
      </c>
      <c r="H1262" s="4" t="str">
        <f t="array" aca="1" ref="H1262" ca="1">SUBSTITUTE(SUBSTITUTE(_xlfn.TEXTJOIN("",TRUE,IF(ISERR(MID(C1262,ROW(INDIRECT("1:100")),1)+0),MID(C1262,ROW(INDIRECT("1:100")),1),"")),")",""),"(","")</f>
        <v>All items</v>
      </c>
    </row>
    <row r="1263" spans="1:8" x14ac:dyDescent="0.25">
      <c r="A1263">
        <v>2018</v>
      </c>
      <c r="B1263">
        <v>9</v>
      </c>
      <c r="C1263" t="s">
        <v>15</v>
      </c>
      <c r="D1263">
        <v>13.234</v>
      </c>
      <c r="E1263">
        <v>1.4</v>
      </c>
      <c r="F1263">
        <v>0.18099999999999999</v>
      </c>
      <c r="H1263" s="4" t="str">
        <f t="array" aca="1" ref="H1263" ca="1">SUBSTITUTE(SUBSTITUTE(_xlfn.TEXTJOIN("",TRUE,IF(ISERR(MID(C1263,ROW(INDIRECT("1:100")),1)+0),MID(C1263,ROW(INDIRECT("1:100")),1),"")),")",""),"(","")</f>
        <v>Food</v>
      </c>
    </row>
    <row r="1264" spans="1:8" x14ac:dyDescent="0.25">
      <c r="A1264">
        <v>2018</v>
      </c>
      <c r="B1264">
        <v>9</v>
      </c>
      <c r="C1264" t="s">
        <v>16</v>
      </c>
      <c r="D1264">
        <v>8.0679999999999996</v>
      </c>
      <c r="E1264">
        <v>4.8</v>
      </c>
      <c r="F1264">
        <v>0.38600000000000001</v>
      </c>
      <c r="H1264" s="4" t="str">
        <f t="array" aca="1" ref="H1264" ca="1">SUBSTITUTE(SUBSTITUTE(_xlfn.TEXTJOIN("",TRUE,IF(ISERR(MID(C1264,ROW(INDIRECT("1:100")),1)+0),MID(C1264,ROW(INDIRECT("1:100")),1),"")),")",""),"(","")</f>
        <v>Energy</v>
      </c>
    </row>
    <row r="1265" spans="1:8" x14ac:dyDescent="0.25">
      <c r="A1265">
        <v>2018</v>
      </c>
      <c r="B1265">
        <v>9</v>
      </c>
      <c r="C1265" t="s">
        <v>17</v>
      </c>
      <c r="D1265">
        <v>78.697999999999993</v>
      </c>
      <c r="E1265">
        <v>2.2000000000000002</v>
      </c>
      <c r="F1265">
        <v>1.71</v>
      </c>
      <c r="H1265" s="4" t="str">
        <f t="array" aca="1" ref="H1265" ca="1">SUBSTITUTE(SUBSTITUTE(_xlfn.TEXTJOIN("",TRUE,IF(ISERR(MID(C1265,ROW(INDIRECT("1:100")),1)+0),MID(C1265,ROW(INDIRECT("1:100")),1),"")),")",""),"(","")</f>
        <v>All items less food and energy</v>
      </c>
    </row>
    <row r="1266" spans="1:8" x14ac:dyDescent="0.25">
      <c r="A1266">
        <v>2018</v>
      </c>
      <c r="B1266">
        <v>9</v>
      </c>
      <c r="C1266" t="s">
        <v>18</v>
      </c>
      <c r="H1266" s="4" t="str">
        <f t="array" aca="1" ref="H1266" ca="1">SUBSTITUTE(SUBSTITUTE(_xlfn.TEXTJOIN("",TRUE,IF(ISERR(MID(C1266,ROW(INDIRECT("1:100")),1)+0),MID(C1266,ROW(INDIRECT("1:100")),1),"")),")",""),"(","")</f>
        <v>Special aggregate indexes</v>
      </c>
    </row>
    <row r="1267" spans="1:8" x14ac:dyDescent="0.25">
      <c r="A1267">
        <v>2018</v>
      </c>
      <c r="B1267">
        <v>9</v>
      </c>
      <c r="C1267" t="s">
        <v>19</v>
      </c>
      <c r="D1267">
        <v>86.766000000000005</v>
      </c>
      <c r="E1267">
        <v>2.4</v>
      </c>
      <c r="F1267">
        <v>2.0960000000000001</v>
      </c>
      <c r="H1267" s="4" t="str">
        <f t="array" aca="1" ref="H1267" ca="1">SUBSTITUTE(SUBSTITUTE(_xlfn.TEXTJOIN("",TRUE,IF(ISERR(MID(C1267,ROW(INDIRECT("1:100")),1)+0),MID(C1267,ROW(INDIRECT("1:100")),1),"")),")",""),"(","")</f>
        <v>All items less food</v>
      </c>
    </row>
    <row r="1268" spans="1:8" x14ac:dyDescent="0.25">
      <c r="A1268">
        <v>2018</v>
      </c>
      <c r="B1268">
        <v>9</v>
      </c>
      <c r="C1268" t="s">
        <v>20</v>
      </c>
      <c r="D1268">
        <v>67.111999999999995</v>
      </c>
      <c r="E1268">
        <v>1.8</v>
      </c>
      <c r="F1268">
        <v>1.198</v>
      </c>
      <c r="H1268" s="4" t="str">
        <f t="array" aca="1" ref="H1268" ca="1">SUBSTITUTE(SUBSTITUTE(_xlfn.TEXTJOIN("",TRUE,IF(ISERR(MID(C1268,ROW(INDIRECT("1:100")),1)+0),MID(C1268,ROW(INDIRECT("1:100")),1),"")),")",""),"(","")</f>
        <v>All items less shelter</v>
      </c>
    </row>
    <row r="1269" spans="1:8" x14ac:dyDescent="0.25">
      <c r="A1269">
        <v>2018</v>
      </c>
      <c r="B1269">
        <v>9</v>
      </c>
      <c r="C1269" t="s">
        <v>21</v>
      </c>
      <c r="D1269">
        <v>53.878</v>
      </c>
      <c r="E1269">
        <v>1.9</v>
      </c>
      <c r="F1269">
        <v>1.0169999999999999</v>
      </c>
      <c r="H1269" s="4" t="str">
        <f t="array" aca="1" ref="H1269" ca="1">SUBSTITUTE(SUBSTITUTE(_xlfn.TEXTJOIN("",TRUE,IF(ISERR(MID(C1269,ROW(INDIRECT("1:100")),1)+0),MID(C1269,ROW(INDIRECT("1:100")),1),"")),")",""),"(","")</f>
        <v>All items less food and shelter</v>
      </c>
    </row>
    <row r="1270" spans="1:8" x14ac:dyDescent="0.25">
      <c r="A1270">
        <v>2018</v>
      </c>
      <c r="B1270">
        <v>9</v>
      </c>
      <c r="C1270" t="s">
        <v>22</v>
      </c>
      <c r="D1270">
        <v>45.81</v>
      </c>
      <c r="E1270">
        <v>1.4</v>
      </c>
      <c r="F1270">
        <v>0.63100000000000001</v>
      </c>
      <c r="H1270" s="4" t="str">
        <f t="array" aca="1" ref="H1270" ca="1">SUBSTITUTE(SUBSTITUTE(_xlfn.TEXTJOIN("",TRUE,IF(ISERR(MID(C1270,ROW(INDIRECT("1:100")),1)+0),MID(C1270,ROW(INDIRECT("1:100")),1),"")),")",""),"(","")</f>
        <v>All items less food, shelter, and energy</v>
      </c>
    </row>
    <row r="1271" spans="1:8" x14ac:dyDescent="0.25">
      <c r="A1271">
        <v>2018</v>
      </c>
      <c r="B1271">
        <v>9</v>
      </c>
      <c r="C1271" t="s">
        <v>23</v>
      </c>
      <c r="D1271">
        <v>43.375</v>
      </c>
      <c r="E1271">
        <v>1.5</v>
      </c>
      <c r="F1271">
        <v>0.66300000000000003</v>
      </c>
      <c r="H1271" s="4" t="str">
        <f t="array" aca="1" ref="H1271" ca="1">SUBSTITUTE(SUBSTITUTE(_xlfn.TEXTJOIN("",TRUE,IF(ISERR(MID(C1271,ROW(INDIRECT("1:100")),1)+0),MID(C1271,ROW(INDIRECT("1:100")),1),"")),")",""),"(","")</f>
        <v>All items less food, shelter, energy, and used cars and trucks</v>
      </c>
    </row>
    <row r="1272" spans="1:8" x14ac:dyDescent="0.25">
      <c r="A1272">
        <v>2018</v>
      </c>
      <c r="B1272">
        <v>9</v>
      </c>
      <c r="C1272" t="s">
        <v>24</v>
      </c>
      <c r="D1272">
        <v>91.406999999999996</v>
      </c>
      <c r="E1272">
        <v>2.2999999999999998</v>
      </c>
      <c r="F1272">
        <v>2.1280000000000001</v>
      </c>
      <c r="H1272" s="4" t="str">
        <f t="array" aca="1" ref="H1272" ca="1">SUBSTITUTE(SUBSTITUTE(_xlfn.TEXTJOIN("",TRUE,IF(ISERR(MID(C1272,ROW(INDIRECT("1:100")),1)+0),MID(C1272,ROW(INDIRECT("1:100")),1),"")),")",""),"(","")</f>
        <v>All items less medical care</v>
      </c>
    </row>
    <row r="1273" spans="1:8" x14ac:dyDescent="0.25">
      <c r="A1273">
        <v>2018</v>
      </c>
      <c r="B1273">
        <v>9</v>
      </c>
      <c r="C1273" t="s">
        <v>25</v>
      </c>
      <c r="D1273">
        <v>91.932000000000002</v>
      </c>
      <c r="E1273">
        <v>2.1</v>
      </c>
      <c r="F1273">
        <v>1.891</v>
      </c>
      <c r="H1273" s="4" t="str">
        <f t="array" aca="1" ref="H1273" ca="1">SUBSTITUTE(SUBSTITUTE(_xlfn.TEXTJOIN("",TRUE,IF(ISERR(MID(C1273,ROW(INDIRECT("1:100")),1)+0),MID(C1273,ROW(INDIRECT("1:100")),1),"")),")",""),"(","")</f>
        <v>All items less energy</v>
      </c>
    </row>
    <row r="1274" spans="1:8" x14ac:dyDescent="0.25">
      <c r="A1274">
        <v>2018</v>
      </c>
      <c r="B1274">
        <v>9</v>
      </c>
      <c r="C1274" t="s">
        <v>26</v>
      </c>
      <c r="D1274">
        <v>37.386000000000003</v>
      </c>
      <c r="E1274">
        <v>1.5</v>
      </c>
      <c r="F1274">
        <v>0.56499999999999995</v>
      </c>
      <c r="H1274" s="4" t="str">
        <f t="array" aca="1" ref="H1274" ca="1">SUBSTITUTE(SUBSTITUTE(_xlfn.TEXTJOIN("",TRUE,IF(ISERR(MID(C1274,ROW(INDIRECT("1:100")),1)+0),MID(C1274,ROW(INDIRECT("1:100")),1),"")),")",""),"(","")</f>
        <v>Commodities</v>
      </c>
    </row>
    <row r="1275" spans="1:8" x14ac:dyDescent="0.25">
      <c r="A1275">
        <v>2018</v>
      </c>
      <c r="B1275">
        <v>9</v>
      </c>
      <c r="C1275" t="s">
        <v>27</v>
      </c>
      <c r="D1275">
        <v>62.613999999999997</v>
      </c>
      <c r="E1275">
        <v>2.7</v>
      </c>
      <c r="F1275">
        <v>1.712</v>
      </c>
      <c r="H1275" s="4" t="str">
        <f t="array" aca="1" ref="H1275" ca="1">SUBSTITUTE(SUBSTITUTE(_xlfn.TEXTJOIN("",TRUE,IF(ISERR(MID(C1275,ROW(INDIRECT("1:100")),1)+0),MID(C1275,ROW(INDIRECT("1:100")),1),"")),")",""),"(","")</f>
        <v>Services</v>
      </c>
    </row>
    <row r="1276" spans="1:8" x14ac:dyDescent="0.25">
      <c r="A1276">
        <v>2018</v>
      </c>
      <c r="B1276">
        <v>9</v>
      </c>
      <c r="C1276" t="s">
        <v>28</v>
      </c>
      <c r="D1276">
        <v>9.9649999999999999</v>
      </c>
      <c r="E1276">
        <v>-0.7</v>
      </c>
      <c r="F1276">
        <v>-6.6000000000000003E-2</v>
      </c>
      <c r="H1276" s="4" t="str">
        <f t="array" aca="1" ref="H1276" ca="1">SUBSTITUTE(SUBSTITUTE(_xlfn.TEXTJOIN("",TRUE,IF(ISERR(MID(C1276,ROW(INDIRECT("1:100")),1)+0),MID(C1276,ROW(INDIRECT("1:100")),1),"")),")",""),"(","")</f>
        <v>Durables</v>
      </c>
    </row>
    <row r="1277" spans="1:8" x14ac:dyDescent="0.25">
      <c r="A1277">
        <v>2018</v>
      </c>
      <c r="B1277">
        <v>9</v>
      </c>
      <c r="C1277" t="s">
        <v>29</v>
      </c>
      <c r="D1277">
        <v>27.420999999999999</v>
      </c>
      <c r="E1277">
        <v>2.2999999999999998</v>
      </c>
      <c r="F1277">
        <v>0.63</v>
      </c>
      <c r="H1277" s="4" t="str">
        <f t="array" aca="1" ref="H1277" ca="1">SUBSTITUTE(SUBSTITUTE(_xlfn.TEXTJOIN("",TRUE,IF(ISERR(MID(C1277,ROW(INDIRECT("1:100")),1)+0),MID(C1277,ROW(INDIRECT("1:100")),1),"")),")",""),"(","")</f>
        <v>Nondurables</v>
      </c>
    </row>
    <row r="1278" spans="1:8" x14ac:dyDescent="0.25">
      <c r="A1278">
        <v>2018</v>
      </c>
      <c r="B1278">
        <v>9</v>
      </c>
      <c r="C1278" t="s">
        <v>8</v>
      </c>
      <c r="D1278">
        <v>41.811999999999998</v>
      </c>
      <c r="E1278">
        <v>2.7</v>
      </c>
      <c r="F1278">
        <v>1.147</v>
      </c>
      <c r="H1278" s="4" t="str">
        <f t="array" aca="1" ref="H1278" ca="1">SUBSTITUTE(SUBSTITUTE(_xlfn.TEXTJOIN("",TRUE,IF(ISERR(MID(C1278,ROW(INDIRECT("1:100")),1)+0),MID(C1278,ROW(INDIRECT("1:100")),1),"")),")",""),"(","")</f>
        <v>Housing</v>
      </c>
    </row>
    <row r="1279" spans="1:8" x14ac:dyDescent="0.25">
      <c r="A1279">
        <v>2018</v>
      </c>
      <c r="B1279">
        <v>9</v>
      </c>
      <c r="C1279" t="s">
        <v>30</v>
      </c>
      <c r="D1279">
        <v>6.59</v>
      </c>
      <c r="E1279">
        <v>1.2</v>
      </c>
      <c r="F1279">
        <v>8.2000000000000003E-2</v>
      </c>
      <c r="H1279" s="4" t="str">
        <f t="array" aca="1" ref="H1279" ca="1">SUBSTITUTE(SUBSTITUTE(_xlfn.TEXTJOIN("",TRUE,IF(ISERR(MID(C1279,ROW(INDIRECT("1:100")),1)+0),MID(C1279,ROW(INDIRECT("1:100")),1),"")),")",""),"(","")</f>
        <v>Education and communication</v>
      </c>
    </row>
    <row r="1280" spans="1:8" x14ac:dyDescent="0.25">
      <c r="A1280">
        <v>2018</v>
      </c>
      <c r="B1280">
        <v>9</v>
      </c>
      <c r="C1280" t="s">
        <v>31</v>
      </c>
      <c r="D1280">
        <v>5.6390000000000002</v>
      </c>
      <c r="E1280">
        <v>0.2</v>
      </c>
      <c r="F1280">
        <v>1.4999999999999999E-2</v>
      </c>
      <c r="H1280" s="4" t="str">
        <f t="array" aca="1" ref="H1280" ca="1">SUBSTITUTE(SUBSTITUTE(_xlfn.TEXTJOIN("",TRUE,IF(ISERR(MID(C1280,ROW(INDIRECT("1:100")),1)+0),MID(C1280,ROW(INDIRECT("1:100")),1),"")),")",""),"(","")</f>
        <v>Recreation</v>
      </c>
    </row>
    <row r="1281" spans="1:8" x14ac:dyDescent="0.25">
      <c r="A1281">
        <v>2018</v>
      </c>
      <c r="B1281">
        <v>9</v>
      </c>
      <c r="C1281" t="s">
        <v>6</v>
      </c>
      <c r="D1281">
        <v>14.193</v>
      </c>
      <c r="E1281">
        <v>1.4</v>
      </c>
      <c r="F1281">
        <v>0.19700000000000001</v>
      </c>
      <c r="H1281" s="4" t="str">
        <f t="array" aca="1" ref="H1281" ca="1">SUBSTITUTE(SUBSTITUTE(_xlfn.TEXTJOIN("",TRUE,IF(ISERR(MID(C1281,ROW(INDIRECT("1:100")),1)+0),MID(C1281,ROW(INDIRECT("1:100")),1),"")),")",""),"(","")</f>
        <v>Food and beverages</v>
      </c>
    </row>
    <row r="1282" spans="1:8" x14ac:dyDescent="0.25">
      <c r="A1282">
        <v>2018</v>
      </c>
      <c r="B1282">
        <v>9</v>
      </c>
      <c r="C1282" t="s">
        <v>32</v>
      </c>
      <c r="D1282">
        <v>11.512</v>
      </c>
      <c r="E1282">
        <v>1.9</v>
      </c>
      <c r="F1282">
        <v>0.223</v>
      </c>
      <c r="H1282" s="4" t="str">
        <f t="array" aca="1" ref="H1282" ca="1">SUBSTITUTE(SUBSTITUTE(_xlfn.TEXTJOIN("",TRUE,IF(ISERR(MID(C1282,ROW(INDIRECT("1:100")),1)+0),MID(C1282,ROW(INDIRECT("1:100")),1),"")),")",""),"(","")</f>
        <v>Other services</v>
      </c>
    </row>
    <row r="1283" spans="1:8" x14ac:dyDescent="0.25">
      <c r="A1283">
        <v>2018</v>
      </c>
      <c r="B1283">
        <v>9</v>
      </c>
      <c r="C1283" t="s">
        <v>33</v>
      </c>
      <c r="D1283">
        <v>2.3250000000000002</v>
      </c>
      <c r="E1283">
        <v>-0.5</v>
      </c>
      <c r="F1283">
        <v>-6.0000000000000001E-3</v>
      </c>
      <c r="H1283" s="4" t="str">
        <f t="array" aca="1" ref="H1283" ca="1">SUBSTITUTE(SUBSTITUTE(_xlfn.TEXTJOIN("",TRUE,IF(ISERR(MID(C1283,ROW(INDIRECT("1:100")),1)+0),MID(C1283,ROW(INDIRECT("1:100")),1),"")),")",""),"(","")</f>
        <v>Apparel less footwear</v>
      </c>
    </row>
    <row r="1284" spans="1:8" x14ac:dyDescent="0.25">
      <c r="A1284">
        <v>2018</v>
      </c>
      <c r="B1284">
        <v>9</v>
      </c>
      <c r="C1284" t="s">
        <v>34</v>
      </c>
      <c r="D1284">
        <v>4.7220000000000004</v>
      </c>
      <c r="E1284">
        <v>0.5</v>
      </c>
      <c r="F1284">
        <v>1.9E-2</v>
      </c>
      <c r="H1284" s="4" t="str">
        <f t="array" aca="1" ref="H1284" ca="1">SUBSTITUTE(SUBSTITUTE(_xlfn.TEXTJOIN("",TRUE,IF(ISERR(MID(C1284,ROW(INDIRECT("1:100")),1)+0),MID(C1284,ROW(INDIRECT("1:100")),1),"")),")",""),"(","")</f>
        <v>Fuels and utilities</v>
      </c>
    </row>
    <row r="1285" spans="1:8" x14ac:dyDescent="0.25">
      <c r="A1285">
        <v>2018</v>
      </c>
      <c r="B1285">
        <v>9</v>
      </c>
      <c r="C1285" t="s">
        <v>11</v>
      </c>
      <c r="D1285">
        <v>8.593</v>
      </c>
      <c r="E1285">
        <v>1.7</v>
      </c>
      <c r="F1285">
        <v>0.14899999999999999</v>
      </c>
      <c r="H1285" s="4" t="str">
        <f t="array" aca="1" ref="H1285" ca="1">SUBSTITUTE(SUBSTITUTE(_xlfn.TEXTJOIN("",TRUE,IF(ISERR(MID(C1285,ROW(INDIRECT("1:100")),1)+0),MID(C1285,ROW(INDIRECT("1:100")),1),"")),")",""),"(","")</f>
        <v>Medical care</v>
      </c>
    </row>
    <row r="1286" spans="1:8" x14ac:dyDescent="0.25">
      <c r="A1286">
        <v>2018</v>
      </c>
      <c r="B1286">
        <v>9</v>
      </c>
      <c r="C1286" t="s">
        <v>7</v>
      </c>
      <c r="D1286">
        <v>17.001000000000001</v>
      </c>
      <c r="E1286">
        <v>3.7</v>
      </c>
      <c r="F1286">
        <v>0.63</v>
      </c>
      <c r="H1286" s="4" t="str">
        <f t="array" aca="1" ref="H1286" ca="1">SUBSTITUTE(SUBSTITUTE(_xlfn.TEXTJOIN("",TRUE,IF(ISERR(MID(C1286,ROW(INDIRECT("1:100")),1)+0),MID(C1286,ROW(INDIRECT("1:100")),1),"")),")",""),"(","")</f>
        <v>Transportation</v>
      </c>
    </row>
    <row r="1287" spans="1:8" x14ac:dyDescent="0.25">
      <c r="A1287">
        <v>2018</v>
      </c>
      <c r="B1287">
        <v>9</v>
      </c>
      <c r="C1287" t="s">
        <v>35</v>
      </c>
      <c r="D1287">
        <v>9.4239999999999995</v>
      </c>
      <c r="E1287">
        <v>0.2</v>
      </c>
      <c r="F1287">
        <v>1.6E-2</v>
      </c>
      <c r="H1287" s="4" t="str">
        <f t="array" aca="1" ref="H1287" ca="1">SUBSTITUTE(SUBSTITUTE(_xlfn.TEXTJOIN("",TRUE,IF(ISERR(MID(C1287,ROW(INDIRECT("1:100")),1)+0),MID(C1287,ROW(INDIRECT("1:100")),1),"")),")",""),"(","")</f>
        <v>Utilities and public transportation</v>
      </c>
    </row>
    <row r="1288" spans="1:8" x14ac:dyDescent="0.25">
      <c r="A1288">
        <v>2018</v>
      </c>
      <c r="B1288">
        <v>9</v>
      </c>
      <c r="C1288" t="s">
        <v>36</v>
      </c>
      <c r="D1288">
        <v>4.202</v>
      </c>
      <c r="E1288">
        <v>1.1000000000000001</v>
      </c>
      <c r="F1288">
        <v>4.9000000000000002E-2</v>
      </c>
      <c r="H1288" s="4" t="str">
        <f t="array" aca="1" ref="H1288" ca="1">SUBSTITUTE(SUBSTITUTE(_xlfn.TEXTJOIN("",TRUE,IF(ISERR(MID(C1288,ROW(INDIRECT("1:100")),1)+0),MID(C1288,ROW(INDIRECT("1:100")),1),"")),")",""),"(","")</f>
        <v>Household furnishings and operations</v>
      </c>
    </row>
    <row r="1289" spans="1:8" x14ac:dyDescent="0.25">
      <c r="A1289">
        <v>2018</v>
      </c>
      <c r="B1289">
        <v>9</v>
      </c>
      <c r="C1289" t="s">
        <v>12</v>
      </c>
      <c r="D1289">
        <v>3.1779999999999999</v>
      </c>
      <c r="E1289">
        <v>2.2000000000000002</v>
      </c>
      <c r="F1289">
        <v>6.8000000000000005E-2</v>
      </c>
      <c r="H1289" s="4" t="str">
        <f t="array" aca="1" ref="H1289" ca="1">SUBSTITUTE(SUBSTITUTE(_xlfn.TEXTJOIN("",TRUE,IF(ISERR(MID(C1289,ROW(INDIRECT("1:100")),1)+0),MID(C1289,ROW(INDIRECT("1:100")),1),"")),")",""),"(","")</f>
        <v>Other goods and services</v>
      </c>
    </row>
    <row r="1290" spans="1:8" x14ac:dyDescent="0.25">
      <c r="A1290">
        <v>2018</v>
      </c>
      <c r="B1290">
        <v>10</v>
      </c>
      <c r="C1290" t="s">
        <v>14</v>
      </c>
      <c r="D1290">
        <v>100</v>
      </c>
      <c r="E1290">
        <v>2.5</v>
      </c>
      <c r="H1290" s="4" t="str">
        <f t="array" aca="1" ref="H1290" ca="1">SUBSTITUTE(SUBSTITUTE(_xlfn.TEXTJOIN("",TRUE,IF(ISERR(MID(C1290,ROW(INDIRECT("1:100")),1)+0),MID(C1290,ROW(INDIRECT("1:100")),1),"")),")",""),"(","")</f>
        <v>All items</v>
      </c>
    </row>
    <row r="1291" spans="1:8" x14ac:dyDescent="0.25">
      <c r="A1291">
        <v>2018</v>
      </c>
      <c r="B1291">
        <v>10</v>
      </c>
      <c r="C1291" t="s">
        <v>15</v>
      </c>
      <c r="D1291">
        <v>13.234999999999999</v>
      </c>
      <c r="E1291">
        <v>1.2</v>
      </c>
      <c r="F1291">
        <v>0.159</v>
      </c>
      <c r="H1291" s="4" t="str">
        <f t="array" aca="1" ref="H1291" ca="1">SUBSTITUTE(SUBSTITUTE(_xlfn.TEXTJOIN("",TRUE,IF(ISERR(MID(C1291,ROW(INDIRECT("1:100")),1)+0),MID(C1291,ROW(INDIRECT("1:100")),1),"")),")",""),"(","")</f>
        <v>Food</v>
      </c>
    </row>
    <row r="1292" spans="1:8" x14ac:dyDescent="0.25">
      <c r="A1292">
        <v>2018</v>
      </c>
      <c r="B1292">
        <v>10</v>
      </c>
      <c r="C1292" t="s">
        <v>16</v>
      </c>
      <c r="D1292">
        <v>8.0310000000000006</v>
      </c>
      <c r="E1292">
        <v>8.9</v>
      </c>
      <c r="F1292">
        <v>0.67200000000000004</v>
      </c>
      <c r="H1292" s="4" t="str">
        <f t="array" aca="1" ref="H1292" ca="1">SUBSTITUTE(SUBSTITUTE(_xlfn.TEXTJOIN("",TRUE,IF(ISERR(MID(C1292,ROW(INDIRECT("1:100")),1)+0),MID(C1292,ROW(INDIRECT("1:100")),1),"")),")",""),"(","")</f>
        <v>Energy</v>
      </c>
    </row>
    <row r="1293" spans="1:8" x14ac:dyDescent="0.25">
      <c r="A1293">
        <v>2018</v>
      </c>
      <c r="B1293">
        <v>10</v>
      </c>
      <c r="C1293" t="s">
        <v>17</v>
      </c>
      <c r="D1293">
        <v>78.733999999999995</v>
      </c>
      <c r="E1293">
        <v>2.1</v>
      </c>
      <c r="F1293">
        <v>1.6919999999999999</v>
      </c>
      <c r="H1293" s="4" t="str">
        <f t="array" aca="1" ref="H1293" ca="1">SUBSTITUTE(SUBSTITUTE(_xlfn.TEXTJOIN("",TRUE,IF(ISERR(MID(C1293,ROW(INDIRECT("1:100")),1)+0),MID(C1293,ROW(INDIRECT("1:100")),1),"")),")",""),"(","")</f>
        <v>All items less food and energy</v>
      </c>
    </row>
    <row r="1294" spans="1:8" x14ac:dyDescent="0.25">
      <c r="A1294">
        <v>2018</v>
      </c>
      <c r="B1294">
        <v>10</v>
      </c>
      <c r="C1294" t="s">
        <v>18</v>
      </c>
      <c r="H1294" s="4" t="str">
        <f t="array" aca="1" ref="H1294" ca="1">SUBSTITUTE(SUBSTITUTE(_xlfn.TEXTJOIN("",TRUE,IF(ISERR(MID(C1294,ROW(INDIRECT("1:100")),1)+0),MID(C1294,ROW(INDIRECT("1:100")),1),"")),")",""),"(","")</f>
        <v>Special aggregate indexes</v>
      </c>
    </row>
    <row r="1295" spans="1:8" x14ac:dyDescent="0.25">
      <c r="A1295">
        <v>2018</v>
      </c>
      <c r="B1295">
        <v>10</v>
      </c>
      <c r="C1295" t="s">
        <v>19</v>
      </c>
      <c r="D1295">
        <v>86.765000000000001</v>
      </c>
      <c r="E1295">
        <v>2.7</v>
      </c>
      <c r="F1295">
        <v>2.363</v>
      </c>
      <c r="H1295" s="4" t="str">
        <f t="array" aca="1" ref="H1295" ca="1">SUBSTITUTE(SUBSTITUTE(_xlfn.TEXTJOIN("",TRUE,IF(ISERR(MID(C1295,ROW(INDIRECT("1:100")),1)+0),MID(C1295,ROW(INDIRECT("1:100")),1),"")),")",""),"(","")</f>
        <v>All items less food</v>
      </c>
    </row>
    <row r="1296" spans="1:8" x14ac:dyDescent="0.25">
      <c r="A1296">
        <v>2018</v>
      </c>
      <c r="B1296">
        <v>10</v>
      </c>
      <c r="C1296" t="s">
        <v>20</v>
      </c>
      <c r="D1296">
        <v>67.106999999999999</v>
      </c>
      <c r="E1296">
        <v>2.2000000000000002</v>
      </c>
      <c r="F1296">
        <v>1.482</v>
      </c>
      <c r="H1296" s="4" t="str">
        <f t="array" aca="1" ref="H1296" ca="1">SUBSTITUTE(SUBSTITUTE(_xlfn.TEXTJOIN("",TRUE,IF(ISERR(MID(C1296,ROW(INDIRECT("1:100")),1)+0),MID(C1296,ROW(INDIRECT("1:100")),1),"")),")",""),"(","")</f>
        <v>All items less shelter</v>
      </c>
    </row>
    <row r="1297" spans="1:8" x14ac:dyDescent="0.25">
      <c r="A1297">
        <v>2018</v>
      </c>
      <c r="B1297">
        <v>10</v>
      </c>
      <c r="C1297" t="s">
        <v>21</v>
      </c>
      <c r="D1297">
        <v>53.872</v>
      </c>
      <c r="E1297">
        <v>2.4</v>
      </c>
      <c r="F1297">
        <v>1.3220000000000001</v>
      </c>
      <c r="H1297" s="4" t="str">
        <f t="array" aca="1" ref="H1297" ca="1">SUBSTITUTE(SUBSTITUTE(_xlfn.TEXTJOIN("",TRUE,IF(ISERR(MID(C1297,ROW(INDIRECT("1:100")),1)+0),MID(C1297,ROW(INDIRECT("1:100")),1),"")),")",""),"(","")</f>
        <v>All items less food and shelter</v>
      </c>
    </row>
    <row r="1298" spans="1:8" x14ac:dyDescent="0.25">
      <c r="A1298">
        <v>2018</v>
      </c>
      <c r="B1298">
        <v>10</v>
      </c>
      <c r="C1298" t="s">
        <v>22</v>
      </c>
      <c r="D1298">
        <v>45.84</v>
      </c>
      <c r="E1298">
        <v>1.4</v>
      </c>
      <c r="F1298">
        <v>0.65100000000000002</v>
      </c>
      <c r="H1298" s="4" t="str">
        <f t="array" aca="1" ref="H1298" ca="1">SUBSTITUTE(SUBSTITUTE(_xlfn.TEXTJOIN("",TRUE,IF(ISERR(MID(C1298,ROW(INDIRECT("1:100")),1)+0),MID(C1298,ROW(INDIRECT("1:100")),1),"")),")",""),"(","")</f>
        <v>All items less food, shelter, and energy</v>
      </c>
    </row>
    <row r="1299" spans="1:8" x14ac:dyDescent="0.25">
      <c r="A1299">
        <v>2018</v>
      </c>
      <c r="B1299">
        <v>10</v>
      </c>
      <c r="C1299" t="s">
        <v>23</v>
      </c>
      <c r="D1299">
        <v>43.512</v>
      </c>
      <c r="E1299">
        <v>1.5</v>
      </c>
      <c r="F1299">
        <v>0.64100000000000001</v>
      </c>
      <c r="H1299" s="4" t="str">
        <f t="array" aca="1" ref="H1299" ca="1">SUBSTITUTE(SUBSTITUTE(_xlfn.TEXTJOIN("",TRUE,IF(ISERR(MID(C1299,ROW(INDIRECT("1:100")),1)+0),MID(C1299,ROW(INDIRECT("1:100")),1),"")),")",""),"(","")</f>
        <v>All items less food, shelter, energy, and used cars and trucks</v>
      </c>
    </row>
    <row r="1300" spans="1:8" x14ac:dyDescent="0.25">
      <c r="A1300">
        <v>2018</v>
      </c>
      <c r="B1300">
        <v>10</v>
      </c>
      <c r="C1300" t="s">
        <v>24</v>
      </c>
      <c r="D1300">
        <v>91.408000000000001</v>
      </c>
      <c r="E1300">
        <v>2.6</v>
      </c>
      <c r="F1300">
        <v>2.375</v>
      </c>
      <c r="H1300" s="4" t="str">
        <f t="array" aca="1" ref="H1300" ca="1">SUBSTITUTE(SUBSTITUTE(_xlfn.TEXTJOIN("",TRUE,IF(ISERR(MID(C1300,ROW(INDIRECT("1:100")),1)+0),MID(C1300,ROW(INDIRECT("1:100")),1),"")),")",""),"(","")</f>
        <v>All items less medical care</v>
      </c>
    </row>
    <row r="1301" spans="1:8" x14ac:dyDescent="0.25">
      <c r="A1301">
        <v>2018</v>
      </c>
      <c r="B1301">
        <v>10</v>
      </c>
      <c r="C1301" t="s">
        <v>25</v>
      </c>
      <c r="D1301">
        <v>91.968999999999994</v>
      </c>
      <c r="E1301">
        <v>2</v>
      </c>
      <c r="F1301">
        <v>1.851</v>
      </c>
      <c r="H1301" s="4" t="str">
        <f t="array" aca="1" ref="H1301" ca="1">SUBSTITUTE(SUBSTITUTE(_xlfn.TEXTJOIN("",TRUE,IF(ISERR(MID(C1301,ROW(INDIRECT("1:100")),1)+0),MID(C1301,ROW(INDIRECT("1:100")),1),"")),")",""),"(","")</f>
        <v>All items less energy</v>
      </c>
    </row>
    <row r="1302" spans="1:8" x14ac:dyDescent="0.25">
      <c r="A1302">
        <v>2018</v>
      </c>
      <c r="B1302">
        <v>10</v>
      </c>
      <c r="C1302" t="s">
        <v>26</v>
      </c>
      <c r="D1302">
        <v>37.384</v>
      </c>
      <c r="E1302">
        <v>2.2000000000000002</v>
      </c>
      <c r="F1302">
        <v>0.82399999999999995</v>
      </c>
      <c r="H1302" s="4" t="str">
        <f t="array" aca="1" ref="H1302" ca="1">SUBSTITUTE(SUBSTITUTE(_xlfn.TEXTJOIN("",TRUE,IF(ISERR(MID(C1302,ROW(INDIRECT("1:100")),1)+0),MID(C1302,ROW(INDIRECT("1:100")),1),"")),")",""),"(","")</f>
        <v>Commodities</v>
      </c>
    </row>
    <row r="1303" spans="1:8" x14ac:dyDescent="0.25">
      <c r="A1303">
        <v>2018</v>
      </c>
      <c r="B1303">
        <v>10</v>
      </c>
      <c r="C1303" t="s">
        <v>27</v>
      </c>
      <c r="D1303">
        <v>62.616</v>
      </c>
      <c r="E1303">
        <v>2.7</v>
      </c>
      <c r="F1303">
        <v>1.698</v>
      </c>
      <c r="H1303" s="4" t="str">
        <f t="array" aca="1" ref="H1303" ca="1">SUBSTITUTE(SUBSTITUTE(_xlfn.TEXTJOIN("",TRUE,IF(ISERR(MID(C1303,ROW(INDIRECT("1:100")),1)+0),MID(C1303,ROW(INDIRECT("1:100")),1),"")),")",""),"(","")</f>
        <v>Services</v>
      </c>
    </row>
    <row r="1304" spans="1:8" x14ac:dyDescent="0.25">
      <c r="A1304">
        <v>2018</v>
      </c>
      <c r="B1304">
        <v>10</v>
      </c>
      <c r="C1304" t="s">
        <v>28</v>
      </c>
      <c r="D1304">
        <v>9.8409999999999993</v>
      </c>
      <c r="E1304">
        <v>-0.1</v>
      </c>
      <c r="F1304">
        <v>-1.4E-2</v>
      </c>
      <c r="H1304" s="4" t="str">
        <f t="array" aca="1" ref="H1304" ca="1">SUBSTITUTE(SUBSTITUTE(_xlfn.TEXTJOIN("",TRUE,IF(ISERR(MID(C1304,ROW(INDIRECT("1:100")),1)+0),MID(C1304,ROW(INDIRECT("1:100")),1),"")),")",""),"(","")</f>
        <v>Durables</v>
      </c>
    </row>
    <row r="1305" spans="1:8" x14ac:dyDescent="0.25">
      <c r="A1305">
        <v>2018</v>
      </c>
      <c r="B1305">
        <v>10</v>
      </c>
      <c r="C1305" t="s">
        <v>29</v>
      </c>
      <c r="D1305">
        <v>27.542999999999999</v>
      </c>
      <c r="E1305">
        <v>3</v>
      </c>
      <c r="F1305">
        <v>0.83799999999999997</v>
      </c>
      <c r="H1305" s="4" t="str">
        <f t="array" aca="1" ref="H1305" ca="1">SUBSTITUTE(SUBSTITUTE(_xlfn.TEXTJOIN("",TRUE,IF(ISERR(MID(C1305,ROW(INDIRECT("1:100")),1)+0),MID(C1305,ROW(INDIRECT("1:100")),1),"")),")",""),"(","")</f>
        <v>Nondurables</v>
      </c>
    </row>
    <row r="1306" spans="1:8" x14ac:dyDescent="0.25">
      <c r="A1306">
        <v>2018</v>
      </c>
      <c r="B1306">
        <v>10</v>
      </c>
      <c r="C1306" t="s">
        <v>8</v>
      </c>
      <c r="D1306">
        <v>41.773000000000003</v>
      </c>
      <c r="E1306">
        <v>2.8</v>
      </c>
      <c r="F1306">
        <v>1.1779999999999999</v>
      </c>
      <c r="H1306" s="4" t="str">
        <f t="array" aca="1" ref="H1306" ca="1">SUBSTITUTE(SUBSTITUTE(_xlfn.TEXTJOIN("",TRUE,IF(ISERR(MID(C1306,ROW(INDIRECT("1:100")),1)+0),MID(C1306,ROW(INDIRECT("1:100")),1),"")),")",""),"(","")</f>
        <v>Housing</v>
      </c>
    </row>
    <row r="1307" spans="1:8" x14ac:dyDescent="0.25">
      <c r="A1307">
        <v>2018</v>
      </c>
      <c r="B1307">
        <v>10</v>
      </c>
      <c r="C1307" t="s">
        <v>30</v>
      </c>
      <c r="D1307">
        <v>6.6079999999999997</v>
      </c>
      <c r="E1307">
        <v>0.9</v>
      </c>
      <c r="F1307">
        <v>6.3E-2</v>
      </c>
      <c r="H1307" s="4" t="str">
        <f t="array" aca="1" ref="H1307" ca="1">SUBSTITUTE(SUBSTITUTE(_xlfn.TEXTJOIN("",TRUE,IF(ISERR(MID(C1307,ROW(INDIRECT("1:100")),1)+0),MID(C1307,ROW(INDIRECT("1:100")),1),"")),")",""),"(","")</f>
        <v>Education and communication</v>
      </c>
    </row>
    <row r="1308" spans="1:8" x14ac:dyDescent="0.25">
      <c r="A1308">
        <v>2018</v>
      </c>
      <c r="B1308">
        <v>10</v>
      </c>
      <c r="C1308" t="s">
        <v>31</v>
      </c>
      <c r="D1308">
        <v>5.641</v>
      </c>
      <c r="E1308">
        <v>0.2</v>
      </c>
      <c r="F1308">
        <v>8.9999999999999993E-3</v>
      </c>
      <c r="H1308" s="4" t="str">
        <f t="array" aca="1" ref="H1308" ca="1">SUBSTITUTE(SUBSTITUTE(_xlfn.TEXTJOIN("",TRUE,IF(ISERR(MID(C1308,ROW(INDIRECT("1:100")),1)+0),MID(C1308,ROW(INDIRECT("1:100")),1),"")),")",""),"(","")</f>
        <v>Recreation</v>
      </c>
    </row>
    <row r="1309" spans="1:8" x14ac:dyDescent="0.25">
      <c r="A1309">
        <v>2018</v>
      </c>
      <c r="B1309">
        <v>10</v>
      </c>
      <c r="C1309" t="s">
        <v>6</v>
      </c>
      <c r="D1309">
        <v>14.198</v>
      </c>
      <c r="E1309">
        <v>1.2</v>
      </c>
      <c r="F1309">
        <v>0.17599999999999999</v>
      </c>
      <c r="H1309" s="4" t="str">
        <f t="array" aca="1" ref="H1309" ca="1">SUBSTITUTE(SUBSTITUTE(_xlfn.TEXTJOIN("",TRUE,IF(ISERR(MID(C1309,ROW(INDIRECT("1:100")),1)+0),MID(C1309,ROW(INDIRECT("1:100")),1),"")),")",""),"(","")</f>
        <v>Food and beverages</v>
      </c>
    </row>
    <row r="1310" spans="1:8" x14ac:dyDescent="0.25">
      <c r="A1310">
        <v>2018</v>
      </c>
      <c r="B1310">
        <v>10</v>
      </c>
      <c r="C1310" t="s">
        <v>32</v>
      </c>
      <c r="D1310">
        <v>11.544</v>
      </c>
      <c r="E1310">
        <v>1.9</v>
      </c>
      <c r="F1310">
        <v>0.218</v>
      </c>
      <c r="H1310" s="4" t="str">
        <f t="array" aca="1" ref="H1310" ca="1">SUBSTITUTE(SUBSTITUTE(_xlfn.TEXTJOIN("",TRUE,IF(ISERR(MID(C1310,ROW(INDIRECT("1:100")),1)+0),MID(C1310,ROW(INDIRECT("1:100")),1),"")),")",""),"(","")</f>
        <v>Other services</v>
      </c>
    </row>
    <row r="1311" spans="1:8" x14ac:dyDescent="0.25">
      <c r="A1311">
        <v>2018</v>
      </c>
      <c r="B1311">
        <v>10</v>
      </c>
      <c r="C1311" t="s">
        <v>33</v>
      </c>
      <c r="D1311">
        <v>2.4409999999999998</v>
      </c>
      <c r="E1311">
        <v>-0.3</v>
      </c>
      <c r="F1311">
        <v>0</v>
      </c>
      <c r="H1311" s="4" t="str">
        <f t="array" aca="1" ref="H1311" ca="1">SUBSTITUTE(SUBSTITUTE(_xlfn.TEXTJOIN("",TRUE,IF(ISERR(MID(C1311,ROW(INDIRECT("1:100")),1)+0),MID(C1311,ROW(INDIRECT("1:100")),1),"")),")",""),"(","")</f>
        <v>Apparel less footwear</v>
      </c>
    </row>
    <row r="1312" spans="1:8" x14ac:dyDescent="0.25">
      <c r="A1312">
        <v>2018</v>
      </c>
      <c r="B1312">
        <v>10</v>
      </c>
      <c r="C1312" t="s">
        <v>34</v>
      </c>
      <c r="D1312">
        <v>4.6740000000000004</v>
      </c>
      <c r="E1312">
        <v>1.5</v>
      </c>
      <c r="F1312">
        <v>7.1999999999999995E-2</v>
      </c>
      <c r="H1312" s="4" t="str">
        <f t="array" aca="1" ref="H1312" ca="1">SUBSTITUTE(SUBSTITUTE(_xlfn.TEXTJOIN("",TRUE,IF(ISERR(MID(C1312,ROW(INDIRECT("1:100")),1)+0),MID(C1312,ROW(INDIRECT("1:100")),1),"")),")",""),"(","")</f>
        <v>Fuels and utilities</v>
      </c>
    </row>
    <row r="1313" spans="1:8" x14ac:dyDescent="0.25">
      <c r="A1313">
        <v>2018</v>
      </c>
      <c r="B1313">
        <v>10</v>
      </c>
      <c r="C1313" t="s">
        <v>11</v>
      </c>
      <c r="D1313">
        <v>8.5920000000000005</v>
      </c>
      <c r="E1313">
        <v>1.7</v>
      </c>
      <c r="F1313">
        <v>0.14799999999999999</v>
      </c>
      <c r="H1313" s="4" t="str">
        <f t="array" aca="1" ref="H1313" ca="1">SUBSTITUTE(SUBSTITUTE(_xlfn.TEXTJOIN("",TRUE,IF(ISERR(MID(C1313,ROW(INDIRECT("1:100")),1)+0),MID(C1313,ROW(INDIRECT("1:100")),1),"")),")",""),"(","")</f>
        <v>Medical care</v>
      </c>
    </row>
    <row r="1314" spans="1:8" x14ac:dyDescent="0.25">
      <c r="A1314">
        <v>2018</v>
      </c>
      <c r="B1314">
        <v>10</v>
      </c>
      <c r="C1314" t="s">
        <v>7</v>
      </c>
      <c r="D1314">
        <v>16.896000000000001</v>
      </c>
      <c r="E1314">
        <v>5.4</v>
      </c>
      <c r="F1314">
        <v>0.89500000000000002</v>
      </c>
      <c r="H1314" s="4" t="str">
        <f t="array" aca="1" ref="H1314" ca="1">SUBSTITUTE(SUBSTITUTE(_xlfn.TEXTJOIN("",TRUE,IF(ISERR(MID(C1314,ROW(INDIRECT("1:100")),1)+0),MID(C1314,ROW(INDIRECT("1:100")),1),"")),")",""),"(","")</f>
        <v>Transportation</v>
      </c>
    </row>
    <row r="1315" spans="1:8" x14ac:dyDescent="0.25">
      <c r="A1315">
        <v>2018</v>
      </c>
      <c r="B1315">
        <v>10</v>
      </c>
      <c r="C1315" t="s">
        <v>35</v>
      </c>
      <c r="D1315">
        <v>9.3810000000000002</v>
      </c>
      <c r="E1315">
        <v>0.5</v>
      </c>
      <c r="F1315">
        <v>0.05</v>
      </c>
      <c r="H1315" s="4" t="str">
        <f t="array" aca="1" ref="H1315" ca="1">SUBSTITUTE(SUBSTITUTE(_xlfn.TEXTJOIN("",TRUE,IF(ISERR(MID(C1315,ROW(INDIRECT("1:100")),1)+0),MID(C1315,ROW(INDIRECT("1:100")),1),"")),")",""),"(","")</f>
        <v>Utilities and public transportation</v>
      </c>
    </row>
    <row r="1316" spans="1:8" x14ac:dyDescent="0.25">
      <c r="A1316">
        <v>2018</v>
      </c>
      <c r="B1316">
        <v>10</v>
      </c>
      <c r="C1316" t="s">
        <v>36</v>
      </c>
      <c r="D1316">
        <v>4.2060000000000004</v>
      </c>
      <c r="E1316">
        <v>1.5</v>
      </c>
      <c r="F1316">
        <v>6.5000000000000002E-2</v>
      </c>
      <c r="H1316" s="4" t="str">
        <f t="array" aca="1" ref="H1316" ca="1">SUBSTITUTE(SUBSTITUTE(_xlfn.TEXTJOIN("",TRUE,IF(ISERR(MID(C1316,ROW(INDIRECT("1:100")),1)+0),MID(C1316,ROW(INDIRECT("1:100")),1),"")),")",""),"(","")</f>
        <v>Household furnishings and operations</v>
      </c>
    </row>
    <row r="1317" spans="1:8" x14ac:dyDescent="0.25">
      <c r="A1317">
        <v>2018</v>
      </c>
      <c r="B1317">
        <v>10</v>
      </c>
      <c r="C1317" t="s">
        <v>12</v>
      </c>
      <c r="D1317">
        <v>3.177</v>
      </c>
      <c r="E1317">
        <v>1.9</v>
      </c>
      <c r="F1317">
        <v>5.8999999999999997E-2</v>
      </c>
      <c r="H1317" s="4" t="str">
        <f t="array" aca="1" ref="H1317" ca="1">SUBSTITUTE(SUBSTITUTE(_xlfn.TEXTJOIN("",TRUE,IF(ISERR(MID(C1317,ROW(INDIRECT("1:100")),1)+0),MID(C1317,ROW(INDIRECT("1:100")),1),"")),")",""),"(","")</f>
        <v>Other goods and services</v>
      </c>
    </row>
    <row r="1318" spans="1:8" x14ac:dyDescent="0.25">
      <c r="A1318">
        <v>2018</v>
      </c>
      <c r="B1318">
        <v>11</v>
      </c>
      <c r="C1318" t="s">
        <v>14</v>
      </c>
      <c r="D1318">
        <v>100</v>
      </c>
      <c r="E1318">
        <v>2.2000000000000002</v>
      </c>
      <c r="H1318" s="4" t="str">
        <f t="array" aca="1" ref="H1318" ca="1">SUBSTITUTE(SUBSTITUTE(_xlfn.TEXTJOIN("",TRUE,IF(ISERR(MID(C1318,ROW(INDIRECT("1:100")),1)+0),MID(C1318,ROW(INDIRECT("1:100")),1),"")),")",""),"(","")</f>
        <v>All items</v>
      </c>
    </row>
    <row r="1319" spans="1:8" x14ac:dyDescent="0.25">
      <c r="A1319">
        <v>2018</v>
      </c>
      <c r="B1319">
        <v>11</v>
      </c>
      <c r="C1319" t="s">
        <v>15</v>
      </c>
      <c r="D1319">
        <v>13.21</v>
      </c>
      <c r="E1319">
        <v>1.4</v>
      </c>
      <c r="F1319">
        <v>0.187</v>
      </c>
      <c r="H1319" s="4" t="str">
        <f t="array" aca="1" ref="H1319" ca="1">SUBSTITUTE(SUBSTITUTE(_xlfn.TEXTJOIN("",TRUE,IF(ISERR(MID(C1319,ROW(INDIRECT("1:100")),1)+0),MID(C1319,ROW(INDIRECT("1:100")),1),"")),")",""),"(","")</f>
        <v>Food</v>
      </c>
    </row>
    <row r="1320" spans="1:8" x14ac:dyDescent="0.25">
      <c r="A1320">
        <v>2018</v>
      </c>
      <c r="B1320">
        <v>11</v>
      </c>
      <c r="C1320" t="s">
        <v>16</v>
      </c>
      <c r="D1320">
        <v>8.0030000000000001</v>
      </c>
      <c r="E1320">
        <v>3.1</v>
      </c>
      <c r="F1320">
        <v>0.23899999999999999</v>
      </c>
      <c r="H1320" s="4" t="str">
        <f t="array" aca="1" ref="H1320" ca="1">SUBSTITUTE(SUBSTITUTE(_xlfn.TEXTJOIN("",TRUE,IF(ISERR(MID(C1320,ROW(INDIRECT("1:100")),1)+0),MID(C1320,ROW(INDIRECT("1:100")),1),"")),")",""),"(","")</f>
        <v>Energy</v>
      </c>
    </row>
    <row r="1321" spans="1:8" x14ac:dyDescent="0.25">
      <c r="A1321">
        <v>2018</v>
      </c>
      <c r="B1321">
        <v>11</v>
      </c>
      <c r="C1321" t="s">
        <v>17</v>
      </c>
      <c r="D1321">
        <v>78.787999999999997</v>
      </c>
      <c r="E1321">
        <v>2.2000000000000002</v>
      </c>
      <c r="F1321">
        <v>1.75</v>
      </c>
      <c r="H1321" s="4" t="str">
        <f t="array" aca="1" ref="H1321" ca="1">SUBSTITUTE(SUBSTITUTE(_xlfn.TEXTJOIN("",TRUE,IF(ISERR(MID(C1321,ROW(INDIRECT("1:100")),1)+0),MID(C1321,ROW(INDIRECT("1:100")),1),"")),")",""),"(","")</f>
        <v>All items less food and energy</v>
      </c>
    </row>
    <row r="1322" spans="1:8" x14ac:dyDescent="0.25">
      <c r="A1322">
        <v>2018</v>
      </c>
      <c r="B1322">
        <v>11</v>
      </c>
      <c r="C1322" t="s">
        <v>18</v>
      </c>
      <c r="H1322" s="4" t="str">
        <f t="array" aca="1" ref="H1322" ca="1">SUBSTITUTE(SUBSTITUTE(_xlfn.TEXTJOIN("",TRUE,IF(ISERR(MID(C1322,ROW(INDIRECT("1:100")),1)+0),MID(C1322,ROW(INDIRECT("1:100")),1),"")),")",""),"(","")</f>
        <v>Special aggregate indexes</v>
      </c>
    </row>
    <row r="1323" spans="1:8" x14ac:dyDescent="0.25">
      <c r="A1323">
        <v>2018</v>
      </c>
      <c r="B1323">
        <v>11</v>
      </c>
      <c r="C1323" t="s">
        <v>19</v>
      </c>
      <c r="D1323">
        <v>86.79</v>
      </c>
      <c r="E1323">
        <v>2.2999999999999998</v>
      </c>
      <c r="F1323">
        <v>1.9890000000000001</v>
      </c>
      <c r="H1323" s="4" t="str">
        <f t="array" aca="1" ref="H1323" ca="1">SUBSTITUTE(SUBSTITUTE(_xlfn.TEXTJOIN("",TRUE,IF(ISERR(MID(C1323,ROW(INDIRECT("1:100")),1)+0),MID(C1323,ROW(INDIRECT("1:100")),1),"")),")",""),"(","")</f>
        <v>All items less food</v>
      </c>
    </row>
    <row r="1324" spans="1:8" x14ac:dyDescent="0.25">
      <c r="A1324">
        <v>2018</v>
      </c>
      <c r="B1324">
        <v>11</v>
      </c>
      <c r="C1324" t="s">
        <v>20</v>
      </c>
      <c r="D1324">
        <v>67.093000000000004</v>
      </c>
      <c r="E1324">
        <v>1.6</v>
      </c>
      <c r="F1324">
        <v>1.1120000000000001</v>
      </c>
      <c r="H1324" s="4" t="str">
        <f t="array" aca="1" ref="H1324" ca="1">SUBSTITUTE(SUBSTITUTE(_xlfn.TEXTJOIN("",TRUE,IF(ISERR(MID(C1324,ROW(INDIRECT("1:100")),1)+0),MID(C1324,ROW(INDIRECT("1:100")),1),"")),")",""),"(","")</f>
        <v>All items less shelter</v>
      </c>
    </row>
    <row r="1325" spans="1:8" x14ac:dyDescent="0.25">
      <c r="A1325">
        <v>2018</v>
      </c>
      <c r="B1325">
        <v>11</v>
      </c>
      <c r="C1325" t="s">
        <v>21</v>
      </c>
      <c r="D1325">
        <v>53.883000000000003</v>
      </c>
      <c r="E1325">
        <v>1.7</v>
      </c>
      <c r="F1325">
        <v>0.92500000000000004</v>
      </c>
      <c r="H1325" s="4" t="str">
        <f t="array" aca="1" ref="H1325" ca="1">SUBSTITUTE(SUBSTITUTE(_xlfn.TEXTJOIN("",TRUE,IF(ISERR(MID(C1325,ROW(INDIRECT("1:100")),1)+0),MID(C1325,ROW(INDIRECT("1:100")),1),"")),")",""),"(","")</f>
        <v>All items less food and shelter</v>
      </c>
    </row>
    <row r="1326" spans="1:8" x14ac:dyDescent="0.25">
      <c r="A1326">
        <v>2018</v>
      </c>
      <c r="B1326">
        <v>11</v>
      </c>
      <c r="C1326" t="s">
        <v>22</v>
      </c>
      <c r="D1326">
        <v>45.88</v>
      </c>
      <c r="E1326">
        <v>1.5</v>
      </c>
      <c r="F1326">
        <v>0.68500000000000005</v>
      </c>
      <c r="H1326" s="4" t="str">
        <f t="array" aca="1" ref="H1326" ca="1">SUBSTITUTE(SUBSTITUTE(_xlfn.TEXTJOIN("",TRUE,IF(ISERR(MID(C1326,ROW(INDIRECT("1:100")),1)+0),MID(C1326,ROW(INDIRECT("1:100")),1),"")),")",""),"(","")</f>
        <v>All items less food, shelter, and energy</v>
      </c>
    </row>
    <row r="1327" spans="1:8" x14ac:dyDescent="0.25">
      <c r="A1327">
        <v>2018</v>
      </c>
      <c r="B1327">
        <v>11</v>
      </c>
      <c r="C1327" t="s">
        <v>23</v>
      </c>
      <c r="D1327">
        <v>43.533000000000001</v>
      </c>
      <c r="E1327">
        <v>1.4</v>
      </c>
      <c r="F1327">
        <v>0.63500000000000001</v>
      </c>
      <c r="H1327" s="4" t="str">
        <f t="array" aca="1" ref="H1327" ca="1">SUBSTITUTE(SUBSTITUTE(_xlfn.TEXTJOIN("",TRUE,IF(ISERR(MID(C1327,ROW(INDIRECT("1:100")),1)+0),MID(C1327,ROW(INDIRECT("1:100")),1),"")),")",""),"(","")</f>
        <v>All items less food, shelter, energy, and used cars and trucks</v>
      </c>
    </row>
    <row r="1328" spans="1:8" x14ac:dyDescent="0.25">
      <c r="A1328">
        <v>2018</v>
      </c>
      <c r="B1328">
        <v>11</v>
      </c>
      <c r="C1328" t="s">
        <v>24</v>
      </c>
      <c r="D1328">
        <v>91.412999999999997</v>
      </c>
      <c r="E1328">
        <v>2.2000000000000002</v>
      </c>
      <c r="F1328">
        <v>2.0009999999999999</v>
      </c>
      <c r="H1328" s="4" t="str">
        <f t="array" aca="1" ref="H1328" ca="1">SUBSTITUTE(SUBSTITUTE(_xlfn.TEXTJOIN("",TRUE,IF(ISERR(MID(C1328,ROW(INDIRECT("1:100")),1)+0),MID(C1328,ROW(INDIRECT("1:100")),1),"")),")",""),"(","")</f>
        <v>All items less medical care</v>
      </c>
    </row>
    <row r="1329" spans="1:8" x14ac:dyDescent="0.25">
      <c r="A1329">
        <v>2018</v>
      </c>
      <c r="B1329">
        <v>11</v>
      </c>
      <c r="C1329" t="s">
        <v>25</v>
      </c>
      <c r="D1329">
        <v>91.997</v>
      </c>
      <c r="E1329">
        <v>2.1</v>
      </c>
      <c r="F1329">
        <v>1.9370000000000001</v>
      </c>
      <c r="H1329" s="4" t="str">
        <f t="array" aca="1" ref="H1329" ca="1">SUBSTITUTE(SUBSTITUTE(_xlfn.TEXTJOIN("",TRUE,IF(ISERR(MID(C1329,ROW(INDIRECT("1:100")),1)+0),MID(C1329,ROW(INDIRECT("1:100")),1),"")),")",""),"(","")</f>
        <v>All items less energy</v>
      </c>
    </row>
    <row r="1330" spans="1:8" x14ac:dyDescent="0.25">
      <c r="A1330">
        <v>2018</v>
      </c>
      <c r="B1330">
        <v>11</v>
      </c>
      <c r="C1330" t="s">
        <v>26</v>
      </c>
      <c r="D1330">
        <v>37.417999999999999</v>
      </c>
      <c r="E1330">
        <v>1.2</v>
      </c>
      <c r="F1330">
        <v>0.46700000000000003</v>
      </c>
      <c r="H1330" s="4" t="str">
        <f t="array" aca="1" ref="H1330" ca="1">SUBSTITUTE(SUBSTITUTE(_xlfn.TEXTJOIN("",TRUE,IF(ISERR(MID(C1330,ROW(INDIRECT("1:100")),1)+0),MID(C1330,ROW(INDIRECT("1:100")),1),"")),")",""),"(","")</f>
        <v>Commodities</v>
      </c>
    </row>
    <row r="1331" spans="1:8" x14ac:dyDescent="0.25">
      <c r="A1331">
        <v>2018</v>
      </c>
      <c r="B1331">
        <v>11</v>
      </c>
      <c r="C1331" t="s">
        <v>27</v>
      </c>
      <c r="D1331">
        <v>62.582000000000001</v>
      </c>
      <c r="E1331">
        <v>2.7</v>
      </c>
      <c r="F1331">
        <v>1.7090000000000001</v>
      </c>
      <c r="H1331" s="4" t="str">
        <f t="array" aca="1" ref="H1331" ca="1">SUBSTITUTE(SUBSTITUTE(_xlfn.TEXTJOIN("",TRUE,IF(ISERR(MID(C1331,ROW(INDIRECT("1:100")),1)+0),MID(C1331,ROW(INDIRECT("1:100")),1),"")),")",""),"(","")</f>
        <v>Services</v>
      </c>
    </row>
    <row r="1332" spans="1:8" x14ac:dyDescent="0.25">
      <c r="A1332">
        <v>2018</v>
      </c>
      <c r="B1332">
        <v>11</v>
      </c>
      <c r="C1332" t="s">
        <v>28</v>
      </c>
      <c r="D1332">
        <v>9.8460000000000001</v>
      </c>
      <c r="E1332">
        <v>0.2</v>
      </c>
      <c r="F1332">
        <v>1.4999999999999999E-2</v>
      </c>
      <c r="H1332" s="4" t="str">
        <f t="array" aca="1" ref="H1332" ca="1">SUBSTITUTE(SUBSTITUTE(_xlfn.TEXTJOIN("",TRUE,IF(ISERR(MID(C1332,ROW(INDIRECT("1:100")),1)+0),MID(C1332,ROW(INDIRECT("1:100")),1),"")),")",""),"(","")</f>
        <v>Durables</v>
      </c>
    </row>
    <row r="1333" spans="1:8" x14ac:dyDescent="0.25">
      <c r="A1333">
        <v>2018</v>
      </c>
      <c r="B1333">
        <v>11</v>
      </c>
      <c r="C1333" t="s">
        <v>29</v>
      </c>
      <c r="D1333">
        <v>27.571999999999999</v>
      </c>
      <c r="E1333">
        <v>1.6</v>
      </c>
      <c r="F1333">
        <v>0.45200000000000001</v>
      </c>
      <c r="H1333" s="4" t="str">
        <f t="array" aca="1" ref="H1333" ca="1">SUBSTITUTE(SUBSTITUTE(_xlfn.TEXTJOIN("",TRUE,IF(ISERR(MID(C1333,ROW(INDIRECT("1:100")),1)+0),MID(C1333,ROW(INDIRECT("1:100")),1),"")),")",""),"(","")</f>
        <v>Nondurables</v>
      </c>
    </row>
    <row r="1334" spans="1:8" x14ac:dyDescent="0.25">
      <c r="A1334">
        <v>2018</v>
      </c>
      <c r="B1334">
        <v>11</v>
      </c>
      <c r="C1334" t="s">
        <v>8</v>
      </c>
      <c r="D1334">
        <v>41.752000000000002</v>
      </c>
      <c r="E1334">
        <v>2.9</v>
      </c>
      <c r="F1334">
        <v>1.2030000000000001</v>
      </c>
      <c r="H1334" s="4" t="str">
        <f t="array" aca="1" ref="H1334" ca="1">SUBSTITUTE(SUBSTITUTE(_xlfn.TEXTJOIN("",TRUE,IF(ISERR(MID(C1334,ROW(INDIRECT("1:100")),1)+0),MID(C1334,ROW(INDIRECT("1:100")),1),"")),")",""),"(","")</f>
        <v>Housing</v>
      </c>
    </row>
    <row r="1335" spans="1:8" x14ac:dyDescent="0.25">
      <c r="A1335">
        <v>2018</v>
      </c>
      <c r="B1335">
        <v>11</v>
      </c>
      <c r="C1335" t="s">
        <v>30</v>
      </c>
      <c r="D1335">
        <v>6.5919999999999996</v>
      </c>
      <c r="E1335">
        <v>0.2</v>
      </c>
      <c r="F1335">
        <v>1.2999999999999999E-2</v>
      </c>
      <c r="H1335" s="4" t="str">
        <f t="array" aca="1" ref="H1335" ca="1">SUBSTITUTE(SUBSTITUTE(_xlfn.TEXTJOIN("",TRUE,IF(ISERR(MID(C1335,ROW(INDIRECT("1:100")),1)+0),MID(C1335,ROW(INDIRECT("1:100")),1),"")),")",""),"(","")</f>
        <v>Education and communication</v>
      </c>
    </row>
    <row r="1336" spans="1:8" x14ac:dyDescent="0.25">
      <c r="A1336">
        <v>2018</v>
      </c>
      <c r="B1336">
        <v>11</v>
      </c>
      <c r="C1336" t="s">
        <v>31</v>
      </c>
      <c r="D1336">
        <v>5.617</v>
      </c>
      <c r="E1336">
        <v>0.6</v>
      </c>
      <c r="F1336">
        <v>3.5000000000000003E-2</v>
      </c>
      <c r="H1336" s="4" t="str">
        <f t="array" aca="1" ref="H1336" ca="1">SUBSTITUTE(SUBSTITUTE(_xlfn.TEXTJOIN("",TRUE,IF(ISERR(MID(C1336,ROW(INDIRECT("1:100")),1)+0),MID(C1336,ROW(INDIRECT("1:100")),1),"")),")",""),"(","")</f>
        <v>Recreation</v>
      </c>
    </row>
    <row r="1337" spans="1:8" x14ac:dyDescent="0.25">
      <c r="A1337">
        <v>2018</v>
      </c>
      <c r="B1337">
        <v>11</v>
      </c>
      <c r="C1337" t="s">
        <v>6</v>
      </c>
      <c r="D1337">
        <v>14.175000000000001</v>
      </c>
      <c r="E1337">
        <v>1.4</v>
      </c>
      <c r="F1337">
        <v>0.20399999999999999</v>
      </c>
      <c r="H1337" s="4" t="str">
        <f t="array" aca="1" ref="H1337" ca="1">SUBSTITUTE(SUBSTITUTE(_xlfn.TEXTJOIN("",TRUE,IF(ISERR(MID(C1337,ROW(INDIRECT("1:100")),1)+0),MID(C1337,ROW(INDIRECT("1:100")),1),"")),")",""),"(","")</f>
        <v>Food and beverages</v>
      </c>
    </row>
    <row r="1338" spans="1:8" x14ac:dyDescent="0.25">
      <c r="A1338">
        <v>2018</v>
      </c>
      <c r="B1338">
        <v>11</v>
      </c>
      <c r="C1338" t="s">
        <v>32</v>
      </c>
      <c r="D1338">
        <v>11.526999999999999</v>
      </c>
      <c r="E1338">
        <v>1.7</v>
      </c>
      <c r="F1338">
        <v>0.19700000000000001</v>
      </c>
      <c r="H1338" s="4" t="str">
        <f t="array" aca="1" ref="H1338" ca="1">SUBSTITUTE(SUBSTITUTE(_xlfn.TEXTJOIN("",TRUE,IF(ISERR(MID(C1338,ROW(INDIRECT("1:100")),1)+0),MID(C1338,ROW(INDIRECT("1:100")),1),"")),")",""),"(","")</f>
        <v>Other services</v>
      </c>
    </row>
    <row r="1339" spans="1:8" x14ac:dyDescent="0.25">
      <c r="A1339">
        <v>2018</v>
      </c>
      <c r="B1339">
        <v>11</v>
      </c>
      <c r="C1339" t="s">
        <v>33</v>
      </c>
      <c r="D1339">
        <v>2.4750000000000001</v>
      </c>
      <c r="E1339">
        <v>-0.4</v>
      </c>
      <c r="F1339">
        <v>-5.0000000000000001E-3</v>
      </c>
      <c r="H1339" s="4" t="str">
        <f t="array" aca="1" ref="H1339" ca="1">SUBSTITUTE(SUBSTITUTE(_xlfn.TEXTJOIN("",TRUE,IF(ISERR(MID(C1339,ROW(INDIRECT("1:100")),1)+0),MID(C1339,ROW(INDIRECT("1:100")),1),"")),")",""),"(","")</f>
        <v>Apparel less footwear</v>
      </c>
    </row>
    <row r="1340" spans="1:8" x14ac:dyDescent="0.25">
      <c r="A1340">
        <v>2018</v>
      </c>
      <c r="B1340">
        <v>11</v>
      </c>
      <c r="C1340" t="s">
        <v>34</v>
      </c>
      <c r="D1340">
        <v>4.6230000000000002</v>
      </c>
      <c r="E1340">
        <v>1.4</v>
      </c>
      <c r="F1340">
        <v>6.6000000000000003E-2</v>
      </c>
      <c r="H1340" s="4" t="str">
        <f t="array" aca="1" ref="H1340" ca="1">SUBSTITUTE(SUBSTITUTE(_xlfn.TEXTJOIN("",TRUE,IF(ISERR(MID(C1340,ROW(INDIRECT("1:100")),1)+0),MID(C1340,ROW(INDIRECT("1:100")),1),"")),")",""),"(","")</f>
        <v>Fuels and utilities</v>
      </c>
    </row>
    <row r="1341" spans="1:8" x14ac:dyDescent="0.25">
      <c r="A1341">
        <v>2018</v>
      </c>
      <c r="B1341">
        <v>11</v>
      </c>
      <c r="C1341" t="s">
        <v>11</v>
      </c>
      <c r="D1341">
        <v>8.5869999999999997</v>
      </c>
      <c r="E1341">
        <v>2</v>
      </c>
      <c r="F1341">
        <v>0.17599999999999999</v>
      </c>
      <c r="H1341" s="4" t="str">
        <f t="array" aca="1" ref="H1341" ca="1">SUBSTITUTE(SUBSTITUTE(_xlfn.TEXTJOIN("",TRUE,IF(ISERR(MID(C1341,ROW(INDIRECT("1:100")),1)+0),MID(C1341,ROW(INDIRECT("1:100")),1),"")),")",""),"(","")</f>
        <v>Medical care</v>
      </c>
    </row>
    <row r="1342" spans="1:8" x14ac:dyDescent="0.25">
      <c r="A1342">
        <v>2018</v>
      </c>
      <c r="B1342">
        <v>11</v>
      </c>
      <c r="C1342" t="s">
        <v>7</v>
      </c>
      <c r="D1342">
        <v>16.951000000000001</v>
      </c>
      <c r="E1342">
        <v>2.9</v>
      </c>
      <c r="F1342">
        <v>0.48599999999999999</v>
      </c>
      <c r="H1342" s="4" t="str">
        <f t="array" aca="1" ref="H1342" ca="1">SUBSTITUTE(SUBSTITUTE(_xlfn.TEXTJOIN("",TRUE,IF(ISERR(MID(C1342,ROW(INDIRECT("1:100")),1)+0),MID(C1342,ROW(INDIRECT("1:100")),1),"")),")",""),"(","")</f>
        <v>Transportation</v>
      </c>
    </row>
    <row r="1343" spans="1:8" x14ac:dyDescent="0.25">
      <c r="A1343">
        <v>2018</v>
      </c>
      <c r="B1343">
        <v>11</v>
      </c>
      <c r="C1343" t="s">
        <v>35</v>
      </c>
      <c r="D1343">
        <v>9.3219999999999992</v>
      </c>
      <c r="E1343">
        <v>0.1</v>
      </c>
      <c r="F1343">
        <v>6.0000000000000001E-3</v>
      </c>
      <c r="H1343" s="4" t="str">
        <f t="array" aca="1" ref="H1343" ca="1">SUBSTITUTE(SUBSTITUTE(_xlfn.TEXTJOIN("",TRUE,IF(ISERR(MID(C1343,ROW(INDIRECT("1:100")),1)+0),MID(C1343,ROW(INDIRECT("1:100")),1),"")),")",""),"(","")</f>
        <v>Utilities and public transportation</v>
      </c>
    </row>
    <row r="1344" spans="1:8" x14ac:dyDescent="0.25">
      <c r="A1344">
        <v>2018</v>
      </c>
      <c r="B1344">
        <v>11</v>
      </c>
      <c r="C1344" t="s">
        <v>36</v>
      </c>
      <c r="D1344">
        <v>4.2210000000000001</v>
      </c>
      <c r="E1344">
        <v>1.7</v>
      </c>
      <c r="F1344">
        <v>7.1999999999999995E-2</v>
      </c>
      <c r="H1344" s="4" t="str">
        <f t="array" aca="1" ref="H1344" ca="1">SUBSTITUTE(SUBSTITUTE(_xlfn.TEXTJOIN("",TRUE,IF(ISERR(MID(C1344,ROW(INDIRECT("1:100")),1)+0),MID(C1344,ROW(INDIRECT("1:100")),1),"")),")",""),"(","")</f>
        <v>Household furnishings and operations</v>
      </c>
    </row>
    <row r="1345" spans="1:8" x14ac:dyDescent="0.25">
      <c r="A1345">
        <v>2018</v>
      </c>
      <c r="B1345">
        <v>11</v>
      </c>
      <c r="C1345" t="s">
        <v>12</v>
      </c>
      <c r="D1345">
        <v>3.1779999999999999</v>
      </c>
      <c r="E1345">
        <v>2.1</v>
      </c>
      <c r="F1345">
        <v>6.7000000000000004E-2</v>
      </c>
      <c r="H1345" s="4" t="str">
        <f t="array" aca="1" ref="H1345" ca="1">SUBSTITUTE(SUBSTITUTE(_xlfn.TEXTJOIN("",TRUE,IF(ISERR(MID(C1345,ROW(INDIRECT("1:100")),1)+0),MID(C1345,ROW(INDIRECT("1:100")),1),"")),")",""),"(","")</f>
        <v>Other goods and services</v>
      </c>
    </row>
    <row r="1346" spans="1:8" x14ac:dyDescent="0.25">
      <c r="A1346">
        <v>2018</v>
      </c>
      <c r="B1346">
        <v>12</v>
      </c>
      <c r="C1346" t="s">
        <v>14</v>
      </c>
      <c r="D1346">
        <v>100</v>
      </c>
      <c r="E1346">
        <v>1.9</v>
      </c>
      <c r="H1346" s="4" t="str">
        <f t="array" aca="1" ref="H1346" ca="1">SUBSTITUTE(SUBSTITUTE(_xlfn.TEXTJOIN("",TRUE,IF(ISERR(MID(C1346,ROW(INDIRECT("1:100")),1)+0),MID(C1346,ROW(INDIRECT("1:100")),1),"")),")",""),"(","")</f>
        <v>All items</v>
      </c>
    </row>
    <row r="1347" spans="1:8" x14ac:dyDescent="0.25">
      <c r="A1347">
        <v>2018</v>
      </c>
      <c r="B1347">
        <v>12</v>
      </c>
      <c r="C1347" t="s">
        <v>15</v>
      </c>
      <c r="D1347">
        <v>13.255000000000001</v>
      </c>
      <c r="E1347">
        <v>1.6</v>
      </c>
      <c r="F1347">
        <v>0.21199999999999999</v>
      </c>
      <c r="H1347" s="4" t="str">
        <f t="array" aca="1" ref="H1347" ca="1">SUBSTITUTE(SUBSTITUTE(_xlfn.TEXTJOIN("",TRUE,IF(ISERR(MID(C1347,ROW(INDIRECT("1:100")),1)+0),MID(C1347,ROW(INDIRECT("1:100")),1),"")),")",""),"(","")</f>
        <v>Food</v>
      </c>
    </row>
    <row r="1348" spans="1:8" x14ac:dyDescent="0.25">
      <c r="A1348">
        <v>2018</v>
      </c>
      <c r="B1348">
        <v>12</v>
      </c>
      <c r="C1348" t="s">
        <v>16</v>
      </c>
      <c r="D1348">
        <v>7.6790000000000003</v>
      </c>
      <c r="E1348">
        <v>-0.3</v>
      </c>
      <c r="F1348">
        <v>-2.5000000000000001E-2</v>
      </c>
      <c r="H1348" s="4" t="str">
        <f t="array" aca="1" ref="H1348" ca="1">SUBSTITUTE(SUBSTITUTE(_xlfn.TEXTJOIN("",TRUE,IF(ISERR(MID(C1348,ROW(INDIRECT("1:100")),1)+0),MID(C1348,ROW(INDIRECT("1:100")),1),"")),")",""),"(","")</f>
        <v>Energy</v>
      </c>
    </row>
    <row r="1349" spans="1:8" x14ac:dyDescent="0.25">
      <c r="A1349">
        <v>2018</v>
      </c>
      <c r="B1349">
        <v>12</v>
      </c>
      <c r="C1349" t="s">
        <v>17</v>
      </c>
      <c r="D1349">
        <v>79.064999999999998</v>
      </c>
      <c r="E1349">
        <v>2.2000000000000002</v>
      </c>
      <c r="F1349">
        <v>1.724</v>
      </c>
      <c r="H1349" s="4" t="str">
        <f t="array" aca="1" ref="H1349" ca="1">SUBSTITUTE(SUBSTITUTE(_xlfn.TEXTJOIN("",TRUE,IF(ISERR(MID(C1349,ROW(INDIRECT("1:100")),1)+0),MID(C1349,ROW(INDIRECT("1:100")),1),"")),")",""),"(","")</f>
        <v>All items less food and energy</v>
      </c>
    </row>
    <row r="1350" spans="1:8" x14ac:dyDescent="0.25">
      <c r="A1350">
        <v>2018</v>
      </c>
      <c r="B1350">
        <v>12</v>
      </c>
      <c r="C1350" t="s">
        <v>18</v>
      </c>
      <c r="H1350" s="4" t="str">
        <f t="array" aca="1" ref="H1350" ca="1">SUBSTITUTE(SUBSTITUTE(_xlfn.TEXTJOIN("",TRUE,IF(ISERR(MID(C1350,ROW(INDIRECT("1:100")),1)+0),MID(C1350,ROW(INDIRECT("1:100")),1),"")),")",""),"(","")</f>
        <v>Special aggregate indexes</v>
      </c>
    </row>
    <row r="1351" spans="1:8" x14ac:dyDescent="0.25">
      <c r="A1351">
        <v>2018</v>
      </c>
      <c r="B1351">
        <v>12</v>
      </c>
      <c r="C1351" t="s">
        <v>19</v>
      </c>
      <c r="D1351">
        <v>86.745000000000005</v>
      </c>
      <c r="E1351">
        <v>2</v>
      </c>
      <c r="F1351">
        <v>1.6990000000000001</v>
      </c>
      <c r="H1351" s="4" t="str">
        <f t="array" aca="1" ref="H1351" ca="1">SUBSTITUTE(SUBSTITUTE(_xlfn.TEXTJOIN("",TRUE,IF(ISERR(MID(C1351,ROW(INDIRECT("1:100")),1)+0),MID(C1351,ROW(INDIRECT("1:100")),1),"")),")",""),"(","")</f>
        <v>All items less food</v>
      </c>
    </row>
    <row r="1352" spans="1:8" x14ac:dyDescent="0.25">
      <c r="A1352">
        <v>2018</v>
      </c>
      <c r="B1352">
        <v>12</v>
      </c>
      <c r="C1352" t="s">
        <v>20</v>
      </c>
      <c r="D1352">
        <v>66.921999999999997</v>
      </c>
      <c r="E1352">
        <v>1.3</v>
      </c>
      <c r="F1352">
        <v>0.85899999999999999</v>
      </c>
      <c r="H1352" s="4" t="str">
        <f t="array" aca="1" ref="H1352" ca="1">SUBSTITUTE(SUBSTITUTE(_xlfn.TEXTJOIN("",TRUE,IF(ISERR(MID(C1352,ROW(INDIRECT("1:100")),1)+0),MID(C1352,ROW(INDIRECT("1:100")),1),"")),")",""),"(","")</f>
        <v>All items less shelter</v>
      </c>
    </row>
    <row r="1353" spans="1:8" x14ac:dyDescent="0.25">
      <c r="A1353">
        <v>2018</v>
      </c>
      <c r="B1353">
        <v>12</v>
      </c>
      <c r="C1353" t="s">
        <v>21</v>
      </c>
      <c r="D1353">
        <v>53.665999999999997</v>
      </c>
      <c r="E1353">
        <v>1.2</v>
      </c>
      <c r="F1353">
        <v>0.64700000000000002</v>
      </c>
      <c r="H1353" s="4" t="str">
        <f t="array" aca="1" ref="H1353" ca="1">SUBSTITUTE(SUBSTITUTE(_xlfn.TEXTJOIN("",TRUE,IF(ISERR(MID(C1353,ROW(INDIRECT("1:100")),1)+0),MID(C1353,ROW(INDIRECT("1:100")),1),"")),")",""),"(","")</f>
        <v>All items less food and shelter</v>
      </c>
    </row>
    <row r="1354" spans="1:8" x14ac:dyDescent="0.25">
      <c r="A1354">
        <v>2018</v>
      </c>
      <c r="B1354">
        <v>12</v>
      </c>
      <c r="C1354" t="s">
        <v>22</v>
      </c>
      <c r="D1354">
        <v>45.987000000000002</v>
      </c>
      <c r="E1354">
        <v>1.5</v>
      </c>
      <c r="F1354">
        <v>0.67200000000000004</v>
      </c>
      <c r="H1354" s="4" t="str">
        <f t="array" aca="1" ref="H1354" ca="1">SUBSTITUTE(SUBSTITUTE(_xlfn.TEXTJOIN("",TRUE,IF(ISERR(MID(C1354,ROW(INDIRECT("1:100")),1)+0),MID(C1354,ROW(INDIRECT("1:100")),1),"")),")",""),"(","")</f>
        <v>All items less food, shelter, and energy</v>
      </c>
    </row>
    <row r="1355" spans="1:8" x14ac:dyDescent="0.25">
      <c r="A1355">
        <v>2018</v>
      </c>
      <c r="B1355">
        <v>12</v>
      </c>
      <c r="C1355" t="s">
        <v>23</v>
      </c>
      <c r="D1355">
        <v>43.604999999999997</v>
      </c>
      <c r="E1355">
        <v>1.5</v>
      </c>
      <c r="F1355">
        <v>0.63800000000000001</v>
      </c>
      <c r="H1355" s="4" t="str">
        <f t="array" aca="1" ref="H1355" ca="1">SUBSTITUTE(SUBSTITUTE(_xlfn.TEXTJOIN("",TRUE,IF(ISERR(MID(C1355,ROW(INDIRECT("1:100")),1)+0),MID(C1355,ROW(INDIRECT("1:100")),1),"")),")",""),"(","")</f>
        <v>All items less food, shelter, energy, and used cars and trucks</v>
      </c>
    </row>
    <row r="1356" spans="1:8" x14ac:dyDescent="0.25">
      <c r="A1356">
        <v>2018</v>
      </c>
      <c r="B1356">
        <v>12</v>
      </c>
      <c r="C1356" t="s">
        <v>24</v>
      </c>
      <c r="D1356">
        <v>91.355000000000004</v>
      </c>
      <c r="E1356">
        <v>1.9</v>
      </c>
      <c r="F1356">
        <v>1.736</v>
      </c>
      <c r="H1356" s="4" t="str">
        <f t="array" aca="1" ref="H1356" ca="1">SUBSTITUTE(SUBSTITUTE(_xlfn.TEXTJOIN("",TRUE,IF(ISERR(MID(C1356,ROW(INDIRECT("1:100")),1)+0),MID(C1356,ROW(INDIRECT("1:100")),1),"")),")",""),"(","")</f>
        <v>All items less medical care</v>
      </c>
    </row>
    <row r="1357" spans="1:8" x14ac:dyDescent="0.25">
      <c r="A1357">
        <v>2018</v>
      </c>
      <c r="B1357">
        <v>12</v>
      </c>
      <c r="C1357" t="s">
        <v>25</v>
      </c>
      <c r="D1357">
        <v>92.320999999999998</v>
      </c>
      <c r="E1357">
        <v>2.1</v>
      </c>
      <c r="F1357">
        <v>1.9350000000000001</v>
      </c>
      <c r="H1357" s="4" t="str">
        <f t="array" aca="1" ref="H1357" ca="1">SUBSTITUTE(SUBSTITUTE(_xlfn.TEXTJOIN("",TRUE,IF(ISERR(MID(C1357,ROW(INDIRECT("1:100")),1)+0),MID(C1357,ROW(INDIRECT("1:100")),1),"")),")",""),"(","")</f>
        <v>All items less energy</v>
      </c>
    </row>
    <row r="1358" spans="1:8" x14ac:dyDescent="0.25">
      <c r="A1358">
        <v>2018</v>
      </c>
      <c r="B1358">
        <v>12</v>
      </c>
      <c r="C1358" t="s">
        <v>26</v>
      </c>
      <c r="D1358">
        <v>37.142000000000003</v>
      </c>
      <c r="E1358">
        <v>0.4</v>
      </c>
      <c r="F1358">
        <v>0.16700000000000001</v>
      </c>
      <c r="H1358" s="4" t="str">
        <f t="array" aca="1" ref="H1358" ca="1">SUBSTITUTE(SUBSTITUTE(_xlfn.TEXTJOIN("",TRUE,IF(ISERR(MID(C1358,ROW(INDIRECT("1:100")),1)+0),MID(C1358,ROW(INDIRECT("1:100")),1),"")),")",""),"(","")</f>
        <v>Commodities</v>
      </c>
    </row>
    <row r="1359" spans="1:8" x14ac:dyDescent="0.25">
      <c r="A1359">
        <v>2018</v>
      </c>
      <c r="B1359">
        <v>12</v>
      </c>
      <c r="C1359" t="s">
        <v>27</v>
      </c>
      <c r="D1359">
        <v>62.857999999999997</v>
      </c>
      <c r="E1359">
        <v>2.8</v>
      </c>
      <c r="F1359">
        <v>1.7430000000000001</v>
      </c>
      <c r="H1359" s="4" t="str">
        <f t="array" aca="1" ref="H1359" ca="1">SUBSTITUTE(SUBSTITUTE(_xlfn.TEXTJOIN("",TRUE,IF(ISERR(MID(C1359,ROW(INDIRECT("1:100")),1)+0),MID(C1359,ROW(INDIRECT("1:100")),1),"")),")",""),"(","")</f>
        <v>Services</v>
      </c>
    </row>
    <row r="1360" spans="1:8" x14ac:dyDescent="0.25">
      <c r="A1360">
        <v>2018</v>
      </c>
      <c r="B1360">
        <v>12</v>
      </c>
      <c r="C1360" t="s">
        <v>28</v>
      </c>
      <c r="D1360">
        <v>9.8970000000000002</v>
      </c>
      <c r="E1360">
        <v>0.1</v>
      </c>
      <c r="F1360">
        <v>8.0000000000000002E-3</v>
      </c>
      <c r="H1360" s="4" t="str">
        <f t="array" aca="1" ref="H1360" ca="1">SUBSTITUTE(SUBSTITUTE(_xlfn.TEXTJOIN("",TRUE,IF(ISERR(MID(C1360,ROW(INDIRECT("1:100")),1)+0),MID(C1360,ROW(INDIRECT("1:100")),1),"")),")",""),"(","")</f>
        <v>Durables</v>
      </c>
    </row>
    <row r="1361" spans="1:8" x14ac:dyDescent="0.25">
      <c r="A1361">
        <v>2018</v>
      </c>
      <c r="B1361">
        <v>12</v>
      </c>
      <c r="C1361" t="s">
        <v>29</v>
      </c>
      <c r="D1361">
        <v>27.245000000000001</v>
      </c>
      <c r="E1361">
        <v>0.6</v>
      </c>
      <c r="F1361">
        <v>0.158</v>
      </c>
      <c r="H1361" s="4" t="str">
        <f t="array" aca="1" ref="H1361" ca="1">SUBSTITUTE(SUBSTITUTE(_xlfn.TEXTJOIN("",TRUE,IF(ISERR(MID(C1361,ROW(INDIRECT("1:100")),1)+0),MID(C1361,ROW(INDIRECT("1:100")),1),"")),")",""),"(","")</f>
        <v>Nondurables</v>
      </c>
    </row>
    <row r="1362" spans="1:8" x14ac:dyDescent="0.25">
      <c r="A1362">
        <v>2018</v>
      </c>
      <c r="B1362">
        <v>12</v>
      </c>
      <c r="C1362" t="s">
        <v>8</v>
      </c>
      <c r="D1362">
        <v>41.924999999999997</v>
      </c>
      <c r="E1362">
        <v>3</v>
      </c>
      <c r="F1362">
        <v>1.2370000000000001</v>
      </c>
      <c r="H1362" s="4" t="str">
        <f t="array" aca="1" ref="H1362" ca="1">SUBSTITUTE(SUBSTITUTE(_xlfn.TEXTJOIN("",TRUE,IF(ISERR(MID(C1362,ROW(INDIRECT("1:100")),1)+0),MID(C1362,ROW(INDIRECT("1:100")),1),"")),")",""),"(","")</f>
        <v>Housing</v>
      </c>
    </row>
    <row r="1363" spans="1:8" x14ac:dyDescent="0.25">
      <c r="A1363">
        <v>2018</v>
      </c>
      <c r="B1363">
        <v>12</v>
      </c>
      <c r="C1363" t="s">
        <v>30</v>
      </c>
      <c r="D1363">
        <v>6.5759999999999996</v>
      </c>
      <c r="E1363">
        <v>0.2</v>
      </c>
      <c r="F1363">
        <v>1.4999999999999999E-2</v>
      </c>
      <c r="H1363" s="4" t="str">
        <f t="array" aca="1" ref="H1363" ca="1">SUBSTITUTE(SUBSTITUTE(_xlfn.TEXTJOIN("",TRUE,IF(ISERR(MID(C1363,ROW(INDIRECT("1:100")),1)+0),MID(C1363,ROW(INDIRECT("1:100")),1),"")),")",""),"(","")</f>
        <v>Education and communication</v>
      </c>
    </row>
    <row r="1364" spans="1:8" x14ac:dyDescent="0.25">
      <c r="A1364">
        <v>2018</v>
      </c>
      <c r="B1364">
        <v>12</v>
      </c>
      <c r="C1364" t="s">
        <v>31</v>
      </c>
      <c r="D1364">
        <v>5.649</v>
      </c>
      <c r="E1364">
        <v>1.2</v>
      </c>
      <c r="F1364">
        <v>6.6000000000000003E-2</v>
      </c>
      <c r="H1364" s="4" t="str">
        <f t="array" aca="1" ref="H1364" ca="1">SUBSTITUTE(SUBSTITUTE(_xlfn.TEXTJOIN("",TRUE,IF(ISERR(MID(C1364,ROW(INDIRECT("1:100")),1)+0),MID(C1364,ROW(INDIRECT("1:100")),1),"")),")",""),"(","")</f>
        <v>Recreation</v>
      </c>
    </row>
    <row r="1365" spans="1:8" x14ac:dyDescent="0.25">
      <c r="A1365">
        <v>2018</v>
      </c>
      <c r="B1365">
        <v>12</v>
      </c>
      <c r="C1365" t="s">
        <v>6</v>
      </c>
      <c r="D1365">
        <v>14.226000000000001</v>
      </c>
      <c r="E1365">
        <v>1.6</v>
      </c>
      <c r="F1365">
        <v>0.22900000000000001</v>
      </c>
      <c r="H1365" s="4" t="str">
        <f t="array" aca="1" ref="H1365" ca="1">SUBSTITUTE(SUBSTITUTE(_xlfn.TEXTJOIN("",TRUE,IF(ISERR(MID(C1365,ROW(INDIRECT("1:100")),1)+0),MID(C1365,ROW(INDIRECT("1:100")),1),"")),")",""),"(","")</f>
        <v>Food and beverages</v>
      </c>
    </row>
    <row r="1366" spans="1:8" x14ac:dyDescent="0.25">
      <c r="A1366">
        <v>2018</v>
      </c>
      <c r="B1366">
        <v>12</v>
      </c>
      <c r="C1366" t="s">
        <v>32</v>
      </c>
      <c r="D1366">
        <v>11.558999999999999</v>
      </c>
      <c r="E1366">
        <v>1.7</v>
      </c>
      <c r="F1366">
        <v>0.193</v>
      </c>
      <c r="H1366" s="4" t="str">
        <f t="array" aca="1" ref="H1366" ca="1">SUBSTITUTE(SUBSTITUTE(_xlfn.TEXTJOIN("",TRUE,IF(ISERR(MID(C1366,ROW(INDIRECT("1:100")),1)+0),MID(C1366,ROW(INDIRECT("1:100")),1),"")),")",""),"(","")</f>
        <v>Other services</v>
      </c>
    </row>
    <row r="1367" spans="1:8" x14ac:dyDescent="0.25">
      <c r="A1367">
        <v>2018</v>
      </c>
      <c r="B1367">
        <v>12</v>
      </c>
      <c r="C1367" t="s">
        <v>33</v>
      </c>
      <c r="D1367">
        <v>2.391</v>
      </c>
      <c r="E1367">
        <v>-0.1</v>
      </c>
      <c r="F1367">
        <v>-1E-3</v>
      </c>
      <c r="H1367" s="4" t="str">
        <f t="array" aca="1" ref="H1367" ca="1">SUBSTITUTE(SUBSTITUTE(_xlfn.TEXTJOIN("",TRUE,IF(ISERR(MID(C1367,ROW(INDIRECT("1:100")),1)+0),MID(C1367,ROW(INDIRECT("1:100")),1),"")),")",""),"(","")</f>
        <v>Apparel less footwear</v>
      </c>
    </row>
    <row r="1368" spans="1:8" x14ac:dyDescent="0.25">
      <c r="A1368">
        <v>2018</v>
      </c>
      <c r="B1368">
        <v>12</v>
      </c>
      <c r="C1368" t="s">
        <v>34</v>
      </c>
      <c r="D1368">
        <v>4.62</v>
      </c>
      <c r="E1368">
        <v>2.1</v>
      </c>
      <c r="F1368">
        <v>9.7000000000000003E-2</v>
      </c>
      <c r="H1368" s="4" t="str">
        <f t="array" aca="1" ref="H1368" ca="1">SUBSTITUTE(SUBSTITUTE(_xlfn.TEXTJOIN("",TRUE,IF(ISERR(MID(C1368,ROW(INDIRECT("1:100")),1)+0),MID(C1368,ROW(INDIRECT("1:100")),1),"")),")",""),"(","")</f>
        <v>Fuels and utilities</v>
      </c>
    </row>
    <row r="1369" spans="1:8" x14ac:dyDescent="0.25">
      <c r="A1369">
        <v>2018</v>
      </c>
      <c r="B1369">
        <v>12</v>
      </c>
      <c r="C1369" t="s">
        <v>11</v>
      </c>
      <c r="D1369">
        <v>8.6449999999999996</v>
      </c>
      <c r="E1369">
        <v>2</v>
      </c>
      <c r="F1369">
        <v>0.17399999999999999</v>
      </c>
      <c r="H1369" s="4" t="str">
        <f t="array" aca="1" ref="H1369" ca="1">SUBSTITUTE(SUBSTITUTE(_xlfn.TEXTJOIN("",TRUE,IF(ISERR(MID(C1369,ROW(INDIRECT("1:100")),1)+0),MID(C1369,ROW(INDIRECT("1:100")),1),"")),")",""),"(","")</f>
        <v>Medical care</v>
      </c>
    </row>
    <row r="1370" spans="1:8" x14ac:dyDescent="0.25">
      <c r="A1370">
        <v>2018</v>
      </c>
      <c r="B1370">
        <v>12</v>
      </c>
      <c r="C1370" t="s">
        <v>7</v>
      </c>
      <c r="D1370">
        <v>16.725000000000001</v>
      </c>
      <c r="E1370">
        <v>0.7</v>
      </c>
      <c r="F1370">
        <v>0.124</v>
      </c>
      <c r="H1370" s="4" t="str">
        <f t="array" aca="1" ref="H1370" ca="1">SUBSTITUTE(SUBSTITUTE(_xlfn.TEXTJOIN("",TRUE,IF(ISERR(MID(C1370,ROW(INDIRECT("1:100")),1)+0),MID(C1370,ROW(INDIRECT("1:100")),1),"")),")",""),"(","")</f>
        <v>Transportation</v>
      </c>
    </row>
    <row r="1371" spans="1:8" x14ac:dyDescent="0.25">
      <c r="A1371">
        <v>2018</v>
      </c>
      <c r="B1371">
        <v>12</v>
      </c>
      <c r="C1371" t="s">
        <v>35</v>
      </c>
      <c r="D1371">
        <v>9.3019999999999996</v>
      </c>
      <c r="E1371">
        <v>0.5</v>
      </c>
      <c r="F1371">
        <v>4.4999999999999998E-2</v>
      </c>
      <c r="H1371" s="4" t="str">
        <f t="array" aca="1" ref="H1371" ca="1">SUBSTITUTE(SUBSTITUTE(_xlfn.TEXTJOIN("",TRUE,IF(ISERR(MID(C1371,ROW(INDIRECT("1:100")),1)+0),MID(C1371,ROW(INDIRECT("1:100")),1),"")),")",""),"(","")</f>
        <v>Utilities and public transportation</v>
      </c>
    </row>
    <row r="1372" spans="1:8" x14ac:dyDescent="0.25">
      <c r="A1372">
        <v>2018</v>
      </c>
      <c r="B1372">
        <v>12</v>
      </c>
      <c r="C1372" t="s">
        <v>36</v>
      </c>
      <c r="D1372">
        <v>4.226</v>
      </c>
      <c r="E1372">
        <v>2.1</v>
      </c>
      <c r="F1372">
        <v>8.7999999999999995E-2</v>
      </c>
      <c r="H1372" s="4" t="str">
        <f t="array" aca="1" ref="H1372" ca="1">SUBSTITUTE(SUBSTITUTE(_xlfn.TEXTJOIN("",TRUE,IF(ISERR(MID(C1372,ROW(INDIRECT("1:100")),1)+0),MID(C1372,ROW(INDIRECT("1:100")),1),"")),")",""),"(","")</f>
        <v>Household furnishings and operations</v>
      </c>
    </row>
    <row r="1373" spans="1:8" x14ac:dyDescent="0.25">
      <c r="A1373">
        <v>2018</v>
      </c>
      <c r="B1373">
        <v>12</v>
      </c>
      <c r="C1373" t="s">
        <v>12</v>
      </c>
      <c r="D1373">
        <v>3.1970000000000001</v>
      </c>
      <c r="E1373">
        <v>2.1</v>
      </c>
      <c r="F1373">
        <v>6.8000000000000005E-2</v>
      </c>
      <c r="H1373" s="4" t="str">
        <f t="array" aca="1" ref="H1373" ca="1">SUBSTITUTE(SUBSTITUTE(_xlfn.TEXTJOIN("",TRUE,IF(ISERR(MID(C1373,ROW(INDIRECT("1:100")),1)+0),MID(C1373,ROW(INDIRECT("1:100")),1),"")),")",""),"(","")</f>
        <v>Other goods and services</v>
      </c>
    </row>
    <row r="1374" spans="1:8" x14ac:dyDescent="0.25">
      <c r="A1374">
        <v>2019</v>
      </c>
      <c r="B1374">
        <v>1</v>
      </c>
      <c r="C1374" t="s">
        <v>14</v>
      </c>
      <c r="D1374">
        <v>100</v>
      </c>
      <c r="E1374">
        <v>1.6</v>
      </c>
      <c r="H1374" s="4" t="str">
        <f t="array" aca="1" ref="H1374" ca="1">SUBSTITUTE(SUBSTITUTE(_xlfn.TEXTJOIN("",TRUE,IF(ISERR(MID(C1374,ROW(INDIRECT("1:100")),1)+0),MID(C1374,ROW(INDIRECT("1:100")),1),"")),")",""),"(","")</f>
        <v>All items</v>
      </c>
    </row>
    <row r="1375" spans="1:8" x14ac:dyDescent="0.25">
      <c r="A1375">
        <v>2019</v>
      </c>
      <c r="B1375">
        <v>1</v>
      </c>
      <c r="C1375" t="s">
        <v>15</v>
      </c>
      <c r="D1375">
        <v>13.340999999999999</v>
      </c>
      <c r="E1375">
        <v>1.6</v>
      </c>
      <c r="F1375">
        <v>0.215</v>
      </c>
      <c r="H1375" s="4" t="str">
        <f t="array" aca="1" ref="H1375" ca="1">SUBSTITUTE(SUBSTITUTE(_xlfn.TEXTJOIN("",TRUE,IF(ISERR(MID(C1375,ROW(INDIRECT("1:100")),1)+0),MID(C1375,ROW(INDIRECT("1:100")),1),"")),")",""),"(","")</f>
        <v>Food</v>
      </c>
    </row>
    <row r="1376" spans="1:8" x14ac:dyDescent="0.25">
      <c r="A1376">
        <v>2019</v>
      </c>
      <c r="B1376">
        <v>1</v>
      </c>
      <c r="C1376" t="s">
        <v>16</v>
      </c>
      <c r="D1376">
        <v>7.3470000000000004</v>
      </c>
      <c r="E1376">
        <v>-4.8</v>
      </c>
      <c r="F1376">
        <v>-0.36499999999999999</v>
      </c>
      <c r="H1376" s="4" t="str">
        <f t="array" aca="1" ref="H1376" ca="1">SUBSTITUTE(SUBSTITUTE(_xlfn.TEXTJOIN("",TRUE,IF(ISERR(MID(C1376,ROW(INDIRECT("1:100")),1)+0),MID(C1376,ROW(INDIRECT("1:100")),1),"")),")",""),"(","")</f>
        <v>Energy</v>
      </c>
    </row>
    <row r="1377" spans="1:8" x14ac:dyDescent="0.25">
      <c r="A1377">
        <v>2019</v>
      </c>
      <c r="B1377">
        <v>1</v>
      </c>
      <c r="C1377" t="s">
        <v>17</v>
      </c>
      <c r="D1377">
        <v>79.311999999999998</v>
      </c>
      <c r="E1377">
        <v>2.2000000000000002</v>
      </c>
      <c r="F1377">
        <v>1.702</v>
      </c>
      <c r="H1377" s="4" t="str">
        <f t="array" aca="1" ref="H1377" ca="1">SUBSTITUTE(SUBSTITUTE(_xlfn.TEXTJOIN("",TRUE,IF(ISERR(MID(C1377,ROW(INDIRECT("1:100")),1)+0),MID(C1377,ROW(INDIRECT("1:100")),1),"")),")",""),"(","")</f>
        <v>All items less food and energy</v>
      </c>
    </row>
    <row r="1378" spans="1:8" x14ac:dyDescent="0.25">
      <c r="A1378">
        <v>2019</v>
      </c>
      <c r="B1378">
        <v>1</v>
      </c>
      <c r="C1378" t="s">
        <v>18</v>
      </c>
      <c r="H1378" s="4" t="str">
        <f t="array" aca="1" ref="H1378" ca="1">SUBSTITUTE(SUBSTITUTE(_xlfn.TEXTJOIN("",TRUE,IF(ISERR(MID(C1378,ROW(INDIRECT("1:100")),1)+0),MID(C1378,ROW(INDIRECT("1:100")),1),"")),")",""),"(","")</f>
        <v>Special aggregate indexes</v>
      </c>
    </row>
    <row r="1379" spans="1:8" x14ac:dyDescent="0.25">
      <c r="A1379">
        <v>2019</v>
      </c>
      <c r="B1379">
        <v>1</v>
      </c>
      <c r="C1379" t="s">
        <v>19</v>
      </c>
      <c r="D1379">
        <v>86.659000000000006</v>
      </c>
      <c r="E1379">
        <v>1.5</v>
      </c>
      <c r="F1379">
        <v>1.3360000000000001</v>
      </c>
      <c r="H1379" s="4" t="str">
        <f t="array" aca="1" ref="H1379" ca="1">SUBSTITUTE(SUBSTITUTE(_xlfn.TEXTJOIN("",TRUE,IF(ISERR(MID(C1379,ROW(INDIRECT("1:100")),1)+0),MID(C1379,ROW(INDIRECT("1:100")),1),"")),")",""),"(","")</f>
        <v>All items less food</v>
      </c>
    </row>
    <row r="1380" spans="1:8" x14ac:dyDescent="0.25">
      <c r="A1380">
        <v>2019</v>
      </c>
      <c r="B1380">
        <v>1</v>
      </c>
      <c r="C1380" t="s">
        <v>20</v>
      </c>
      <c r="D1380">
        <v>66.741</v>
      </c>
      <c r="E1380">
        <v>0.7</v>
      </c>
      <c r="F1380">
        <v>0.495</v>
      </c>
      <c r="H1380" s="4" t="str">
        <f t="array" aca="1" ref="H1380" ca="1">SUBSTITUTE(SUBSTITUTE(_xlfn.TEXTJOIN("",TRUE,IF(ISERR(MID(C1380,ROW(INDIRECT("1:100")),1)+0),MID(C1380,ROW(INDIRECT("1:100")),1),"")),")",""),"(","")</f>
        <v>All items less shelter</v>
      </c>
    </row>
    <row r="1381" spans="1:8" x14ac:dyDescent="0.25">
      <c r="A1381">
        <v>2019</v>
      </c>
      <c r="B1381">
        <v>1</v>
      </c>
      <c r="C1381" t="s">
        <v>21</v>
      </c>
      <c r="D1381">
        <v>53.4</v>
      </c>
      <c r="E1381">
        <v>0.5</v>
      </c>
      <c r="F1381">
        <v>0.28000000000000003</v>
      </c>
      <c r="H1381" s="4" t="str">
        <f t="array" aca="1" ref="H1381" ca="1">SUBSTITUTE(SUBSTITUTE(_xlfn.TEXTJOIN("",TRUE,IF(ISERR(MID(C1381,ROW(INDIRECT("1:100")),1)+0),MID(C1381,ROW(INDIRECT("1:100")),1),"")),")",""),"(","")</f>
        <v>All items less food and shelter</v>
      </c>
    </row>
    <row r="1382" spans="1:8" x14ac:dyDescent="0.25">
      <c r="A1382">
        <v>2019</v>
      </c>
      <c r="B1382">
        <v>1</v>
      </c>
      <c r="C1382" t="s">
        <v>22</v>
      </c>
      <c r="D1382">
        <v>46.052999999999997</v>
      </c>
      <c r="E1382">
        <v>1.4</v>
      </c>
      <c r="F1382">
        <v>0.64500000000000002</v>
      </c>
      <c r="H1382" s="4" t="str">
        <f t="array" aca="1" ref="H1382" ca="1">SUBSTITUTE(SUBSTITUTE(_xlfn.TEXTJOIN("",TRUE,IF(ISERR(MID(C1382,ROW(INDIRECT("1:100")),1)+0),MID(C1382,ROW(INDIRECT("1:100")),1),"")),")",""),"(","")</f>
        <v>All items less food, shelter, and energy</v>
      </c>
    </row>
    <row r="1383" spans="1:8" x14ac:dyDescent="0.25">
      <c r="A1383">
        <v>2019</v>
      </c>
      <c r="B1383">
        <v>1</v>
      </c>
      <c r="C1383" t="s">
        <v>23</v>
      </c>
      <c r="D1383">
        <v>43.661999999999999</v>
      </c>
      <c r="E1383">
        <v>1.4</v>
      </c>
      <c r="F1383">
        <v>0.60599999999999998</v>
      </c>
      <c r="H1383" s="4" t="str">
        <f t="array" aca="1" ref="H1383" ca="1">SUBSTITUTE(SUBSTITUTE(_xlfn.TEXTJOIN("",TRUE,IF(ISERR(MID(C1383,ROW(INDIRECT("1:100")),1)+0),MID(C1383,ROW(INDIRECT("1:100")),1),"")),")",""),"(","")</f>
        <v>All items less food, shelter, energy, and used cars and trucks</v>
      </c>
    </row>
    <row r="1384" spans="1:8" x14ac:dyDescent="0.25">
      <c r="A1384">
        <v>2019</v>
      </c>
      <c r="B1384">
        <v>1</v>
      </c>
      <c r="C1384" t="s">
        <v>24</v>
      </c>
      <c r="D1384">
        <v>91.317999999999998</v>
      </c>
      <c r="E1384">
        <v>1.5</v>
      </c>
      <c r="F1384">
        <v>1.3859999999999999</v>
      </c>
      <c r="H1384" s="4" t="str">
        <f t="array" aca="1" ref="H1384" ca="1">SUBSTITUTE(SUBSTITUTE(_xlfn.TEXTJOIN("",TRUE,IF(ISERR(MID(C1384,ROW(INDIRECT("1:100")),1)+0),MID(C1384,ROW(INDIRECT("1:100")),1),"")),")",""),"(","")</f>
        <v>All items less medical care</v>
      </c>
    </row>
    <row r="1385" spans="1:8" x14ac:dyDescent="0.25">
      <c r="A1385">
        <v>2019</v>
      </c>
      <c r="B1385">
        <v>1</v>
      </c>
      <c r="C1385" t="s">
        <v>25</v>
      </c>
      <c r="D1385">
        <v>92.653000000000006</v>
      </c>
      <c r="E1385">
        <v>2.1</v>
      </c>
      <c r="F1385">
        <v>1.9159999999999999</v>
      </c>
      <c r="H1385" s="4" t="str">
        <f t="array" aca="1" ref="H1385" ca="1">SUBSTITUTE(SUBSTITUTE(_xlfn.TEXTJOIN("",TRUE,IF(ISERR(MID(C1385,ROW(INDIRECT("1:100")),1)+0),MID(C1385,ROW(INDIRECT("1:100")),1),"")),")",""),"(","")</f>
        <v>All items less energy</v>
      </c>
    </row>
    <row r="1386" spans="1:8" x14ac:dyDescent="0.25">
      <c r="A1386">
        <v>2019</v>
      </c>
      <c r="B1386">
        <v>1</v>
      </c>
      <c r="C1386" t="s">
        <v>26</v>
      </c>
      <c r="D1386">
        <v>36.790999999999997</v>
      </c>
      <c r="E1386">
        <v>-0.3</v>
      </c>
      <c r="F1386">
        <v>-0.127</v>
      </c>
      <c r="H1386" s="4" t="str">
        <f t="array" aca="1" ref="H1386" ca="1">SUBSTITUTE(SUBSTITUTE(_xlfn.TEXTJOIN("",TRUE,IF(ISERR(MID(C1386,ROW(INDIRECT("1:100")),1)+0),MID(C1386,ROW(INDIRECT("1:100")),1),"")),")",""),"(","")</f>
        <v>Commodities</v>
      </c>
    </row>
    <row r="1387" spans="1:8" x14ac:dyDescent="0.25">
      <c r="A1387">
        <v>2019</v>
      </c>
      <c r="B1387">
        <v>1</v>
      </c>
      <c r="C1387" t="s">
        <v>27</v>
      </c>
      <c r="D1387">
        <v>63.209000000000003</v>
      </c>
      <c r="E1387">
        <v>2.7</v>
      </c>
      <c r="F1387">
        <v>1.6779999999999999</v>
      </c>
      <c r="H1387" s="4" t="str">
        <f t="array" aca="1" ref="H1387" ca="1">SUBSTITUTE(SUBSTITUTE(_xlfn.TEXTJOIN("",TRUE,IF(ISERR(MID(C1387,ROW(INDIRECT("1:100")),1)+0),MID(C1387,ROW(INDIRECT("1:100")),1),"")),")",""),"(","")</f>
        <v>Services</v>
      </c>
    </row>
    <row r="1388" spans="1:8" x14ac:dyDescent="0.25">
      <c r="A1388">
        <v>2019</v>
      </c>
      <c r="B1388">
        <v>1</v>
      </c>
      <c r="C1388" t="s">
        <v>28</v>
      </c>
      <c r="D1388">
        <v>9.9529999999999994</v>
      </c>
      <c r="E1388">
        <v>0.4</v>
      </c>
      <c r="F1388">
        <v>3.5999999999999997E-2</v>
      </c>
      <c r="H1388" s="4" t="str">
        <f t="array" aca="1" ref="H1388" ca="1">SUBSTITUTE(SUBSTITUTE(_xlfn.TEXTJOIN("",TRUE,IF(ISERR(MID(C1388,ROW(INDIRECT("1:100")),1)+0),MID(C1388,ROW(INDIRECT("1:100")),1),"")),")",""),"(","")</f>
        <v>Durables</v>
      </c>
    </row>
    <row r="1389" spans="1:8" x14ac:dyDescent="0.25">
      <c r="A1389">
        <v>2019</v>
      </c>
      <c r="B1389">
        <v>1</v>
      </c>
      <c r="C1389" t="s">
        <v>29</v>
      </c>
      <c r="D1389">
        <v>26.838000000000001</v>
      </c>
      <c r="E1389">
        <v>-0.6</v>
      </c>
      <c r="F1389">
        <v>-0.16400000000000001</v>
      </c>
      <c r="H1389" s="4" t="str">
        <f t="array" aca="1" ref="H1389" ca="1">SUBSTITUTE(SUBSTITUTE(_xlfn.TEXTJOIN("",TRUE,IF(ISERR(MID(C1389,ROW(INDIRECT("1:100")),1)+0),MID(C1389,ROW(INDIRECT("1:100")),1),"")),")",""),"(","")</f>
        <v>Nondurables</v>
      </c>
    </row>
    <row r="1390" spans="1:8" x14ac:dyDescent="0.25">
      <c r="A1390">
        <v>2019</v>
      </c>
      <c r="B1390">
        <v>1</v>
      </c>
      <c r="C1390" t="s">
        <v>8</v>
      </c>
      <c r="D1390">
        <v>42.201999999999998</v>
      </c>
      <c r="E1390">
        <v>2.9</v>
      </c>
      <c r="F1390">
        <v>1.2150000000000001</v>
      </c>
      <c r="H1390" s="4" t="str">
        <f t="array" aca="1" ref="H1390" ca="1">SUBSTITUTE(SUBSTITUTE(_xlfn.TEXTJOIN("",TRUE,IF(ISERR(MID(C1390,ROW(INDIRECT("1:100")),1)+0),MID(C1390,ROW(INDIRECT("1:100")),1),"")),")",""),"(","")</f>
        <v>Housing</v>
      </c>
    </row>
    <row r="1391" spans="1:8" x14ac:dyDescent="0.25">
      <c r="A1391">
        <v>2019</v>
      </c>
      <c r="B1391">
        <v>1</v>
      </c>
      <c r="C1391" t="s">
        <v>48</v>
      </c>
      <c r="D1391">
        <v>6.5960000000000001</v>
      </c>
      <c r="E1391">
        <v>0.3</v>
      </c>
      <c r="F1391">
        <v>2.1000000000000001E-2</v>
      </c>
      <c r="H1391" s="4" t="str">
        <f t="array" aca="1" ref="H1391" ca="1">SUBSTITUTE(SUBSTITUTE(_xlfn.TEXTJOIN("",TRUE,IF(ISERR(MID(C1391,ROW(INDIRECT("1:100")),1)+0),MID(C1391,ROW(INDIRECT("1:100")),1),"")),")",""),"(","")</f>
        <v>Education and communication</v>
      </c>
    </row>
    <row r="1392" spans="1:8" x14ac:dyDescent="0.25">
      <c r="A1392">
        <v>2019</v>
      </c>
      <c r="B1392">
        <v>1</v>
      </c>
      <c r="C1392" t="s">
        <v>49</v>
      </c>
      <c r="D1392">
        <v>5.694</v>
      </c>
      <c r="E1392">
        <v>1.4</v>
      </c>
      <c r="F1392">
        <v>7.8E-2</v>
      </c>
      <c r="H1392" s="4" t="str">
        <f t="array" aca="1" ref="H1392" ca="1">SUBSTITUTE(SUBSTITUTE(_xlfn.TEXTJOIN("",TRUE,IF(ISERR(MID(C1392,ROW(INDIRECT("1:100")),1)+0),MID(C1392,ROW(INDIRECT("1:100")),1),"")),")",""),"(","")</f>
        <v>Recreation</v>
      </c>
    </row>
    <row r="1393" spans="1:8" x14ac:dyDescent="0.25">
      <c r="A1393">
        <v>2019</v>
      </c>
      <c r="B1393">
        <v>1</v>
      </c>
      <c r="C1393" t="s">
        <v>6</v>
      </c>
      <c r="D1393">
        <v>14.314</v>
      </c>
      <c r="E1393">
        <v>1.6</v>
      </c>
      <c r="F1393">
        <v>0.23200000000000001</v>
      </c>
      <c r="H1393" s="4" t="str">
        <f t="array" aca="1" ref="H1393" ca="1">SUBSTITUTE(SUBSTITUTE(_xlfn.TEXTJOIN("",TRUE,IF(ISERR(MID(C1393,ROW(INDIRECT("1:100")),1)+0),MID(C1393,ROW(INDIRECT("1:100")),1),"")),")",""),"(","")</f>
        <v>Food and beverages</v>
      </c>
    </row>
    <row r="1394" spans="1:8" x14ac:dyDescent="0.25">
      <c r="A1394">
        <v>2019</v>
      </c>
      <c r="B1394">
        <v>1</v>
      </c>
      <c r="C1394" t="s">
        <v>32</v>
      </c>
      <c r="D1394">
        <v>11.605</v>
      </c>
      <c r="E1394">
        <v>1.7</v>
      </c>
      <c r="F1394">
        <v>0.2</v>
      </c>
      <c r="H1394" s="4" t="str">
        <f t="array" aca="1" ref="H1394" ca="1">SUBSTITUTE(SUBSTITUTE(_xlfn.TEXTJOIN("",TRUE,IF(ISERR(MID(C1394,ROW(INDIRECT("1:100")),1)+0),MID(C1394,ROW(INDIRECT("1:100")),1),"")),")",""),"(","")</f>
        <v>Other services</v>
      </c>
    </row>
    <row r="1395" spans="1:8" x14ac:dyDescent="0.25">
      <c r="A1395">
        <v>2019</v>
      </c>
      <c r="B1395">
        <v>1</v>
      </c>
      <c r="C1395" t="s">
        <v>33</v>
      </c>
      <c r="D1395">
        <v>2.3010000000000002</v>
      </c>
      <c r="E1395">
        <v>-0.5</v>
      </c>
      <c r="F1395">
        <v>-1.2E-2</v>
      </c>
      <c r="H1395" s="4" t="str">
        <f t="array" aca="1" ref="H1395" ca="1">SUBSTITUTE(SUBSTITUTE(_xlfn.TEXTJOIN("",TRUE,IF(ISERR(MID(C1395,ROW(INDIRECT("1:100")),1)+0),MID(C1395,ROW(INDIRECT("1:100")),1),"")),")",""),"(","")</f>
        <v>Apparel less footwear</v>
      </c>
    </row>
    <row r="1396" spans="1:8" x14ac:dyDescent="0.25">
      <c r="A1396">
        <v>2019</v>
      </c>
      <c r="B1396">
        <v>1</v>
      </c>
      <c r="C1396" t="s">
        <v>34</v>
      </c>
      <c r="D1396">
        <v>4.6859999999999999</v>
      </c>
      <c r="E1396">
        <v>1.5</v>
      </c>
      <c r="F1396">
        <v>7.0999999999999994E-2</v>
      </c>
      <c r="H1396" s="4" t="str">
        <f t="array" aca="1" ref="H1396" ca="1">SUBSTITUTE(SUBSTITUTE(_xlfn.TEXTJOIN("",TRUE,IF(ISERR(MID(C1396,ROW(INDIRECT("1:100")),1)+0),MID(C1396,ROW(INDIRECT("1:100")),1),"")),")",""),"(","")</f>
        <v>Fuels and utilities</v>
      </c>
    </row>
    <row r="1397" spans="1:8" x14ac:dyDescent="0.25">
      <c r="A1397">
        <v>2019</v>
      </c>
      <c r="B1397">
        <v>1</v>
      </c>
      <c r="C1397" t="s">
        <v>11</v>
      </c>
      <c r="D1397">
        <v>8.6820000000000004</v>
      </c>
      <c r="E1397">
        <v>1.9</v>
      </c>
      <c r="F1397">
        <v>0.16500000000000001</v>
      </c>
      <c r="H1397" s="4" t="str">
        <f t="array" aca="1" ref="H1397" ca="1">SUBSTITUTE(SUBSTITUTE(_xlfn.TEXTJOIN("",TRUE,IF(ISERR(MID(C1397,ROW(INDIRECT("1:100")),1)+0),MID(C1397,ROW(INDIRECT("1:100")),1),"")),")",""),"(","")</f>
        <v>Medical care</v>
      </c>
    </row>
    <row r="1398" spans="1:8" x14ac:dyDescent="0.25">
      <c r="A1398">
        <v>2019</v>
      </c>
      <c r="B1398">
        <v>1</v>
      </c>
      <c r="C1398" t="s">
        <v>7</v>
      </c>
      <c r="D1398">
        <v>16.347999999999999</v>
      </c>
      <c r="E1398">
        <v>-1.3</v>
      </c>
      <c r="F1398">
        <v>-0.224</v>
      </c>
      <c r="H1398" s="4" t="str">
        <f t="array" aca="1" ref="H1398" ca="1">SUBSTITUTE(SUBSTITUTE(_xlfn.TEXTJOIN("",TRUE,IF(ISERR(MID(C1398,ROW(INDIRECT("1:100")),1)+0),MID(C1398,ROW(INDIRECT("1:100")),1),"")),")",""),"(","")</f>
        <v>Transportation</v>
      </c>
    </row>
    <row r="1399" spans="1:8" x14ac:dyDescent="0.25">
      <c r="A1399">
        <v>2019</v>
      </c>
      <c r="B1399">
        <v>1</v>
      </c>
      <c r="C1399" t="s">
        <v>35</v>
      </c>
      <c r="D1399">
        <v>9.3569999999999993</v>
      </c>
      <c r="E1399">
        <v>0.4</v>
      </c>
      <c r="F1399">
        <v>3.6999999999999998E-2</v>
      </c>
      <c r="H1399" s="4" t="str">
        <f t="array" aca="1" ref="H1399" ca="1">SUBSTITUTE(SUBSTITUTE(_xlfn.TEXTJOIN("",TRUE,IF(ISERR(MID(C1399,ROW(INDIRECT("1:100")),1)+0),MID(C1399,ROW(INDIRECT("1:100")),1),"")),")",""),"(","")</f>
        <v>Utilities and public transportation</v>
      </c>
    </row>
    <row r="1400" spans="1:8" x14ac:dyDescent="0.25">
      <c r="A1400">
        <v>2019</v>
      </c>
      <c r="B1400">
        <v>1</v>
      </c>
      <c r="C1400" t="s">
        <v>36</v>
      </c>
      <c r="D1400">
        <v>4.2569999999999997</v>
      </c>
      <c r="E1400">
        <v>2.1</v>
      </c>
      <c r="F1400">
        <v>8.7999999999999995E-2</v>
      </c>
      <c r="H1400" s="4" t="str">
        <f t="array" aca="1" ref="H1400" ca="1">SUBSTITUTE(SUBSTITUTE(_xlfn.TEXTJOIN("",TRUE,IF(ISERR(MID(C1400,ROW(INDIRECT("1:100")),1)+0),MID(C1400,ROW(INDIRECT("1:100")),1),"")),")",""),"(","")</f>
        <v>Household furnishings and operations</v>
      </c>
    </row>
    <row r="1401" spans="1:8" x14ac:dyDescent="0.25">
      <c r="A1401">
        <v>2019</v>
      </c>
      <c r="B1401">
        <v>1</v>
      </c>
      <c r="C1401" t="s">
        <v>12</v>
      </c>
      <c r="D1401">
        <v>3.2040000000000002</v>
      </c>
      <c r="E1401">
        <v>1.9</v>
      </c>
      <c r="F1401">
        <v>6.0999999999999999E-2</v>
      </c>
      <c r="H1401" s="4" t="str">
        <f t="array" aca="1" ref="H1401" ca="1">SUBSTITUTE(SUBSTITUTE(_xlfn.TEXTJOIN("",TRUE,IF(ISERR(MID(C1401,ROW(INDIRECT("1:100")),1)+0),MID(C1401,ROW(INDIRECT("1:100")),1),"")),")",""),"(","")</f>
        <v>Other goods and services</v>
      </c>
    </row>
    <row r="1402" spans="1:8" x14ac:dyDescent="0.25">
      <c r="A1402">
        <v>2019</v>
      </c>
      <c r="B1402">
        <v>2</v>
      </c>
      <c r="C1402" t="s">
        <v>14</v>
      </c>
      <c r="D1402">
        <v>100</v>
      </c>
      <c r="E1402">
        <v>1.5</v>
      </c>
      <c r="H1402" s="4" t="str">
        <f t="array" aca="1" ref="H1402" ca="1">SUBSTITUTE(SUBSTITUTE(_xlfn.TEXTJOIN("",TRUE,IF(ISERR(MID(C1402,ROW(INDIRECT("1:100")),1)+0),MID(C1402,ROW(INDIRECT("1:100")),1),"")),")",""),"(","")</f>
        <v>All items</v>
      </c>
    </row>
    <row r="1403" spans="1:8" x14ac:dyDescent="0.25">
      <c r="A1403">
        <v>2019</v>
      </c>
      <c r="B1403">
        <v>2</v>
      </c>
      <c r="C1403" t="s">
        <v>15</v>
      </c>
      <c r="D1403">
        <v>13.379</v>
      </c>
      <c r="E1403">
        <v>2</v>
      </c>
      <c r="F1403">
        <v>0.26100000000000001</v>
      </c>
      <c r="H1403" s="4" t="str">
        <f t="array" aca="1" ref="H1403" ca="1">SUBSTITUTE(SUBSTITUTE(_xlfn.TEXTJOIN("",TRUE,IF(ISERR(MID(C1403,ROW(INDIRECT("1:100")),1)+0),MID(C1403,ROW(INDIRECT("1:100")),1),"")),")",""),"(","")</f>
        <v>Food</v>
      </c>
    </row>
    <row r="1404" spans="1:8" x14ac:dyDescent="0.25">
      <c r="A1404">
        <v>2019</v>
      </c>
      <c r="B1404">
        <v>2</v>
      </c>
      <c r="C1404" t="s">
        <v>16</v>
      </c>
      <c r="D1404">
        <v>7.1429999999999998</v>
      </c>
      <c r="E1404">
        <v>-5</v>
      </c>
      <c r="F1404">
        <v>-0.38800000000000001</v>
      </c>
      <c r="H1404" s="4" t="str">
        <f t="array" aca="1" ref="H1404" ca="1">SUBSTITUTE(SUBSTITUTE(_xlfn.TEXTJOIN("",TRUE,IF(ISERR(MID(C1404,ROW(INDIRECT("1:100")),1)+0),MID(C1404,ROW(INDIRECT("1:100")),1),"")),")",""),"(","")</f>
        <v>Energy</v>
      </c>
    </row>
    <row r="1405" spans="1:8" x14ac:dyDescent="0.25">
      <c r="A1405">
        <v>2019</v>
      </c>
      <c r="B1405">
        <v>2</v>
      </c>
      <c r="C1405" t="s">
        <v>17</v>
      </c>
      <c r="D1405">
        <v>79.477999999999994</v>
      </c>
      <c r="E1405">
        <v>2.1</v>
      </c>
      <c r="F1405">
        <v>1.647</v>
      </c>
      <c r="H1405" s="4" t="str">
        <f t="array" aca="1" ref="H1405" ca="1">SUBSTITUTE(SUBSTITUTE(_xlfn.TEXTJOIN("",TRUE,IF(ISERR(MID(C1405,ROW(INDIRECT("1:100")),1)+0),MID(C1405,ROW(INDIRECT("1:100")),1),"")),")",""),"(","")</f>
        <v>All items less food and energy</v>
      </c>
    </row>
    <row r="1406" spans="1:8" x14ac:dyDescent="0.25">
      <c r="A1406">
        <v>2019</v>
      </c>
      <c r="B1406">
        <v>2</v>
      </c>
      <c r="C1406" t="s">
        <v>18</v>
      </c>
      <c r="H1406" s="4" t="str">
        <f t="array" aca="1" ref="H1406" ca="1">SUBSTITUTE(SUBSTITUTE(_xlfn.TEXTJOIN("",TRUE,IF(ISERR(MID(C1406,ROW(INDIRECT("1:100")),1)+0),MID(C1406,ROW(INDIRECT("1:100")),1),"")),")",""),"(","")</f>
        <v>Special aggregate indexes</v>
      </c>
    </row>
    <row r="1407" spans="1:8" x14ac:dyDescent="0.25">
      <c r="A1407">
        <v>2019</v>
      </c>
      <c r="B1407">
        <v>2</v>
      </c>
      <c r="C1407" t="s">
        <v>19</v>
      </c>
      <c r="D1407">
        <v>86.620999999999995</v>
      </c>
      <c r="E1407">
        <v>1.5</v>
      </c>
      <c r="F1407">
        <v>1.2589999999999999</v>
      </c>
      <c r="H1407" s="4" t="str">
        <f t="array" aca="1" ref="H1407" ca="1">SUBSTITUTE(SUBSTITUTE(_xlfn.TEXTJOIN("",TRUE,IF(ISERR(MID(C1407,ROW(INDIRECT("1:100")),1)+0),MID(C1407,ROW(INDIRECT("1:100")),1),"")),")",""),"(","")</f>
        <v>All items less food</v>
      </c>
    </row>
    <row r="1408" spans="1:8" x14ac:dyDescent="0.25">
      <c r="A1408">
        <v>2019</v>
      </c>
      <c r="B1408">
        <v>2</v>
      </c>
      <c r="C1408" t="s">
        <v>20</v>
      </c>
      <c r="D1408">
        <v>66.692999999999998</v>
      </c>
      <c r="E1408">
        <v>0.6</v>
      </c>
      <c r="F1408">
        <v>0.41899999999999998</v>
      </c>
      <c r="H1408" s="4" t="str">
        <f t="array" aca="1" ref="H1408" ca="1">SUBSTITUTE(SUBSTITUTE(_xlfn.TEXTJOIN("",TRUE,IF(ISERR(MID(C1408,ROW(INDIRECT("1:100")),1)+0),MID(C1408,ROW(INDIRECT("1:100")),1),"")),")",""),"(","")</f>
        <v>All items less shelter</v>
      </c>
    </row>
    <row r="1409" spans="1:8" x14ac:dyDescent="0.25">
      <c r="A1409">
        <v>2019</v>
      </c>
      <c r="B1409">
        <v>2</v>
      </c>
      <c r="C1409" t="s">
        <v>21</v>
      </c>
      <c r="D1409">
        <v>53.314</v>
      </c>
      <c r="E1409">
        <v>0.3</v>
      </c>
      <c r="F1409">
        <v>0.157</v>
      </c>
      <c r="H1409" s="4" t="str">
        <f t="array" aca="1" ref="H1409" ca="1">SUBSTITUTE(SUBSTITUTE(_xlfn.TEXTJOIN("",TRUE,IF(ISERR(MID(C1409,ROW(INDIRECT("1:100")),1)+0),MID(C1409,ROW(INDIRECT("1:100")),1),"")),")",""),"(","")</f>
        <v>All items less food and shelter</v>
      </c>
    </row>
    <row r="1410" spans="1:8" x14ac:dyDescent="0.25">
      <c r="A1410">
        <v>2019</v>
      </c>
      <c r="B1410">
        <v>2</v>
      </c>
      <c r="C1410" t="s">
        <v>22</v>
      </c>
      <c r="D1410">
        <v>46.170999999999999</v>
      </c>
      <c r="E1410">
        <v>1.2</v>
      </c>
      <c r="F1410">
        <v>0.54500000000000004</v>
      </c>
      <c r="H1410" s="4" t="str">
        <f t="array" aca="1" ref="H1410" ca="1">SUBSTITUTE(SUBSTITUTE(_xlfn.TEXTJOIN("",TRUE,IF(ISERR(MID(C1410,ROW(INDIRECT("1:100")),1)+0),MID(C1410,ROW(INDIRECT("1:100")),1),"")),")",""),"(","")</f>
        <v>All items less food, shelter, and energy</v>
      </c>
    </row>
    <row r="1411" spans="1:8" x14ac:dyDescent="0.25">
      <c r="A1411">
        <v>2019</v>
      </c>
      <c r="B1411">
        <v>2</v>
      </c>
      <c r="C1411" t="s">
        <v>23</v>
      </c>
      <c r="D1411">
        <v>43.771999999999998</v>
      </c>
      <c r="E1411">
        <v>1.2</v>
      </c>
      <c r="F1411">
        <v>0.51900000000000002</v>
      </c>
      <c r="H1411" s="4" t="str">
        <f t="array" aca="1" ref="H1411" ca="1">SUBSTITUTE(SUBSTITUTE(_xlfn.TEXTJOIN("",TRUE,IF(ISERR(MID(C1411,ROW(INDIRECT("1:100")),1)+0),MID(C1411,ROW(INDIRECT("1:100")),1),"")),")",""),"(","")</f>
        <v>All items less food, shelter, energy, and used cars and trucks</v>
      </c>
    </row>
    <row r="1412" spans="1:8" x14ac:dyDescent="0.25">
      <c r="A1412">
        <v>2019</v>
      </c>
      <c r="B1412">
        <v>2</v>
      </c>
      <c r="C1412" t="s">
        <v>24</v>
      </c>
      <c r="D1412">
        <v>91.284999999999997</v>
      </c>
      <c r="E1412">
        <v>1.5</v>
      </c>
      <c r="F1412">
        <v>1.37</v>
      </c>
      <c r="H1412" s="4" t="str">
        <f t="array" aca="1" ref="H1412" ca="1">SUBSTITUTE(SUBSTITUTE(_xlfn.TEXTJOIN("",TRUE,IF(ISERR(MID(C1412,ROW(INDIRECT("1:100")),1)+0),MID(C1412,ROW(INDIRECT("1:100")),1),"")),")",""),"(","")</f>
        <v>All items less medical care</v>
      </c>
    </row>
    <row r="1413" spans="1:8" x14ac:dyDescent="0.25">
      <c r="A1413">
        <v>2019</v>
      </c>
      <c r="B1413">
        <v>2</v>
      </c>
      <c r="C1413" t="s">
        <v>25</v>
      </c>
      <c r="D1413">
        <v>92.856999999999999</v>
      </c>
      <c r="E1413">
        <v>2.1</v>
      </c>
      <c r="F1413">
        <v>1.9079999999999999</v>
      </c>
      <c r="H1413" s="4" t="str">
        <f t="array" aca="1" ref="H1413" ca="1">SUBSTITUTE(SUBSTITUTE(_xlfn.TEXTJOIN("",TRUE,IF(ISERR(MID(C1413,ROW(INDIRECT("1:100")),1)+0),MID(C1413,ROW(INDIRECT("1:100")),1),"")),")",""),"(","")</f>
        <v>All items less energy</v>
      </c>
    </row>
    <row r="1414" spans="1:8" x14ac:dyDescent="0.25">
      <c r="A1414">
        <v>2019</v>
      </c>
      <c r="B1414">
        <v>2</v>
      </c>
      <c r="C1414" t="s">
        <v>26</v>
      </c>
      <c r="D1414">
        <v>36.732999999999997</v>
      </c>
      <c r="E1414">
        <v>-0.2</v>
      </c>
      <c r="F1414">
        <v>-7.9000000000000001E-2</v>
      </c>
      <c r="H1414" s="4" t="str">
        <f t="array" aca="1" ref="H1414" ca="1">SUBSTITUTE(SUBSTITUTE(_xlfn.TEXTJOIN("",TRUE,IF(ISERR(MID(C1414,ROW(INDIRECT("1:100")),1)+0),MID(C1414,ROW(INDIRECT("1:100")),1),"")),")",""),"(","")</f>
        <v>Commodities</v>
      </c>
    </row>
    <row r="1415" spans="1:8" x14ac:dyDescent="0.25">
      <c r="A1415">
        <v>2019</v>
      </c>
      <c r="B1415">
        <v>2</v>
      </c>
      <c r="C1415" t="s">
        <v>27</v>
      </c>
      <c r="D1415">
        <v>63.267000000000003</v>
      </c>
      <c r="E1415">
        <v>2.6</v>
      </c>
      <c r="F1415">
        <v>1.599</v>
      </c>
      <c r="H1415" s="4" t="str">
        <f t="array" aca="1" ref="H1415" ca="1">SUBSTITUTE(SUBSTITUTE(_xlfn.TEXTJOIN("",TRUE,IF(ISERR(MID(C1415,ROW(INDIRECT("1:100")),1)+0),MID(C1415,ROW(INDIRECT("1:100")),1),"")),")",""),"(","")</f>
        <v>Services</v>
      </c>
    </row>
    <row r="1416" spans="1:8" x14ac:dyDescent="0.25">
      <c r="A1416">
        <v>2019</v>
      </c>
      <c r="B1416">
        <v>2</v>
      </c>
      <c r="C1416" t="s">
        <v>28</v>
      </c>
      <c r="D1416">
        <v>9.9949999999999992</v>
      </c>
      <c r="E1416">
        <v>0.4</v>
      </c>
      <c r="F1416">
        <v>0.04</v>
      </c>
      <c r="H1416" s="4" t="str">
        <f t="array" aca="1" ref="H1416" ca="1">SUBSTITUTE(SUBSTITUTE(_xlfn.TEXTJOIN("",TRUE,IF(ISERR(MID(C1416,ROW(INDIRECT("1:100")),1)+0),MID(C1416,ROW(INDIRECT("1:100")),1),"")),")",""),"(","")</f>
        <v>Durables</v>
      </c>
    </row>
    <row r="1417" spans="1:8" x14ac:dyDescent="0.25">
      <c r="A1417">
        <v>2019</v>
      </c>
      <c r="B1417">
        <v>2</v>
      </c>
      <c r="C1417" t="s">
        <v>29</v>
      </c>
      <c r="D1417">
        <v>26.738</v>
      </c>
      <c r="E1417">
        <v>-0.4</v>
      </c>
      <c r="F1417">
        <v>-0.11899999999999999</v>
      </c>
      <c r="H1417" s="4" t="str">
        <f t="array" aca="1" ref="H1417" ca="1">SUBSTITUTE(SUBSTITUTE(_xlfn.TEXTJOIN("",TRUE,IF(ISERR(MID(C1417,ROW(INDIRECT("1:100")),1)+0),MID(C1417,ROW(INDIRECT("1:100")),1),"")),")",""),"(","")</f>
        <v>Nondurables</v>
      </c>
    </row>
    <row r="1418" spans="1:8" x14ac:dyDescent="0.25">
      <c r="A1418">
        <v>2019</v>
      </c>
      <c r="B1418">
        <v>2</v>
      </c>
      <c r="C1418" t="s">
        <v>8</v>
      </c>
      <c r="D1418">
        <v>42.271000000000001</v>
      </c>
      <c r="E1418">
        <v>2.9</v>
      </c>
      <c r="F1418">
        <v>1.1970000000000001</v>
      </c>
      <c r="H1418" s="4" t="str">
        <f t="array" aca="1" ref="H1418" ca="1">SUBSTITUTE(SUBSTITUTE(_xlfn.TEXTJOIN("",TRUE,IF(ISERR(MID(C1418,ROW(INDIRECT("1:100")),1)+0),MID(C1418,ROW(INDIRECT("1:100")),1),"")),")",""),"(","")</f>
        <v>Housing</v>
      </c>
    </row>
    <row r="1419" spans="1:8" x14ac:dyDescent="0.25">
      <c r="A1419">
        <v>2019</v>
      </c>
      <c r="B1419">
        <v>2</v>
      </c>
      <c r="C1419" t="s">
        <v>48</v>
      </c>
      <c r="D1419">
        <v>6.5880000000000001</v>
      </c>
      <c r="E1419">
        <v>0.6</v>
      </c>
      <c r="F1419">
        <v>4.1000000000000002E-2</v>
      </c>
      <c r="H1419" s="4" t="str">
        <f t="array" aca="1" ref="H1419" ca="1">SUBSTITUTE(SUBSTITUTE(_xlfn.TEXTJOIN("",TRUE,IF(ISERR(MID(C1419,ROW(INDIRECT("1:100")),1)+0),MID(C1419,ROW(INDIRECT("1:100")),1),"")),")",""),"(","")</f>
        <v>Education and communication</v>
      </c>
    </row>
    <row r="1420" spans="1:8" x14ac:dyDescent="0.25">
      <c r="A1420">
        <v>2019</v>
      </c>
      <c r="B1420">
        <v>2</v>
      </c>
      <c r="C1420" t="s">
        <v>49</v>
      </c>
      <c r="D1420">
        <v>5.71</v>
      </c>
      <c r="E1420">
        <v>1</v>
      </c>
      <c r="F1420">
        <v>5.8000000000000003E-2</v>
      </c>
      <c r="H1420" s="4" t="str">
        <f t="array" aca="1" ref="H1420" ca="1">SUBSTITUTE(SUBSTITUTE(_xlfn.TEXTJOIN("",TRUE,IF(ISERR(MID(C1420,ROW(INDIRECT("1:100")),1)+0),MID(C1420,ROW(INDIRECT("1:100")),1),"")),")",""),"(","")</f>
        <v>Recreation</v>
      </c>
    </row>
    <row r="1421" spans="1:8" x14ac:dyDescent="0.25">
      <c r="A1421">
        <v>2019</v>
      </c>
      <c r="B1421">
        <v>2</v>
      </c>
      <c r="C1421" t="s">
        <v>6</v>
      </c>
      <c r="D1421">
        <v>14.352</v>
      </c>
      <c r="E1421">
        <v>2</v>
      </c>
      <c r="F1421">
        <v>0.27900000000000003</v>
      </c>
      <c r="H1421" s="4" t="str">
        <f t="array" aca="1" ref="H1421" ca="1">SUBSTITUTE(SUBSTITUTE(_xlfn.TEXTJOIN("",TRUE,IF(ISERR(MID(C1421,ROW(INDIRECT("1:100")),1)+0),MID(C1421,ROW(INDIRECT("1:100")),1),"")),")",""),"(","")</f>
        <v>Food and beverages</v>
      </c>
    </row>
    <row r="1422" spans="1:8" x14ac:dyDescent="0.25">
      <c r="A1422">
        <v>2019</v>
      </c>
      <c r="B1422">
        <v>2</v>
      </c>
      <c r="C1422" t="s">
        <v>32</v>
      </c>
      <c r="D1422">
        <v>11.605</v>
      </c>
      <c r="E1422">
        <v>1.9</v>
      </c>
      <c r="F1422">
        <v>0.215</v>
      </c>
      <c r="H1422" s="4" t="str">
        <f t="array" aca="1" ref="H1422" ca="1">SUBSTITUTE(SUBSTITUTE(_xlfn.TEXTJOIN("",TRUE,IF(ISERR(MID(C1422,ROW(INDIRECT("1:100")),1)+0),MID(C1422,ROW(INDIRECT("1:100")),1),"")),")",""),"(","")</f>
        <v>Other services</v>
      </c>
    </row>
    <row r="1423" spans="1:8" x14ac:dyDescent="0.25">
      <c r="A1423">
        <v>2019</v>
      </c>
      <c r="B1423">
        <v>2</v>
      </c>
      <c r="C1423" t="s">
        <v>33</v>
      </c>
      <c r="D1423">
        <v>2.331</v>
      </c>
      <c r="E1423">
        <v>-1.4</v>
      </c>
      <c r="F1423">
        <v>-3.3000000000000002E-2</v>
      </c>
      <c r="H1423" s="4" t="str">
        <f t="array" aca="1" ref="H1423" ca="1">SUBSTITUTE(SUBSTITUTE(_xlfn.TEXTJOIN("",TRUE,IF(ISERR(MID(C1423,ROW(INDIRECT("1:100")),1)+0),MID(C1423,ROW(INDIRECT("1:100")),1),"")),")",""),"(","")</f>
        <v>Apparel less footwear</v>
      </c>
    </row>
    <row r="1424" spans="1:8" x14ac:dyDescent="0.25">
      <c r="A1424">
        <v>2019</v>
      </c>
      <c r="B1424">
        <v>2</v>
      </c>
      <c r="C1424" t="s">
        <v>34</v>
      </c>
      <c r="D1424">
        <v>4.6779999999999999</v>
      </c>
      <c r="E1424">
        <v>0.3</v>
      </c>
      <c r="F1424">
        <v>1.2E-2</v>
      </c>
      <c r="H1424" s="4" t="str">
        <f t="array" aca="1" ref="H1424" ca="1">SUBSTITUTE(SUBSTITUTE(_xlfn.TEXTJOIN("",TRUE,IF(ISERR(MID(C1424,ROW(INDIRECT("1:100")),1)+0),MID(C1424,ROW(INDIRECT("1:100")),1),"")),")",""),"(","")</f>
        <v>Fuels and utilities</v>
      </c>
    </row>
    <row r="1425" spans="1:8" x14ac:dyDescent="0.25">
      <c r="A1425">
        <v>2019</v>
      </c>
      <c r="B1425">
        <v>2</v>
      </c>
      <c r="C1425" t="s">
        <v>11</v>
      </c>
      <c r="D1425">
        <v>8.7149999999999999</v>
      </c>
      <c r="E1425">
        <v>1.7</v>
      </c>
      <c r="F1425">
        <v>0.15</v>
      </c>
      <c r="H1425" s="4" t="str">
        <f t="array" aca="1" ref="H1425" ca="1">SUBSTITUTE(SUBSTITUTE(_xlfn.TEXTJOIN("",TRUE,IF(ISERR(MID(C1425,ROW(INDIRECT("1:100")),1)+0),MID(C1425,ROW(INDIRECT("1:100")),1),"")),")",""),"(","")</f>
        <v>Medical care</v>
      </c>
    </row>
    <row r="1426" spans="1:8" x14ac:dyDescent="0.25">
      <c r="A1426">
        <v>2019</v>
      </c>
      <c r="B1426">
        <v>2</v>
      </c>
      <c r="C1426" t="s">
        <v>7</v>
      </c>
      <c r="D1426">
        <v>16.16</v>
      </c>
      <c r="E1426">
        <v>-1.5</v>
      </c>
      <c r="F1426">
        <v>-0.252</v>
      </c>
      <c r="H1426" s="4" t="str">
        <f t="array" aca="1" ref="H1426" ca="1">SUBSTITUTE(SUBSTITUTE(_xlfn.TEXTJOIN("",TRUE,IF(ISERR(MID(C1426,ROW(INDIRECT("1:100")),1)+0),MID(C1426,ROW(INDIRECT("1:100")),1),"")),")",""),"(","")</f>
        <v>Transportation</v>
      </c>
    </row>
    <row r="1427" spans="1:8" x14ac:dyDescent="0.25">
      <c r="A1427">
        <v>2019</v>
      </c>
      <c r="B1427">
        <v>2</v>
      </c>
      <c r="C1427" t="s">
        <v>35</v>
      </c>
      <c r="D1427">
        <v>9.3450000000000006</v>
      </c>
      <c r="E1427">
        <v>-0.3</v>
      </c>
      <c r="F1427">
        <v>-2.4E-2</v>
      </c>
      <c r="H1427" s="4" t="str">
        <f t="array" aca="1" ref="H1427" ca="1">SUBSTITUTE(SUBSTITUTE(_xlfn.TEXTJOIN("",TRUE,IF(ISERR(MID(C1427,ROW(INDIRECT("1:100")),1)+0),MID(C1427,ROW(INDIRECT("1:100")),1),"")),")",""),"(","")</f>
        <v>Utilities and public transportation</v>
      </c>
    </row>
    <row r="1428" spans="1:8" x14ac:dyDescent="0.25">
      <c r="A1428">
        <v>2019</v>
      </c>
      <c r="B1428">
        <v>2</v>
      </c>
      <c r="C1428" t="s">
        <v>36</v>
      </c>
      <c r="D1428">
        <v>4.2859999999999996</v>
      </c>
      <c r="E1428">
        <v>2</v>
      </c>
      <c r="F1428">
        <v>8.3000000000000004E-2</v>
      </c>
      <c r="H1428" s="4" t="str">
        <f t="array" aca="1" ref="H1428" ca="1">SUBSTITUTE(SUBSTITUTE(_xlfn.TEXTJOIN("",TRUE,IF(ISERR(MID(C1428,ROW(INDIRECT("1:100")),1)+0),MID(C1428,ROW(INDIRECT("1:100")),1),"")),")",""),"(","")</f>
        <v>Household furnishings and operations</v>
      </c>
    </row>
    <row r="1429" spans="1:8" x14ac:dyDescent="0.25">
      <c r="A1429">
        <v>2019</v>
      </c>
      <c r="B1429">
        <v>2</v>
      </c>
      <c r="C1429" t="s">
        <v>12</v>
      </c>
      <c r="D1429">
        <v>3.2050000000000001</v>
      </c>
      <c r="E1429">
        <v>2.2000000000000002</v>
      </c>
      <c r="F1429">
        <v>7.1999999999999995E-2</v>
      </c>
      <c r="H1429" s="4" t="str">
        <f t="array" aca="1" ref="H1429" ca="1">SUBSTITUTE(SUBSTITUTE(_xlfn.TEXTJOIN("",TRUE,IF(ISERR(MID(C1429,ROW(INDIRECT("1:100")),1)+0),MID(C1429,ROW(INDIRECT("1:100")),1),"")),")",""),"(","")</f>
        <v>Other goods and services</v>
      </c>
    </row>
    <row r="1430" spans="1:8" x14ac:dyDescent="0.25">
      <c r="A1430">
        <v>2019</v>
      </c>
      <c r="B1430">
        <v>3</v>
      </c>
      <c r="C1430" t="s">
        <v>14</v>
      </c>
      <c r="D1430">
        <v>100</v>
      </c>
      <c r="E1430">
        <v>1.9</v>
      </c>
      <c r="H1430" s="4" t="str">
        <f t="array" aca="1" ref="H1430" ca="1">SUBSTITUTE(SUBSTITUTE(_xlfn.TEXTJOIN("",TRUE,IF(ISERR(MID(C1430,ROW(INDIRECT("1:100")),1)+0),MID(C1430,ROW(INDIRECT("1:100")),1),"")),")",""),"(","")</f>
        <v>All items</v>
      </c>
    </row>
    <row r="1431" spans="1:8" x14ac:dyDescent="0.25">
      <c r="A1431">
        <v>2019</v>
      </c>
      <c r="B1431">
        <v>3</v>
      </c>
      <c r="C1431" t="s">
        <v>15</v>
      </c>
      <c r="D1431">
        <v>13.364000000000001</v>
      </c>
      <c r="E1431">
        <v>2.1</v>
      </c>
      <c r="F1431">
        <v>0.28199999999999997</v>
      </c>
      <c r="H1431" s="4" t="str">
        <f t="array" aca="1" ref="H1431" ca="1">SUBSTITUTE(SUBSTITUTE(_xlfn.TEXTJOIN("",TRUE,IF(ISERR(MID(C1431,ROW(INDIRECT("1:100")),1)+0),MID(C1431,ROW(INDIRECT("1:100")),1),"")),")",""),"(","")</f>
        <v>Food</v>
      </c>
    </row>
    <row r="1432" spans="1:8" x14ac:dyDescent="0.25">
      <c r="A1432">
        <v>2019</v>
      </c>
      <c r="B1432">
        <v>3</v>
      </c>
      <c r="C1432" t="s">
        <v>16</v>
      </c>
      <c r="D1432">
        <v>7.19</v>
      </c>
      <c r="E1432">
        <v>-0.4</v>
      </c>
      <c r="F1432">
        <v>-0.03</v>
      </c>
      <c r="H1432" s="4" t="str">
        <f t="array" aca="1" ref="H1432" ca="1">SUBSTITUTE(SUBSTITUTE(_xlfn.TEXTJOIN("",TRUE,IF(ISERR(MID(C1432,ROW(INDIRECT("1:100")),1)+0),MID(C1432,ROW(INDIRECT("1:100")),1),"")),")",""),"(","")</f>
        <v>Energy</v>
      </c>
    </row>
    <row r="1433" spans="1:8" x14ac:dyDescent="0.25">
      <c r="A1433">
        <v>2019</v>
      </c>
      <c r="B1433">
        <v>3</v>
      </c>
      <c r="C1433" t="s">
        <v>17</v>
      </c>
      <c r="D1433">
        <v>79.445999999999998</v>
      </c>
      <c r="E1433">
        <v>2</v>
      </c>
      <c r="F1433">
        <v>1.611</v>
      </c>
      <c r="H1433" s="4" t="str">
        <f t="array" aca="1" ref="H1433" ca="1">SUBSTITUTE(SUBSTITUTE(_xlfn.TEXTJOIN("",TRUE,IF(ISERR(MID(C1433,ROW(INDIRECT("1:100")),1)+0),MID(C1433,ROW(INDIRECT("1:100")),1),"")),")",""),"(","")</f>
        <v>All items less food and energy</v>
      </c>
    </row>
    <row r="1434" spans="1:8" x14ac:dyDescent="0.25">
      <c r="A1434">
        <v>2019</v>
      </c>
      <c r="B1434">
        <v>3</v>
      </c>
      <c r="C1434" t="s">
        <v>18</v>
      </c>
      <c r="H1434" s="4" t="str">
        <f t="array" aca="1" ref="H1434" ca="1">SUBSTITUTE(SUBSTITUTE(_xlfn.TEXTJOIN("",TRUE,IF(ISERR(MID(C1434,ROW(INDIRECT("1:100")),1)+0),MID(C1434,ROW(INDIRECT("1:100")),1),"")),")",""),"(","")</f>
        <v>Special aggregate indexes</v>
      </c>
    </row>
    <row r="1435" spans="1:8" x14ac:dyDescent="0.25">
      <c r="A1435">
        <v>2019</v>
      </c>
      <c r="B1435">
        <v>3</v>
      </c>
      <c r="C1435" t="s">
        <v>19</v>
      </c>
      <c r="D1435">
        <v>86.635999999999996</v>
      </c>
      <c r="E1435">
        <v>1.8</v>
      </c>
      <c r="F1435">
        <v>1.581</v>
      </c>
      <c r="H1435" s="4" t="str">
        <f t="array" aca="1" ref="H1435" ca="1">SUBSTITUTE(SUBSTITUTE(_xlfn.TEXTJOIN("",TRUE,IF(ISERR(MID(C1435,ROW(INDIRECT("1:100")),1)+0),MID(C1435,ROW(INDIRECT("1:100")),1),"")),")",""),"(","")</f>
        <v>All items less food</v>
      </c>
    </row>
    <row r="1436" spans="1:8" x14ac:dyDescent="0.25">
      <c r="A1436">
        <v>2019</v>
      </c>
      <c r="B1436">
        <v>3</v>
      </c>
      <c r="C1436" t="s">
        <v>20</v>
      </c>
      <c r="D1436">
        <v>66.706999999999994</v>
      </c>
      <c r="E1436">
        <v>1.1000000000000001</v>
      </c>
      <c r="F1436">
        <v>0.75700000000000001</v>
      </c>
      <c r="H1436" s="4" t="str">
        <f t="array" aca="1" ref="H1436" ca="1">SUBSTITUTE(SUBSTITUTE(_xlfn.TEXTJOIN("",TRUE,IF(ISERR(MID(C1436,ROW(INDIRECT("1:100")),1)+0),MID(C1436,ROW(INDIRECT("1:100")),1),"")),")",""),"(","")</f>
        <v>All items less shelter</v>
      </c>
    </row>
    <row r="1437" spans="1:8" x14ac:dyDescent="0.25">
      <c r="A1437">
        <v>2019</v>
      </c>
      <c r="B1437">
        <v>3</v>
      </c>
      <c r="C1437" t="s">
        <v>21</v>
      </c>
      <c r="D1437">
        <v>53.343000000000004</v>
      </c>
      <c r="E1437">
        <v>0.9</v>
      </c>
      <c r="F1437">
        <v>0.47499999999999998</v>
      </c>
      <c r="H1437" s="4" t="str">
        <f t="array" aca="1" ref="H1437" ca="1">SUBSTITUTE(SUBSTITUTE(_xlfn.TEXTJOIN("",TRUE,IF(ISERR(MID(C1437,ROW(INDIRECT("1:100")),1)+0),MID(C1437,ROW(INDIRECT("1:100")),1),"")),")",""),"(","")</f>
        <v>All items less food and shelter</v>
      </c>
    </row>
    <row r="1438" spans="1:8" x14ac:dyDescent="0.25">
      <c r="A1438">
        <v>2019</v>
      </c>
      <c r="B1438">
        <v>3</v>
      </c>
      <c r="C1438" t="s">
        <v>22</v>
      </c>
      <c r="D1438">
        <v>46.152999999999999</v>
      </c>
      <c r="E1438">
        <v>1.1000000000000001</v>
      </c>
      <c r="F1438">
        <v>0.505</v>
      </c>
      <c r="H1438" s="4" t="str">
        <f t="array" aca="1" ref="H1438" ca="1">SUBSTITUTE(SUBSTITUTE(_xlfn.TEXTJOIN("",TRUE,IF(ISERR(MID(C1438,ROW(INDIRECT("1:100")),1)+0),MID(C1438,ROW(INDIRECT("1:100")),1),"")),")",""),"(","")</f>
        <v>All items less food, shelter, and energy</v>
      </c>
    </row>
    <row r="1439" spans="1:8" x14ac:dyDescent="0.25">
      <c r="A1439">
        <v>2019</v>
      </c>
      <c r="B1439">
        <v>3</v>
      </c>
      <c r="C1439" t="s">
        <v>23</v>
      </c>
      <c r="D1439">
        <v>43.756</v>
      </c>
      <c r="E1439">
        <v>1.1000000000000001</v>
      </c>
      <c r="F1439">
        <v>0.49399999999999999</v>
      </c>
      <c r="H1439" s="4" t="str">
        <f t="array" aca="1" ref="H1439" ca="1">SUBSTITUTE(SUBSTITUTE(_xlfn.TEXTJOIN("",TRUE,IF(ISERR(MID(C1439,ROW(INDIRECT("1:100")),1)+0),MID(C1439,ROW(INDIRECT("1:100")),1),"")),")",""),"(","")</f>
        <v>All items less food, shelter, energy, and used cars and trucks</v>
      </c>
    </row>
    <row r="1440" spans="1:8" x14ac:dyDescent="0.25">
      <c r="A1440">
        <v>2019</v>
      </c>
      <c r="B1440">
        <v>3</v>
      </c>
      <c r="C1440" t="s">
        <v>24</v>
      </c>
      <c r="D1440">
        <v>91.304000000000002</v>
      </c>
      <c r="E1440">
        <v>1.9</v>
      </c>
      <c r="F1440">
        <v>1.7130000000000001</v>
      </c>
      <c r="H1440" s="4" t="str">
        <f t="array" aca="1" ref="H1440" ca="1">SUBSTITUTE(SUBSTITUTE(_xlfn.TEXTJOIN("",TRUE,IF(ISERR(MID(C1440,ROW(INDIRECT("1:100")),1)+0),MID(C1440,ROW(INDIRECT("1:100")),1),"")),")",""),"(","")</f>
        <v>All items less medical care</v>
      </c>
    </row>
    <row r="1441" spans="1:8" x14ac:dyDescent="0.25">
      <c r="A1441">
        <v>2019</v>
      </c>
      <c r="B1441">
        <v>3</v>
      </c>
      <c r="C1441" t="s">
        <v>25</v>
      </c>
      <c r="D1441">
        <v>92.81</v>
      </c>
      <c r="E1441">
        <v>2</v>
      </c>
      <c r="F1441">
        <v>1.8919999999999999</v>
      </c>
      <c r="H1441" s="4" t="str">
        <f t="array" aca="1" ref="H1441" ca="1">SUBSTITUTE(SUBSTITUTE(_xlfn.TEXTJOIN("",TRUE,IF(ISERR(MID(C1441,ROW(INDIRECT("1:100")),1)+0),MID(C1441,ROW(INDIRECT("1:100")),1),"")),")",""),"(","")</f>
        <v>All items less energy</v>
      </c>
    </row>
    <row r="1442" spans="1:8" x14ac:dyDescent="0.25">
      <c r="A1442">
        <v>2019</v>
      </c>
      <c r="B1442">
        <v>3</v>
      </c>
      <c r="C1442" t="s">
        <v>26</v>
      </c>
      <c r="D1442">
        <v>36.817</v>
      </c>
      <c r="E1442">
        <v>0.7</v>
      </c>
      <c r="F1442">
        <v>0.247</v>
      </c>
      <c r="H1442" s="4" t="str">
        <f t="array" aca="1" ref="H1442" ca="1">SUBSTITUTE(SUBSTITUTE(_xlfn.TEXTJOIN("",TRUE,IF(ISERR(MID(C1442,ROW(INDIRECT("1:100")),1)+0),MID(C1442,ROW(INDIRECT("1:100")),1),"")),")",""),"(","")</f>
        <v>Commodities</v>
      </c>
    </row>
    <row r="1443" spans="1:8" x14ac:dyDescent="0.25">
      <c r="A1443">
        <v>2019</v>
      </c>
      <c r="B1443">
        <v>3</v>
      </c>
      <c r="C1443" t="s">
        <v>27</v>
      </c>
      <c r="D1443">
        <v>63.183</v>
      </c>
      <c r="E1443">
        <v>2.6</v>
      </c>
      <c r="F1443">
        <v>1.615</v>
      </c>
      <c r="H1443" s="4" t="str">
        <f t="array" aca="1" ref="H1443" ca="1">SUBSTITUTE(SUBSTITUTE(_xlfn.TEXTJOIN("",TRUE,IF(ISERR(MID(C1443,ROW(INDIRECT("1:100")),1)+0),MID(C1443,ROW(INDIRECT("1:100")),1),"")),")",""),"(","")</f>
        <v>Services</v>
      </c>
    </row>
    <row r="1444" spans="1:8" x14ac:dyDescent="0.25">
      <c r="A1444">
        <v>2019</v>
      </c>
      <c r="B1444">
        <v>3</v>
      </c>
      <c r="C1444" t="s">
        <v>28</v>
      </c>
      <c r="D1444">
        <v>9.9749999999999996</v>
      </c>
      <c r="E1444">
        <v>0.3</v>
      </c>
      <c r="F1444">
        <v>3.2000000000000001E-2</v>
      </c>
      <c r="H1444" s="4" t="str">
        <f t="array" aca="1" ref="H1444" ca="1">SUBSTITUTE(SUBSTITUTE(_xlfn.TEXTJOIN("",TRUE,IF(ISERR(MID(C1444,ROW(INDIRECT("1:100")),1)+0),MID(C1444,ROW(INDIRECT("1:100")),1),"")),")",""),"(","")</f>
        <v>Durables</v>
      </c>
    </row>
    <row r="1445" spans="1:8" x14ac:dyDescent="0.25">
      <c r="A1445">
        <v>2019</v>
      </c>
      <c r="B1445">
        <v>3</v>
      </c>
      <c r="C1445" t="s">
        <v>29</v>
      </c>
      <c r="D1445">
        <v>26.841999999999999</v>
      </c>
      <c r="E1445">
        <v>0.8</v>
      </c>
      <c r="F1445">
        <v>0.215</v>
      </c>
      <c r="H1445" s="4" t="str">
        <f t="array" aca="1" ref="H1445" ca="1">SUBSTITUTE(SUBSTITUTE(_xlfn.TEXTJOIN("",TRUE,IF(ISERR(MID(C1445,ROW(INDIRECT("1:100")),1)+0),MID(C1445,ROW(INDIRECT("1:100")),1),"")),")",""),"(","")</f>
        <v>Nondurables</v>
      </c>
    </row>
    <row r="1446" spans="1:8" x14ac:dyDescent="0.25">
      <c r="A1446">
        <v>2019</v>
      </c>
      <c r="B1446">
        <v>3</v>
      </c>
      <c r="C1446" t="s">
        <v>8</v>
      </c>
      <c r="D1446">
        <v>42.216999999999999</v>
      </c>
      <c r="E1446">
        <v>2.9</v>
      </c>
      <c r="F1446">
        <v>1.2190000000000001</v>
      </c>
      <c r="H1446" s="4" t="str">
        <f t="array" aca="1" ref="H1446" ca="1">SUBSTITUTE(SUBSTITUTE(_xlfn.TEXTJOIN("",TRUE,IF(ISERR(MID(C1446,ROW(INDIRECT("1:100")),1)+0),MID(C1446,ROW(INDIRECT("1:100")),1),"")),")",""),"(","")</f>
        <v>Housing</v>
      </c>
    </row>
    <row r="1447" spans="1:8" x14ac:dyDescent="0.25">
      <c r="A1447">
        <v>2019</v>
      </c>
      <c r="B1447">
        <v>3</v>
      </c>
      <c r="C1447" t="s">
        <v>48</v>
      </c>
      <c r="D1447">
        <v>6.5650000000000004</v>
      </c>
      <c r="E1447">
        <v>0.8</v>
      </c>
      <c r="F1447">
        <v>5.0999999999999997E-2</v>
      </c>
      <c r="H1447" s="4" t="str">
        <f t="array" aca="1" ref="H1447" ca="1">SUBSTITUTE(SUBSTITUTE(_xlfn.TEXTJOIN("",TRUE,IF(ISERR(MID(C1447,ROW(INDIRECT("1:100")),1)+0),MID(C1447,ROW(INDIRECT("1:100")),1),"")),")",""),"(","")</f>
        <v>Education and communication</v>
      </c>
    </row>
    <row r="1448" spans="1:8" x14ac:dyDescent="0.25">
      <c r="A1448">
        <v>2019</v>
      </c>
      <c r="B1448">
        <v>3</v>
      </c>
      <c r="C1448" t="s">
        <v>49</v>
      </c>
      <c r="D1448">
        <v>5.6879999999999997</v>
      </c>
      <c r="E1448">
        <v>1.2</v>
      </c>
      <c r="F1448">
        <v>7.0000000000000007E-2</v>
      </c>
      <c r="H1448" s="4" t="str">
        <f t="array" aca="1" ref="H1448" ca="1">SUBSTITUTE(SUBSTITUTE(_xlfn.TEXTJOIN("",TRUE,IF(ISERR(MID(C1448,ROW(INDIRECT("1:100")),1)+0),MID(C1448,ROW(INDIRECT("1:100")),1),"")),")",""),"(","")</f>
        <v>Recreation</v>
      </c>
    </row>
    <row r="1449" spans="1:8" x14ac:dyDescent="0.25">
      <c r="A1449">
        <v>2019</v>
      </c>
      <c r="B1449">
        <v>3</v>
      </c>
      <c r="C1449" t="s">
        <v>6</v>
      </c>
      <c r="D1449">
        <v>14.337</v>
      </c>
      <c r="E1449">
        <v>2.1</v>
      </c>
      <c r="F1449">
        <v>0.29699999999999999</v>
      </c>
      <c r="H1449" s="4" t="str">
        <f t="array" aca="1" ref="H1449" ca="1">SUBSTITUTE(SUBSTITUTE(_xlfn.TEXTJOIN("",TRUE,IF(ISERR(MID(C1449,ROW(INDIRECT("1:100")),1)+0),MID(C1449,ROW(INDIRECT("1:100")),1),"")),")",""),"(","")</f>
        <v>Food and beverages</v>
      </c>
    </row>
    <row r="1450" spans="1:8" x14ac:dyDescent="0.25">
      <c r="A1450">
        <v>2019</v>
      </c>
      <c r="B1450">
        <v>3</v>
      </c>
      <c r="C1450" t="s">
        <v>32</v>
      </c>
      <c r="D1450">
        <v>11.584</v>
      </c>
      <c r="E1450">
        <v>2</v>
      </c>
      <c r="F1450">
        <v>0.22500000000000001</v>
      </c>
      <c r="H1450" s="4" t="str">
        <f t="array" aca="1" ref="H1450" ca="1">SUBSTITUTE(SUBSTITUTE(_xlfn.TEXTJOIN("",TRUE,IF(ISERR(MID(C1450,ROW(INDIRECT("1:100")),1)+0),MID(C1450,ROW(INDIRECT("1:100")),1),"")),")",""),"(","")</f>
        <v>Other services</v>
      </c>
    </row>
    <row r="1451" spans="1:8" x14ac:dyDescent="0.25">
      <c r="A1451">
        <v>2019</v>
      </c>
      <c r="B1451">
        <v>3</v>
      </c>
      <c r="C1451" t="s">
        <v>33</v>
      </c>
      <c r="D1451">
        <v>2.3919999999999999</v>
      </c>
      <c r="E1451">
        <v>-2.2999999999999998</v>
      </c>
      <c r="F1451">
        <v>-5.8000000000000003E-2</v>
      </c>
      <c r="H1451" s="4" t="str">
        <f t="array" aca="1" ref="H1451" ca="1">SUBSTITUTE(SUBSTITUTE(_xlfn.TEXTJOIN("",TRUE,IF(ISERR(MID(C1451,ROW(INDIRECT("1:100")),1)+0),MID(C1451,ROW(INDIRECT("1:100")),1),"")),")",""),"(","")</f>
        <v>Apparel less footwear</v>
      </c>
    </row>
    <row r="1452" spans="1:8" x14ac:dyDescent="0.25">
      <c r="A1452">
        <v>2019</v>
      </c>
      <c r="B1452">
        <v>3</v>
      </c>
      <c r="C1452" t="s">
        <v>34</v>
      </c>
      <c r="D1452">
        <v>4.6429999999999998</v>
      </c>
      <c r="E1452">
        <v>0.7</v>
      </c>
      <c r="F1452">
        <v>3.4000000000000002E-2</v>
      </c>
      <c r="H1452" s="4" t="str">
        <f t="array" aca="1" ref="H1452" ca="1">SUBSTITUTE(SUBSTITUTE(_xlfn.TEXTJOIN("",TRUE,IF(ISERR(MID(C1452,ROW(INDIRECT("1:100")),1)+0),MID(C1452,ROW(INDIRECT("1:100")),1),"")),")",""),"(","")</f>
        <v>Fuels and utilities</v>
      </c>
    </row>
    <row r="1453" spans="1:8" x14ac:dyDescent="0.25">
      <c r="A1453">
        <v>2019</v>
      </c>
      <c r="B1453">
        <v>3</v>
      </c>
      <c r="C1453" t="s">
        <v>11</v>
      </c>
      <c r="D1453">
        <v>8.6959999999999997</v>
      </c>
      <c r="E1453">
        <v>1.7</v>
      </c>
      <c r="F1453">
        <v>0.14899999999999999</v>
      </c>
      <c r="H1453" s="4" t="str">
        <f t="array" aca="1" ref="H1453" ca="1">SUBSTITUTE(SUBSTITUTE(_xlfn.TEXTJOIN("",TRUE,IF(ISERR(MID(C1453,ROW(INDIRECT("1:100")),1)+0),MID(C1453,ROW(INDIRECT("1:100")),1),"")),")",""),"(","")</f>
        <v>Medical care</v>
      </c>
    </row>
    <row r="1454" spans="1:8" x14ac:dyDescent="0.25">
      <c r="A1454">
        <v>2019</v>
      </c>
      <c r="B1454">
        <v>3</v>
      </c>
      <c r="C1454" t="s">
        <v>7</v>
      </c>
      <c r="D1454">
        <v>16.224</v>
      </c>
      <c r="E1454">
        <v>0.5</v>
      </c>
      <c r="F1454">
        <v>0.08</v>
      </c>
      <c r="H1454" s="4" t="str">
        <f t="array" aca="1" ref="H1454" ca="1">SUBSTITUTE(SUBSTITUTE(_xlfn.TEXTJOIN("",TRUE,IF(ISERR(MID(C1454,ROW(INDIRECT("1:100")),1)+0),MID(C1454,ROW(INDIRECT("1:100")),1),"")),")",""),"(","")</f>
        <v>Transportation</v>
      </c>
    </row>
    <row r="1455" spans="1:8" x14ac:dyDescent="0.25">
      <c r="A1455">
        <v>2019</v>
      </c>
      <c r="B1455">
        <v>3</v>
      </c>
      <c r="C1455" t="s">
        <v>35</v>
      </c>
      <c r="D1455">
        <v>9.3219999999999992</v>
      </c>
      <c r="E1455">
        <v>-0.1</v>
      </c>
      <c r="F1455">
        <v>-7.0000000000000001E-3</v>
      </c>
      <c r="H1455" s="4" t="str">
        <f t="array" aca="1" ref="H1455" ca="1">SUBSTITUTE(SUBSTITUTE(_xlfn.TEXTJOIN("",TRUE,IF(ISERR(MID(C1455,ROW(INDIRECT("1:100")),1)+0),MID(C1455,ROW(INDIRECT("1:100")),1),"")),")",""),"(","")</f>
        <v>Utilities and public transportation</v>
      </c>
    </row>
    <row r="1456" spans="1:8" x14ac:dyDescent="0.25">
      <c r="A1456">
        <v>2019</v>
      </c>
      <c r="B1456">
        <v>3</v>
      </c>
      <c r="C1456" t="s">
        <v>36</v>
      </c>
      <c r="D1456">
        <v>4.282</v>
      </c>
      <c r="E1456">
        <v>1.9</v>
      </c>
      <c r="F1456">
        <v>7.9000000000000001E-2</v>
      </c>
      <c r="H1456" s="4" t="str">
        <f t="array" aca="1" ref="H1456" ca="1">SUBSTITUTE(SUBSTITUTE(_xlfn.TEXTJOIN("",TRUE,IF(ISERR(MID(C1456,ROW(INDIRECT("1:100")),1)+0),MID(C1456,ROW(INDIRECT("1:100")),1),"")),")",""),"(","")</f>
        <v>Household furnishings and operations</v>
      </c>
    </row>
    <row r="1457" spans="1:8" x14ac:dyDescent="0.25">
      <c r="A1457">
        <v>2019</v>
      </c>
      <c r="B1457">
        <v>3</v>
      </c>
      <c r="C1457" t="s">
        <v>12</v>
      </c>
      <c r="D1457">
        <v>3.2069999999999999</v>
      </c>
      <c r="E1457">
        <v>2.1</v>
      </c>
      <c r="F1457">
        <v>6.7000000000000004E-2</v>
      </c>
      <c r="H1457" s="4" t="str">
        <f t="array" aca="1" ref="H1457" ca="1">SUBSTITUTE(SUBSTITUTE(_xlfn.TEXTJOIN("",TRUE,IF(ISERR(MID(C1457,ROW(INDIRECT("1:100")),1)+0),MID(C1457,ROW(INDIRECT("1:100")),1),"")),")",""),"(","")</f>
        <v>Other goods and services</v>
      </c>
    </row>
    <row r="1458" spans="1:8" x14ac:dyDescent="0.25">
      <c r="A1458">
        <v>2019</v>
      </c>
      <c r="B1458">
        <v>4</v>
      </c>
      <c r="C1458" t="s">
        <v>14</v>
      </c>
      <c r="D1458">
        <v>100</v>
      </c>
      <c r="E1458">
        <v>2</v>
      </c>
      <c r="H1458" s="4" t="str">
        <f t="array" aca="1" ref="H1458" ca="1">SUBSTITUTE(SUBSTITUTE(_xlfn.TEXTJOIN("",TRUE,IF(ISERR(MID(C1458,ROW(INDIRECT("1:100")),1)+0),MID(C1458,ROW(INDIRECT("1:100")),1),"")),")",""),"(","")</f>
        <v>All items</v>
      </c>
    </row>
    <row r="1459" spans="1:8" x14ac:dyDescent="0.25">
      <c r="A1459">
        <v>2019</v>
      </c>
      <c r="B1459">
        <v>4</v>
      </c>
      <c r="C1459" t="s">
        <v>15</v>
      </c>
      <c r="D1459">
        <v>13.315</v>
      </c>
      <c r="E1459">
        <v>1.8</v>
      </c>
      <c r="F1459">
        <v>0.23599999999999999</v>
      </c>
      <c r="H1459" s="4" t="str">
        <f t="array" aca="1" ref="H1459" ca="1">SUBSTITUTE(SUBSTITUTE(_xlfn.TEXTJOIN("",TRUE,IF(ISERR(MID(C1459,ROW(INDIRECT("1:100")),1)+0),MID(C1459,ROW(INDIRECT("1:100")),1),"")),")",""),"(","")</f>
        <v>Food</v>
      </c>
    </row>
    <row r="1460" spans="1:8" x14ac:dyDescent="0.25">
      <c r="A1460">
        <v>2019</v>
      </c>
      <c r="B1460">
        <v>4</v>
      </c>
      <c r="C1460" t="s">
        <v>16</v>
      </c>
      <c r="D1460">
        <v>7.4660000000000002</v>
      </c>
      <c r="E1460">
        <v>1.7</v>
      </c>
      <c r="F1460">
        <v>0.13100000000000001</v>
      </c>
      <c r="H1460" s="4" t="str">
        <f t="array" aca="1" ref="H1460" ca="1">SUBSTITUTE(SUBSTITUTE(_xlfn.TEXTJOIN("",TRUE,IF(ISERR(MID(C1460,ROW(INDIRECT("1:100")),1)+0),MID(C1460,ROW(INDIRECT("1:100")),1),"")),")",""),"(","")</f>
        <v>Energy</v>
      </c>
    </row>
    <row r="1461" spans="1:8" x14ac:dyDescent="0.25">
      <c r="A1461">
        <v>2019</v>
      </c>
      <c r="B1461">
        <v>4</v>
      </c>
      <c r="C1461" t="s">
        <v>17</v>
      </c>
      <c r="D1461">
        <v>79.218000000000004</v>
      </c>
      <c r="E1461">
        <v>2.1</v>
      </c>
      <c r="F1461">
        <v>1.629</v>
      </c>
      <c r="H1461" s="4" t="str">
        <f t="array" aca="1" ref="H1461" ca="1">SUBSTITUTE(SUBSTITUTE(_xlfn.TEXTJOIN("",TRUE,IF(ISERR(MID(C1461,ROW(INDIRECT("1:100")),1)+0),MID(C1461,ROW(INDIRECT("1:100")),1),"")),")",""),"(","")</f>
        <v>All items less food and energy</v>
      </c>
    </row>
    <row r="1462" spans="1:8" x14ac:dyDescent="0.25">
      <c r="A1462">
        <v>2019</v>
      </c>
      <c r="B1462">
        <v>4</v>
      </c>
      <c r="C1462" t="s">
        <v>18</v>
      </c>
      <c r="H1462" s="4" t="str">
        <f t="array" aca="1" ref="H1462" ca="1">SUBSTITUTE(SUBSTITUTE(_xlfn.TEXTJOIN("",TRUE,IF(ISERR(MID(C1462,ROW(INDIRECT("1:100")),1)+0),MID(C1462,ROW(INDIRECT("1:100")),1),"")),")",""),"(","")</f>
        <v>Special aggregate indexes</v>
      </c>
    </row>
    <row r="1463" spans="1:8" x14ac:dyDescent="0.25">
      <c r="A1463">
        <v>2019</v>
      </c>
      <c r="B1463">
        <v>4</v>
      </c>
      <c r="C1463" t="s">
        <v>19</v>
      </c>
      <c r="D1463">
        <v>86.685000000000002</v>
      </c>
      <c r="E1463">
        <v>2</v>
      </c>
      <c r="F1463">
        <v>1.76</v>
      </c>
      <c r="H1463" s="4" t="str">
        <f t="array" aca="1" ref="H1463" ca="1">SUBSTITUTE(SUBSTITUTE(_xlfn.TEXTJOIN("",TRUE,IF(ISERR(MID(C1463,ROW(INDIRECT("1:100")),1)+0),MID(C1463,ROW(INDIRECT("1:100")),1),"")),")",""),"(","")</f>
        <v>All items less food</v>
      </c>
    </row>
    <row r="1464" spans="1:8" x14ac:dyDescent="0.25">
      <c r="A1464">
        <v>2019</v>
      </c>
      <c r="B1464">
        <v>4</v>
      </c>
      <c r="C1464" t="s">
        <v>20</v>
      </c>
      <c r="D1464">
        <v>66.762</v>
      </c>
      <c r="E1464">
        <v>1.3</v>
      </c>
      <c r="F1464">
        <v>0.86799999999999999</v>
      </c>
      <c r="H1464" s="4" t="str">
        <f t="array" aca="1" ref="H1464" ca="1">SUBSTITUTE(SUBSTITUTE(_xlfn.TEXTJOIN("",TRUE,IF(ISERR(MID(C1464,ROW(INDIRECT("1:100")),1)+0),MID(C1464,ROW(INDIRECT("1:100")),1),"")),")",""),"(","")</f>
        <v>All items less shelter</v>
      </c>
    </row>
    <row r="1465" spans="1:8" x14ac:dyDescent="0.25">
      <c r="A1465">
        <v>2019</v>
      </c>
      <c r="B1465">
        <v>4</v>
      </c>
      <c r="C1465" t="s">
        <v>21</v>
      </c>
      <c r="D1465">
        <v>53.447000000000003</v>
      </c>
      <c r="E1465">
        <v>1.2</v>
      </c>
      <c r="F1465">
        <v>0.63200000000000001</v>
      </c>
      <c r="H1465" s="4" t="str">
        <f t="array" aca="1" ref="H1465" ca="1">SUBSTITUTE(SUBSTITUTE(_xlfn.TEXTJOIN("",TRUE,IF(ISERR(MID(C1465,ROW(INDIRECT("1:100")),1)+0),MID(C1465,ROW(INDIRECT("1:100")),1),"")),")",""),"(","")</f>
        <v>All items less food and shelter</v>
      </c>
    </row>
    <row r="1466" spans="1:8" x14ac:dyDescent="0.25">
      <c r="A1466">
        <v>2019</v>
      </c>
      <c r="B1466">
        <v>4</v>
      </c>
      <c r="C1466" t="s">
        <v>22</v>
      </c>
      <c r="D1466">
        <v>45.98</v>
      </c>
      <c r="E1466">
        <v>1.1000000000000001</v>
      </c>
      <c r="F1466">
        <v>0.501</v>
      </c>
      <c r="H1466" s="4" t="str">
        <f t="array" aca="1" ref="H1466" ca="1">SUBSTITUTE(SUBSTITUTE(_xlfn.TEXTJOIN("",TRUE,IF(ISERR(MID(C1466,ROW(INDIRECT("1:100")),1)+0),MID(C1466,ROW(INDIRECT("1:100")),1),"")),")",""),"(","")</f>
        <v>All items less food, shelter, and energy</v>
      </c>
    </row>
    <row r="1467" spans="1:8" x14ac:dyDescent="0.25">
      <c r="A1467">
        <v>2019</v>
      </c>
      <c r="B1467">
        <v>4</v>
      </c>
      <c r="C1467" t="s">
        <v>23</v>
      </c>
      <c r="D1467">
        <v>43.575000000000003</v>
      </c>
      <c r="E1467">
        <v>1.1000000000000001</v>
      </c>
      <c r="F1467">
        <v>0.48199999999999998</v>
      </c>
      <c r="H1467" s="4" t="str">
        <f t="array" aca="1" ref="H1467" ca="1">SUBSTITUTE(SUBSTITUTE(_xlfn.TEXTJOIN("",TRUE,IF(ISERR(MID(C1467,ROW(INDIRECT("1:100")),1)+0),MID(C1467,ROW(INDIRECT("1:100")),1),"")),")",""),"(","")</f>
        <v>All items less food, shelter, energy, and used cars and trucks</v>
      </c>
    </row>
    <row r="1468" spans="1:8" x14ac:dyDescent="0.25">
      <c r="A1468">
        <v>2019</v>
      </c>
      <c r="B1468">
        <v>4</v>
      </c>
      <c r="C1468" t="s">
        <v>24</v>
      </c>
      <c r="D1468">
        <v>91.334000000000003</v>
      </c>
      <c r="E1468">
        <v>2</v>
      </c>
      <c r="F1468">
        <v>1.83</v>
      </c>
      <c r="H1468" s="4" t="str">
        <f t="array" aca="1" ref="H1468" ca="1">SUBSTITUTE(SUBSTITUTE(_xlfn.TEXTJOIN("",TRUE,IF(ISERR(MID(C1468,ROW(INDIRECT("1:100")),1)+0),MID(C1468,ROW(INDIRECT("1:100")),1),"")),")",""),"(","")</f>
        <v>All items less medical care</v>
      </c>
    </row>
    <row r="1469" spans="1:8" x14ac:dyDescent="0.25">
      <c r="A1469">
        <v>2019</v>
      </c>
      <c r="B1469">
        <v>4</v>
      </c>
      <c r="C1469" t="s">
        <v>25</v>
      </c>
      <c r="D1469">
        <v>92.534000000000006</v>
      </c>
      <c r="E1469">
        <v>2</v>
      </c>
      <c r="F1469">
        <v>1.865</v>
      </c>
      <c r="H1469" s="4" t="str">
        <f t="array" aca="1" ref="H1469" ca="1">SUBSTITUTE(SUBSTITUTE(_xlfn.TEXTJOIN("",TRUE,IF(ISERR(MID(C1469,ROW(INDIRECT("1:100")),1)+0),MID(C1469,ROW(INDIRECT("1:100")),1),"")),")",""),"(","")</f>
        <v>All items less energy</v>
      </c>
    </row>
    <row r="1470" spans="1:8" x14ac:dyDescent="0.25">
      <c r="A1470">
        <v>2019</v>
      </c>
      <c r="B1470">
        <v>4</v>
      </c>
      <c r="C1470" t="s">
        <v>26</v>
      </c>
      <c r="D1470">
        <v>37.009</v>
      </c>
      <c r="E1470">
        <v>0.9</v>
      </c>
      <c r="F1470">
        <v>0.32700000000000001</v>
      </c>
      <c r="H1470" s="4" t="str">
        <f t="array" aca="1" ref="H1470" ca="1">SUBSTITUTE(SUBSTITUTE(_xlfn.TEXTJOIN("",TRUE,IF(ISERR(MID(C1470,ROW(INDIRECT("1:100")),1)+0),MID(C1470,ROW(INDIRECT("1:100")),1),"")),")",""),"(","")</f>
        <v>Commodities</v>
      </c>
    </row>
    <row r="1471" spans="1:8" x14ac:dyDescent="0.25">
      <c r="A1471">
        <v>2019</v>
      </c>
      <c r="B1471">
        <v>4</v>
      </c>
      <c r="C1471" t="s">
        <v>27</v>
      </c>
      <c r="D1471">
        <v>62.991</v>
      </c>
      <c r="E1471">
        <v>2.7</v>
      </c>
      <c r="F1471">
        <v>1.669</v>
      </c>
      <c r="H1471" s="4" t="str">
        <f t="array" aca="1" ref="H1471" ca="1">SUBSTITUTE(SUBSTITUTE(_xlfn.TEXTJOIN("",TRUE,IF(ISERR(MID(C1471,ROW(INDIRECT("1:100")),1)+0),MID(C1471,ROW(INDIRECT("1:100")),1),"")),")",""),"(","")</f>
        <v>Services</v>
      </c>
    </row>
    <row r="1472" spans="1:8" x14ac:dyDescent="0.25">
      <c r="A1472">
        <v>2019</v>
      </c>
      <c r="B1472">
        <v>4</v>
      </c>
      <c r="C1472" t="s">
        <v>28</v>
      </c>
      <c r="D1472">
        <v>9.9510000000000005</v>
      </c>
      <c r="E1472">
        <v>0.3</v>
      </c>
      <c r="F1472">
        <v>2.8000000000000001E-2</v>
      </c>
      <c r="H1472" s="4" t="str">
        <f t="array" aca="1" ref="H1472" ca="1">SUBSTITUTE(SUBSTITUTE(_xlfn.TEXTJOIN("",TRUE,IF(ISERR(MID(C1472,ROW(INDIRECT("1:100")),1)+0),MID(C1472,ROW(INDIRECT("1:100")),1),"")),")",""),"(","")</f>
        <v>Durables</v>
      </c>
    </row>
    <row r="1473" spans="1:8" x14ac:dyDescent="0.25">
      <c r="A1473">
        <v>2019</v>
      </c>
      <c r="B1473">
        <v>4</v>
      </c>
      <c r="C1473" t="s">
        <v>29</v>
      </c>
      <c r="D1473">
        <v>27.058</v>
      </c>
      <c r="E1473">
        <v>1.1000000000000001</v>
      </c>
      <c r="F1473">
        <v>0.3</v>
      </c>
      <c r="H1473" s="4" t="str">
        <f t="array" aca="1" ref="H1473" ca="1">SUBSTITUTE(SUBSTITUTE(_xlfn.TEXTJOIN("",TRUE,IF(ISERR(MID(C1473,ROW(INDIRECT("1:100")),1)+0),MID(C1473,ROW(INDIRECT("1:100")),1),"")),")",""),"(","")</f>
        <v>Nondurables</v>
      </c>
    </row>
    <row r="1474" spans="1:8" x14ac:dyDescent="0.25">
      <c r="A1474">
        <v>2019</v>
      </c>
      <c r="B1474">
        <v>4</v>
      </c>
      <c r="C1474" t="s">
        <v>8</v>
      </c>
      <c r="D1474">
        <v>42.113</v>
      </c>
      <c r="E1474">
        <v>2.9</v>
      </c>
      <c r="F1474">
        <v>1.212</v>
      </c>
      <c r="H1474" s="4" t="str">
        <f t="array" aca="1" ref="H1474" ca="1">SUBSTITUTE(SUBSTITUTE(_xlfn.TEXTJOIN("",TRUE,IF(ISERR(MID(C1474,ROW(INDIRECT("1:100")),1)+0),MID(C1474,ROW(INDIRECT("1:100")),1),"")),")",""),"(","")</f>
        <v>Housing</v>
      </c>
    </row>
    <row r="1475" spans="1:8" x14ac:dyDescent="0.25">
      <c r="A1475">
        <v>2019</v>
      </c>
      <c r="B1475">
        <v>4</v>
      </c>
      <c r="C1475" t="s">
        <v>48</v>
      </c>
      <c r="D1475">
        <v>6.524</v>
      </c>
      <c r="E1475">
        <v>0.9</v>
      </c>
      <c r="F1475">
        <v>0.06</v>
      </c>
      <c r="H1475" s="4" t="str">
        <f t="array" aca="1" ref="H1475" ca="1">SUBSTITUTE(SUBSTITUTE(_xlfn.TEXTJOIN("",TRUE,IF(ISERR(MID(C1475,ROW(INDIRECT("1:100")),1)+0),MID(C1475,ROW(INDIRECT("1:100")),1),"")),")",""),"(","")</f>
        <v>Education and communication</v>
      </c>
    </row>
    <row r="1476" spans="1:8" x14ac:dyDescent="0.25">
      <c r="A1476">
        <v>2019</v>
      </c>
      <c r="B1476">
        <v>4</v>
      </c>
      <c r="C1476" t="s">
        <v>49</v>
      </c>
      <c r="D1476">
        <v>5.6760000000000002</v>
      </c>
      <c r="E1476">
        <v>1.6</v>
      </c>
      <c r="F1476">
        <v>8.7999999999999995E-2</v>
      </c>
      <c r="H1476" s="4" t="str">
        <f t="array" aca="1" ref="H1476" ca="1">SUBSTITUTE(SUBSTITUTE(_xlfn.TEXTJOIN("",TRUE,IF(ISERR(MID(C1476,ROW(INDIRECT("1:100")),1)+0),MID(C1476,ROW(INDIRECT("1:100")),1),"")),")",""),"(","")</f>
        <v>Recreation</v>
      </c>
    </row>
    <row r="1477" spans="1:8" x14ac:dyDescent="0.25">
      <c r="A1477">
        <v>2019</v>
      </c>
      <c r="B1477">
        <v>4</v>
      </c>
      <c r="C1477" t="s">
        <v>6</v>
      </c>
      <c r="D1477">
        <v>14.28</v>
      </c>
      <c r="E1477">
        <v>1.7</v>
      </c>
      <c r="F1477">
        <v>0.247</v>
      </c>
      <c r="H1477" s="4" t="str">
        <f t="array" aca="1" ref="H1477" ca="1">SUBSTITUTE(SUBSTITUTE(_xlfn.TEXTJOIN("",TRUE,IF(ISERR(MID(C1477,ROW(INDIRECT("1:100")),1)+0),MID(C1477,ROW(INDIRECT("1:100")),1),"")),")",""),"(","")</f>
        <v>Food and beverages</v>
      </c>
    </row>
    <row r="1478" spans="1:8" x14ac:dyDescent="0.25">
      <c r="A1478">
        <v>2019</v>
      </c>
      <c r="B1478">
        <v>4</v>
      </c>
      <c r="C1478" t="s">
        <v>32</v>
      </c>
      <c r="D1478">
        <v>11.532999999999999</v>
      </c>
      <c r="E1478">
        <v>2.1</v>
      </c>
      <c r="F1478">
        <v>0.23599999999999999</v>
      </c>
      <c r="H1478" s="4" t="str">
        <f t="array" aca="1" ref="H1478" ca="1">SUBSTITUTE(SUBSTITUTE(_xlfn.TEXTJOIN("",TRUE,IF(ISERR(MID(C1478,ROW(INDIRECT("1:100")),1)+0),MID(C1478,ROW(INDIRECT("1:100")),1),"")),")",""),"(","")</f>
        <v>Other services</v>
      </c>
    </row>
    <row r="1479" spans="1:8" x14ac:dyDescent="0.25">
      <c r="A1479">
        <v>2019</v>
      </c>
      <c r="B1479">
        <v>4</v>
      </c>
      <c r="C1479" t="s">
        <v>33</v>
      </c>
      <c r="D1479">
        <v>2.383</v>
      </c>
      <c r="E1479">
        <v>-3.2</v>
      </c>
      <c r="F1479">
        <v>-7.9000000000000001E-2</v>
      </c>
      <c r="H1479" s="4" t="str">
        <f t="array" aca="1" ref="H1479" ca="1">SUBSTITUTE(SUBSTITUTE(_xlfn.TEXTJOIN("",TRUE,IF(ISERR(MID(C1479,ROW(INDIRECT("1:100")),1)+0),MID(C1479,ROW(INDIRECT("1:100")),1),"")),")",""),"(","")</f>
        <v>Apparel less footwear</v>
      </c>
    </row>
    <row r="1480" spans="1:8" x14ac:dyDescent="0.25">
      <c r="A1480">
        <v>2019</v>
      </c>
      <c r="B1480">
        <v>4</v>
      </c>
      <c r="C1480" t="s">
        <v>34</v>
      </c>
      <c r="D1480">
        <v>4.617</v>
      </c>
      <c r="E1480">
        <v>0.8</v>
      </c>
      <c r="F1480">
        <v>3.6999999999999998E-2</v>
      </c>
      <c r="H1480" s="4" t="str">
        <f t="array" aca="1" ref="H1480" ca="1">SUBSTITUTE(SUBSTITUTE(_xlfn.TEXTJOIN("",TRUE,IF(ISERR(MID(C1480,ROW(INDIRECT("1:100")),1)+0),MID(C1480,ROW(INDIRECT("1:100")),1),"")),")",""),"(","")</f>
        <v>Fuels and utilities</v>
      </c>
    </row>
    <row r="1481" spans="1:8" x14ac:dyDescent="0.25">
      <c r="A1481">
        <v>2019</v>
      </c>
      <c r="B1481">
        <v>4</v>
      </c>
      <c r="C1481" t="s">
        <v>11</v>
      </c>
      <c r="D1481">
        <v>8.6660000000000004</v>
      </c>
      <c r="E1481">
        <v>1.9</v>
      </c>
      <c r="F1481">
        <v>0.16600000000000001</v>
      </c>
      <c r="H1481" s="4" t="str">
        <f t="array" aca="1" ref="H1481" ca="1">SUBSTITUTE(SUBSTITUTE(_xlfn.TEXTJOIN("",TRUE,IF(ISERR(MID(C1481,ROW(INDIRECT("1:100")),1)+0),MID(C1481,ROW(INDIRECT("1:100")),1),"")),")",""),"(","")</f>
        <v>Medical care</v>
      </c>
    </row>
    <row r="1482" spans="1:8" x14ac:dyDescent="0.25">
      <c r="A1482">
        <v>2019</v>
      </c>
      <c r="B1482">
        <v>4</v>
      </c>
      <c r="C1482" t="s">
        <v>7</v>
      </c>
      <c r="D1482">
        <v>16.497</v>
      </c>
      <c r="E1482">
        <v>1.6</v>
      </c>
      <c r="F1482">
        <v>0.27300000000000002</v>
      </c>
      <c r="H1482" s="4" t="str">
        <f t="array" aca="1" ref="H1482" ca="1">SUBSTITUTE(SUBSTITUTE(_xlfn.TEXTJOIN("",TRUE,IF(ISERR(MID(C1482,ROW(INDIRECT("1:100")),1)+0),MID(C1482,ROW(INDIRECT("1:100")),1),"")),")",""),"(","")</f>
        <v>Transportation</v>
      </c>
    </row>
    <row r="1483" spans="1:8" x14ac:dyDescent="0.25">
      <c r="A1483">
        <v>2019</v>
      </c>
      <c r="B1483">
        <v>4</v>
      </c>
      <c r="C1483" t="s">
        <v>35</v>
      </c>
      <c r="D1483">
        <v>9.2799999999999994</v>
      </c>
      <c r="E1483">
        <v>0.1</v>
      </c>
      <c r="F1483">
        <v>0.01</v>
      </c>
      <c r="H1483" s="4" t="str">
        <f t="array" aca="1" ref="H1483" ca="1">SUBSTITUTE(SUBSTITUTE(_xlfn.TEXTJOIN("",TRUE,IF(ISERR(MID(C1483,ROW(INDIRECT("1:100")),1)+0),MID(C1483,ROW(INDIRECT("1:100")),1),"")),")",""),"(","")</f>
        <v>Utilities and public transportation</v>
      </c>
    </row>
    <row r="1484" spans="1:8" x14ac:dyDescent="0.25">
      <c r="A1484">
        <v>2019</v>
      </c>
      <c r="B1484">
        <v>4</v>
      </c>
      <c r="C1484" t="s">
        <v>36</v>
      </c>
      <c r="D1484">
        <v>4.258</v>
      </c>
      <c r="E1484">
        <v>1.1000000000000001</v>
      </c>
      <c r="F1484">
        <v>4.5999999999999999E-2</v>
      </c>
      <c r="H1484" s="4" t="str">
        <f t="array" aca="1" ref="H1484" ca="1">SUBSTITUTE(SUBSTITUTE(_xlfn.TEXTJOIN("",TRUE,IF(ISERR(MID(C1484,ROW(INDIRECT("1:100")),1)+0),MID(C1484,ROW(INDIRECT("1:100")),1),"")),")",""),"(","")</f>
        <v>Household furnishings and operations</v>
      </c>
    </row>
    <row r="1485" spans="1:8" x14ac:dyDescent="0.25">
      <c r="A1485">
        <v>2019</v>
      </c>
      <c r="B1485">
        <v>4</v>
      </c>
      <c r="C1485" t="s">
        <v>12</v>
      </c>
      <c r="D1485">
        <v>3.1909999999999998</v>
      </c>
      <c r="E1485">
        <v>1.4</v>
      </c>
      <c r="F1485">
        <v>4.3999999999999997E-2</v>
      </c>
      <c r="H1485" s="4" t="str">
        <f t="array" aca="1" ref="H1485" ca="1">SUBSTITUTE(SUBSTITUTE(_xlfn.TEXTJOIN("",TRUE,IF(ISERR(MID(C1485,ROW(INDIRECT("1:100")),1)+0),MID(C1485,ROW(INDIRECT("1:100")),1),"")),")",""),"(","")</f>
        <v>Other goods and services</v>
      </c>
    </row>
    <row r="1486" spans="1:8" x14ac:dyDescent="0.25">
      <c r="A1486">
        <v>2019</v>
      </c>
      <c r="B1486">
        <v>5</v>
      </c>
      <c r="C1486" t="s">
        <v>14</v>
      </c>
      <c r="D1486">
        <v>100</v>
      </c>
      <c r="E1486">
        <v>1.8</v>
      </c>
      <c r="H1486" s="4" t="str">
        <f t="array" aca="1" ref="H1486" ca="1">SUBSTITUTE(SUBSTITUTE(_xlfn.TEXTJOIN("",TRUE,IF(ISERR(MID(C1486,ROW(INDIRECT("1:100")),1)+0),MID(C1486,ROW(INDIRECT("1:100")),1),"")),")",""),"(","")</f>
        <v>All items</v>
      </c>
    </row>
    <row r="1487" spans="1:8" x14ac:dyDescent="0.25">
      <c r="A1487">
        <v>2019</v>
      </c>
      <c r="B1487">
        <v>5</v>
      </c>
      <c r="C1487" t="s">
        <v>15</v>
      </c>
      <c r="D1487">
        <v>13.244</v>
      </c>
      <c r="E1487">
        <v>2</v>
      </c>
      <c r="F1487">
        <v>0.26200000000000001</v>
      </c>
      <c r="H1487" s="4" t="str">
        <f t="array" aca="1" ref="H1487" ca="1">SUBSTITUTE(SUBSTITUTE(_xlfn.TEXTJOIN("",TRUE,IF(ISERR(MID(C1487,ROW(INDIRECT("1:100")),1)+0),MID(C1487,ROW(INDIRECT("1:100")),1),"")),")",""),"(","")</f>
        <v>Food</v>
      </c>
    </row>
    <row r="1488" spans="1:8" x14ac:dyDescent="0.25">
      <c r="A1488">
        <v>2019</v>
      </c>
      <c r="B1488">
        <v>5</v>
      </c>
      <c r="C1488" t="s">
        <v>16</v>
      </c>
      <c r="D1488">
        <v>7.8049999999999997</v>
      </c>
      <c r="E1488">
        <v>-0.5</v>
      </c>
      <c r="F1488">
        <v>-3.6999999999999998E-2</v>
      </c>
      <c r="H1488" s="4" t="str">
        <f t="array" aca="1" ref="H1488" ca="1">SUBSTITUTE(SUBSTITUTE(_xlfn.TEXTJOIN("",TRUE,IF(ISERR(MID(C1488,ROW(INDIRECT("1:100")),1)+0),MID(C1488,ROW(INDIRECT("1:100")),1),"")),")",""),"(","")</f>
        <v>Energy</v>
      </c>
    </row>
    <row r="1489" spans="1:8" x14ac:dyDescent="0.25">
      <c r="A1489">
        <v>2019</v>
      </c>
      <c r="B1489">
        <v>5</v>
      </c>
      <c r="C1489" t="s">
        <v>17</v>
      </c>
      <c r="D1489">
        <v>78.950999999999993</v>
      </c>
      <c r="E1489">
        <v>2</v>
      </c>
      <c r="F1489">
        <v>1.5649999999999999</v>
      </c>
      <c r="H1489" s="4" t="str">
        <f t="array" aca="1" ref="H1489" ca="1">SUBSTITUTE(SUBSTITUTE(_xlfn.TEXTJOIN("",TRUE,IF(ISERR(MID(C1489,ROW(INDIRECT("1:100")),1)+0),MID(C1489,ROW(INDIRECT("1:100")),1),"")),")",""),"(","")</f>
        <v>All items less food and energy</v>
      </c>
    </row>
    <row r="1490" spans="1:8" x14ac:dyDescent="0.25">
      <c r="A1490">
        <v>2019</v>
      </c>
      <c r="B1490">
        <v>5</v>
      </c>
      <c r="C1490" t="s">
        <v>18</v>
      </c>
      <c r="H1490" s="4" t="str">
        <f t="array" aca="1" ref="H1490" ca="1">SUBSTITUTE(SUBSTITUTE(_xlfn.TEXTJOIN("",TRUE,IF(ISERR(MID(C1490,ROW(INDIRECT("1:100")),1)+0),MID(C1490,ROW(INDIRECT("1:100")),1),"")),")",""),"(","")</f>
        <v>Special aggregate indexes</v>
      </c>
    </row>
    <row r="1491" spans="1:8" x14ac:dyDescent="0.25">
      <c r="A1491">
        <v>2019</v>
      </c>
      <c r="B1491">
        <v>5</v>
      </c>
      <c r="C1491" t="s">
        <v>19</v>
      </c>
      <c r="D1491">
        <v>86.756</v>
      </c>
      <c r="E1491">
        <v>1.8</v>
      </c>
      <c r="F1491">
        <v>1.528</v>
      </c>
      <c r="H1491" s="4" t="str">
        <f t="array" aca="1" ref="H1491" ca="1">SUBSTITUTE(SUBSTITUTE(_xlfn.TEXTJOIN("",TRUE,IF(ISERR(MID(C1491,ROW(INDIRECT("1:100")),1)+0),MID(C1491,ROW(INDIRECT("1:100")),1),"")),")",""),"(","")</f>
        <v>All items less food</v>
      </c>
    </row>
    <row r="1492" spans="1:8" x14ac:dyDescent="0.25">
      <c r="A1492">
        <v>2019</v>
      </c>
      <c r="B1492">
        <v>5</v>
      </c>
      <c r="C1492" t="s">
        <v>20</v>
      </c>
      <c r="D1492">
        <v>66.817999999999998</v>
      </c>
      <c r="E1492">
        <v>1</v>
      </c>
      <c r="F1492">
        <v>0.69499999999999995</v>
      </c>
      <c r="H1492" s="4" t="str">
        <f t="array" aca="1" ref="H1492" ca="1">SUBSTITUTE(SUBSTITUTE(_xlfn.TEXTJOIN("",TRUE,IF(ISERR(MID(C1492,ROW(INDIRECT("1:100")),1)+0),MID(C1492,ROW(INDIRECT("1:100")),1),"")),")",""),"(","")</f>
        <v>All items less shelter</v>
      </c>
    </row>
    <row r="1493" spans="1:8" x14ac:dyDescent="0.25">
      <c r="A1493">
        <v>2019</v>
      </c>
      <c r="B1493">
        <v>5</v>
      </c>
      <c r="C1493" t="s">
        <v>21</v>
      </c>
      <c r="D1493">
        <v>53.573999999999998</v>
      </c>
      <c r="E1493">
        <v>0.8</v>
      </c>
      <c r="F1493">
        <v>0.433</v>
      </c>
      <c r="H1493" s="4" t="str">
        <f t="array" aca="1" ref="H1493" ca="1">SUBSTITUTE(SUBSTITUTE(_xlfn.TEXTJOIN("",TRUE,IF(ISERR(MID(C1493,ROW(INDIRECT("1:100")),1)+0),MID(C1493,ROW(INDIRECT("1:100")),1),"")),")",""),"(","")</f>
        <v>All items less food and shelter</v>
      </c>
    </row>
    <row r="1494" spans="1:8" x14ac:dyDescent="0.25">
      <c r="A1494">
        <v>2019</v>
      </c>
      <c r="B1494">
        <v>5</v>
      </c>
      <c r="C1494" t="s">
        <v>22</v>
      </c>
      <c r="D1494">
        <v>45.768999999999998</v>
      </c>
      <c r="E1494">
        <v>1</v>
      </c>
      <c r="F1494">
        <v>0.47</v>
      </c>
      <c r="H1494" s="4" t="str">
        <f t="array" aca="1" ref="H1494" ca="1">SUBSTITUTE(SUBSTITUTE(_xlfn.TEXTJOIN("",TRUE,IF(ISERR(MID(C1494,ROW(INDIRECT("1:100")),1)+0),MID(C1494,ROW(INDIRECT("1:100")),1),"")),")",""),"(","")</f>
        <v>All items less food, shelter, and energy</v>
      </c>
    </row>
    <row r="1495" spans="1:8" x14ac:dyDescent="0.25">
      <c r="A1495">
        <v>2019</v>
      </c>
      <c r="B1495">
        <v>5</v>
      </c>
      <c r="C1495" t="s">
        <v>23</v>
      </c>
      <c r="D1495">
        <v>43.378</v>
      </c>
      <c r="E1495">
        <v>1.1000000000000001</v>
      </c>
      <c r="F1495">
        <v>0.46400000000000002</v>
      </c>
      <c r="H1495" s="4" t="str">
        <f t="array" aca="1" ref="H1495" ca="1">SUBSTITUTE(SUBSTITUTE(_xlfn.TEXTJOIN("",TRUE,IF(ISERR(MID(C1495,ROW(INDIRECT("1:100")),1)+0),MID(C1495,ROW(INDIRECT("1:100")),1),"")),")",""),"(","")</f>
        <v>All items less food, shelter, energy, and used cars and trucks</v>
      </c>
    </row>
    <row r="1496" spans="1:8" x14ac:dyDescent="0.25">
      <c r="A1496">
        <v>2019</v>
      </c>
      <c r="B1496">
        <v>5</v>
      </c>
      <c r="C1496" t="s">
        <v>24</v>
      </c>
      <c r="D1496">
        <v>91.361000000000004</v>
      </c>
      <c r="E1496">
        <v>1.8</v>
      </c>
      <c r="F1496">
        <v>1.611</v>
      </c>
      <c r="H1496" s="4" t="str">
        <f t="array" aca="1" ref="H1496" ca="1">SUBSTITUTE(SUBSTITUTE(_xlfn.TEXTJOIN("",TRUE,IF(ISERR(MID(C1496,ROW(INDIRECT("1:100")),1)+0),MID(C1496,ROW(INDIRECT("1:100")),1),"")),")",""),"(","")</f>
        <v>All items less medical care</v>
      </c>
    </row>
    <row r="1497" spans="1:8" x14ac:dyDescent="0.25">
      <c r="A1497">
        <v>2019</v>
      </c>
      <c r="B1497">
        <v>5</v>
      </c>
      <c r="C1497" t="s">
        <v>25</v>
      </c>
      <c r="D1497">
        <v>92.194999999999993</v>
      </c>
      <c r="E1497">
        <v>2</v>
      </c>
      <c r="F1497">
        <v>1.827</v>
      </c>
      <c r="H1497" s="4" t="str">
        <f t="array" aca="1" ref="H1497" ca="1">SUBSTITUTE(SUBSTITUTE(_xlfn.TEXTJOIN("",TRUE,IF(ISERR(MID(C1497,ROW(INDIRECT("1:100")),1)+0),MID(C1497,ROW(INDIRECT("1:100")),1),"")),")",""),"(","")</f>
        <v>All items less energy</v>
      </c>
    </row>
    <row r="1498" spans="1:8" x14ac:dyDescent="0.25">
      <c r="A1498">
        <v>2019</v>
      </c>
      <c r="B1498">
        <v>5</v>
      </c>
      <c r="C1498" t="s">
        <v>26</v>
      </c>
      <c r="D1498">
        <v>37.19</v>
      </c>
      <c r="E1498">
        <v>0.6</v>
      </c>
      <c r="F1498">
        <v>0.21</v>
      </c>
      <c r="H1498" s="4" t="str">
        <f t="array" aca="1" ref="H1498" ca="1">SUBSTITUTE(SUBSTITUTE(_xlfn.TEXTJOIN("",TRUE,IF(ISERR(MID(C1498,ROW(INDIRECT("1:100")),1)+0),MID(C1498,ROW(INDIRECT("1:100")),1),"")),")",""),"(","")</f>
        <v>Commodities</v>
      </c>
    </row>
    <row r="1499" spans="1:8" x14ac:dyDescent="0.25">
      <c r="A1499">
        <v>2019</v>
      </c>
      <c r="B1499">
        <v>5</v>
      </c>
      <c r="C1499" t="s">
        <v>27</v>
      </c>
      <c r="D1499">
        <v>62.81</v>
      </c>
      <c r="E1499">
        <v>2.5</v>
      </c>
      <c r="F1499">
        <v>1.58</v>
      </c>
      <c r="H1499" s="4" t="str">
        <f t="array" aca="1" ref="H1499" ca="1">SUBSTITUTE(SUBSTITUTE(_xlfn.TEXTJOIN("",TRUE,IF(ISERR(MID(C1499,ROW(INDIRECT("1:100")),1)+0),MID(C1499,ROW(INDIRECT("1:100")),1),"")),")",""),"(","")</f>
        <v>Services</v>
      </c>
    </row>
    <row r="1500" spans="1:8" x14ac:dyDescent="0.25">
      <c r="A1500">
        <v>2019</v>
      </c>
      <c r="B1500">
        <v>5</v>
      </c>
      <c r="C1500" t="s">
        <v>28</v>
      </c>
      <c r="D1500">
        <v>9.8800000000000008</v>
      </c>
      <c r="E1500">
        <v>0.3</v>
      </c>
      <c r="F1500">
        <v>2.5000000000000001E-2</v>
      </c>
      <c r="H1500" s="4" t="str">
        <f t="array" aca="1" ref="H1500" ca="1">SUBSTITUTE(SUBSTITUTE(_xlfn.TEXTJOIN("",TRUE,IF(ISERR(MID(C1500,ROW(INDIRECT("1:100")),1)+0),MID(C1500,ROW(INDIRECT("1:100")),1),"")),")",""),"(","")</f>
        <v>Durables</v>
      </c>
    </row>
    <row r="1501" spans="1:8" x14ac:dyDescent="0.25">
      <c r="A1501">
        <v>2019</v>
      </c>
      <c r="B1501">
        <v>5</v>
      </c>
      <c r="C1501" t="s">
        <v>29</v>
      </c>
      <c r="D1501">
        <v>27.311</v>
      </c>
      <c r="E1501">
        <v>0.7</v>
      </c>
      <c r="F1501">
        <v>0.184</v>
      </c>
      <c r="H1501" s="4" t="str">
        <f t="array" aca="1" ref="H1501" ca="1">SUBSTITUTE(SUBSTITUTE(_xlfn.TEXTJOIN("",TRUE,IF(ISERR(MID(C1501,ROW(INDIRECT("1:100")),1)+0),MID(C1501,ROW(INDIRECT("1:100")),1),"")),")",""),"(","")</f>
        <v>Nondurables</v>
      </c>
    </row>
    <row r="1502" spans="1:8" x14ac:dyDescent="0.25">
      <c r="A1502">
        <v>2019</v>
      </c>
      <c r="B1502">
        <v>5</v>
      </c>
      <c r="C1502" t="s">
        <v>8</v>
      </c>
      <c r="D1502">
        <v>41.981000000000002</v>
      </c>
      <c r="E1502">
        <v>2.8</v>
      </c>
      <c r="F1502">
        <v>1.1659999999999999</v>
      </c>
      <c r="H1502" s="4" t="str">
        <f t="array" aca="1" ref="H1502" ca="1">SUBSTITUTE(SUBSTITUTE(_xlfn.TEXTJOIN("",TRUE,IF(ISERR(MID(C1502,ROW(INDIRECT("1:100")),1)+0),MID(C1502,ROW(INDIRECT("1:100")),1),"")),")",""),"(","")</f>
        <v>Housing</v>
      </c>
    </row>
    <row r="1503" spans="1:8" x14ac:dyDescent="0.25">
      <c r="A1503">
        <v>2019</v>
      </c>
      <c r="B1503">
        <v>5</v>
      </c>
      <c r="C1503" t="s">
        <v>48</v>
      </c>
      <c r="D1503">
        <v>6.4950000000000001</v>
      </c>
      <c r="E1503">
        <v>0.7</v>
      </c>
      <c r="F1503">
        <v>4.4999999999999998E-2</v>
      </c>
      <c r="H1503" s="4" t="str">
        <f t="array" aca="1" ref="H1503" ca="1">SUBSTITUTE(SUBSTITUTE(_xlfn.TEXTJOIN("",TRUE,IF(ISERR(MID(C1503,ROW(INDIRECT("1:100")),1)+0),MID(C1503,ROW(INDIRECT("1:100")),1),"")),")",""),"(","")</f>
        <v>Education and communication</v>
      </c>
    </row>
    <row r="1504" spans="1:8" x14ac:dyDescent="0.25">
      <c r="A1504">
        <v>2019</v>
      </c>
      <c r="B1504">
        <v>5</v>
      </c>
      <c r="C1504" t="s">
        <v>49</v>
      </c>
      <c r="D1504">
        <v>5.65</v>
      </c>
      <c r="E1504">
        <v>1.2</v>
      </c>
      <c r="F1504">
        <v>6.7000000000000004E-2</v>
      </c>
      <c r="H1504" s="4" t="str">
        <f t="array" aca="1" ref="H1504" ca="1">SUBSTITUTE(SUBSTITUTE(_xlfn.TEXTJOIN("",TRUE,IF(ISERR(MID(C1504,ROW(INDIRECT("1:100")),1)+0),MID(C1504,ROW(INDIRECT("1:100")),1),"")),")",""),"(","")</f>
        <v>Recreation</v>
      </c>
    </row>
    <row r="1505" spans="1:8" x14ac:dyDescent="0.25">
      <c r="A1505">
        <v>2019</v>
      </c>
      <c r="B1505">
        <v>5</v>
      </c>
      <c r="C1505" t="s">
        <v>6</v>
      </c>
      <c r="D1505">
        <v>14.202999999999999</v>
      </c>
      <c r="E1505">
        <v>2</v>
      </c>
      <c r="F1505">
        <v>0.27700000000000002</v>
      </c>
      <c r="H1505" s="4" t="str">
        <f t="array" aca="1" ref="H1505" ca="1">SUBSTITUTE(SUBSTITUTE(_xlfn.TEXTJOIN("",TRUE,IF(ISERR(MID(C1505,ROW(INDIRECT("1:100")),1)+0),MID(C1505,ROW(INDIRECT("1:100")),1),"")),")",""),"(","")</f>
        <v>Food and beverages</v>
      </c>
    </row>
    <row r="1506" spans="1:8" x14ac:dyDescent="0.25">
      <c r="A1506">
        <v>2019</v>
      </c>
      <c r="B1506">
        <v>5</v>
      </c>
      <c r="C1506" t="s">
        <v>32</v>
      </c>
      <c r="D1506">
        <v>11.481999999999999</v>
      </c>
      <c r="E1506">
        <v>1.7</v>
      </c>
      <c r="F1506">
        <v>0.19600000000000001</v>
      </c>
      <c r="H1506" s="4" t="str">
        <f t="array" aca="1" ref="H1506" ca="1">SUBSTITUTE(SUBSTITUTE(_xlfn.TEXTJOIN("",TRUE,IF(ISERR(MID(C1506,ROW(INDIRECT("1:100")),1)+0),MID(C1506,ROW(INDIRECT("1:100")),1),"")),")",""),"(","")</f>
        <v>Other services</v>
      </c>
    </row>
    <row r="1507" spans="1:8" x14ac:dyDescent="0.25">
      <c r="A1507">
        <v>2019</v>
      </c>
      <c r="B1507">
        <v>5</v>
      </c>
      <c r="C1507" t="s">
        <v>33</v>
      </c>
      <c r="D1507">
        <v>2.3679999999999999</v>
      </c>
      <c r="E1507">
        <v>-3.5</v>
      </c>
      <c r="F1507">
        <v>-8.5999999999999993E-2</v>
      </c>
      <c r="H1507" s="4" t="str">
        <f t="array" aca="1" ref="H1507" ca="1">SUBSTITUTE(SUBSTITUTE(_xlfn.TEXTJOIN("",TRUE,IF(ISERR(MID(C1507,ROW(INDIRECT("1:100")),1)+0),MID(C1507,ROW(INDIRECT("1:100")),1),"")),")",""),"(","")</f>
        <v>Apparel less footwear</v>
      </c>
    </row>
    <row r="1508" spans="1:8" x14ac:dyDescent="0.25">
      <c r="A1508">
        <v>2019</v>
      </c>
      <c r="B1508">
        <v>5</v>
      </c>
      <c r="C1508" t="s">
        <v>34</v>
      </c>
      <c r="D1508">
        <v>4.5780000000000003</v>
      </c>
      <c r="E1508">
        <v>0.2</v>
      </c>
      <c r="F1508">
        <v>8.9999999999999993E-3</v>
      </c>
      <c r="H1508" s="4" t="str">
        <f t="array" aca="1" ref="H1508" ca="1">SUBSTITUTE(SUBSTITUTE(_xlfn.TEXTJOIN("",TRUE,IF(ISERR(MID(C1508,ROW(INDIRECT("1:100")),1)+0),MID(C1508,ROW(INDIRECT("1:100")),1),"")),")",""),"(","")</f>
        <v>Fuels and utilities</v>
      </c>
    </row>
    <row r="1509" spans="1:8" x14ac:dyDescent="0.25">
      <c r="A1509">
        <v>2019</v>
      </c>
      <c r="B1509">
        <v>5</v>
      </c>
      <c r="C1509" t="s">
        <v>11</v>
      </c>
      <c r="D1509">
        <v>8.6389999999999993</v>
      </c>
      <c r="E1509">
        <v>2.1</v>
      </c>
      <c r="F1509">
        <v>0.17899999999999999</v>
      </c>
      <c r="H1509" s="4" t="str">
        <f t="array" aca="1" ref="H1509" ca="1">SUBSTITUTE(SUBSTITUTE(_xlfn.TEXTJOIN("",TRUE,IF(ISERR(MID(C1509,ROW(INDIRECT("1:100")),1)+0),MID(C1509,ROW(INDIRECT("1:100")),1),"")),")",""),"(","")</f>
        <v>Medical care</v>
      </c>
    </row>
    <row r="1510" spans="1:8" x14ac:dyDescent="0.25">
      <c r="A1510">
        <v>2019</v>
      </c>
      <c r="B1510">
        <v>5</v>
      </c>
      <c r="C1510" t="s">
        <v>7</v>
      </c>
      <c r="D1510">
        <v>16.827000000000002</v>
      </c>
      <c r="E1510">
        <v>0.6</v>
      </c>
      <c r="F1510">
        <v>0.10100000000000001</v>
      </c>
      <c r="H1510" s="4" t="str">
        <f t="array" aca="1" ref="H1510" ca="1">SUBSTITUTE(SUBSTITUTE(_xlfn.TEXTJOIN("",TRUE,IF(ISERR(MID(C1510,ROW(INDIRECT("1:100")),1)+0),MID(C1510,ROW(INDIRECT("1:100")),1),"")),")",""),"(","")</f>
        <v>Transportation</v>
      </c>
    </row>
    <row r="1511" spans="1:8" x14ac:dyDescent="0.25">
      <c r="A1511">
        <v>2019</v>
      </c>
      <c r="B1511">
        <v>5</v>
      </c>
      <c r="C1511" t="s">
        <v>35</v>
      </c>
      <c r="D1511">
        <v>9.24</v>
      </c>
      <c r="E1511">
        <v>0</v>
      </c>
      <c r="F1511">
        <v>4.0000000000000001E-3</v>
      </c>
      <c r="H1511" s="4" t="str">
        <f t="array" aca="1" ref="H1511" ca="1">SUBSTITUTE(SUBSTITUTE(_xlfn.TEXTJOIN("",TRUE,IF(ISERR(MID(C1511,ROW(INDIRECT("1:100")),1)+0),MID(C1511,ROW(INDIRECT("1:100")),1),"")),")",""),"(","")</f>
        <v>Utilities and public transportation</v>
      </c>
    </row>
    <row r="1512" spans="1:8" x14ac:dyDescent="0.25">
      <c r="A1512">
        <v>2019</v>
      </c>
      <c r="B1512">
        <v>5</v>
      </c>
      <c r="C1512" t="s">
        <v>36</v>
      </c>
      <c r="D1512">
        <v>4.2220000000000004</v>
      </c>
      <c r="E1512">
        <v>1.5</v>
      </c>
      <c r="F1512">
        <v>6.2E-2</v>
      </c>
      <c r="H1512" s="4" t="str">
        <f t="array" aca="1" ref="H1512" ca="1">SUBSTITUTE(SUBSTITUTE(_xlfn.TEXTJOIN("",TRUE,IF(ISERR(MID(C1512,ROW(INDIRECT("1:100")),1)+0),MID(C1512,ROW(INDIRECT("1:100")),1),"")),")",""),"(","")</f>
        <v>Household furnishings and operations</v>
      </c>
    </row>
    <row r="1513" spans="1:8" x14ac:dyDescent="0.25">
      <c r="A1513">
        <v>2019</v>
      </c>
      <c r="B1513">
        <v>5</v>
      </c>
      <c r="C1513" t="s">
        <v>12</v>
      </c>
      <c r="D1513">
        <v>3.1760000000000002</v>
      </c>
      <c r="E1513">
        <v>1.6</v>
      </c>
      <c r="F1513">
        <v>5.1999999999999998E-2</v>
      </c>
      <c r="H1513" s="4" t="str">
        <f t="array" aca="1" ref="H1513" ca="1">SUBSTITUTE(SUBSTITUTE(_xlfn.TEXTJOIN("",TRUE,IF(ISERR(MID(C1513,ROW(INDIRECT("1:100")),1)+0),MID(C1513,ROW(INDIRECT("1:100")),1),"")),")",""),"(","")</f>
        <v>Other goods and services</v>
      </c>
    </row>
    <row r="1514" spans="1:8" x14ac:dyDescent="0.25">
      <c r="A1514">
        <v>2019</v>
      </c>
      <c r="B1514">
        <v>6</v>
      </c>
      <c r="C1514" t="s">
        <v>14</v>
      </c>
      <c r="D1514">
        <v>100</v>
      </c>
      <c r="E1514">
        <v>1.6</v>
      </c>
      <c r="H1514" s="4" t="str">
        <f t="array" aca="1" ref="H1514" ca="1">SUBSTITUTE(SUBSTITUTE(_xlfn.TEXTJOIN("",TRUE,IF(ISERR(MID(C1514,ROW(INDIRECT("1:100")),1)+0),MID(C1514,ROW(INDIRECT("1:100")),1),"")),")",""),"(","")</f>
        <v>All items</v>
      </c>
    </row>
    <row r="1515" spans="1:8" x14ac:dyDescent="0.25">
      <c r="A1515">
        <v>2019</v>
      </c>
      <c r="B1515">
        <v>6</v>
      </c>
      <c r="C1515" t="s">
        <v>15</v>
      </c>
      <c r="D1515">
        <v>13.237</v>
      </c>
      <c r="E1515">
        <v>1.9</v>
      </c>
      <c r="F1515">
        <v>0.252</v>
      </c>
      <c r="H1515" s="4" t="str">
        <f t="array" aca="1" ref="H1515" ca="1">SUBSTITUTE(SUBSTITUTE(_xlfn.TEXTJOIN("",TRUE,IF(ISERR(MID(C1515,ROW(INDIRECT("1:100")),1)+0),MID(C1515,ROW(INDIRECT("1:100")),1),"")),")",""),"(","")</f>
        <v>Food</v>
      </c>
    </row>
    <row r="1516" spans="1:8" x14ac:dyDescent="0.25">
      <c r="A1516">
        <v>2019</v>
      </c>
      <c r="B1516">
        <v>6</v>
      </c>
      <c r="C1516" t="s">
        <v>16</v>
      </c>
      <c r="D1516">
        <v>7.9029999999999996</v>
      </c>
      <c r="E1516">
        <v>-3.4</v>
      </c>
      <c r="F1516">
        <v>-0.27600000000000002</v>
      </c>
      <c r="H1516" s="4" t="str">
        <f t="array" aca="1" ref="H1516" ca="1">SUBSTITUTE(SUBSTITUTE(_xlfn.TEXTJOIN("",TRUE,IF(ISERR(MID(C1516,ROW(INDIRECT("1:100")),1)+0),MID(C1516,ROW(INDIRECT("1:100")),1),"")),")",""),"(","")</f>
        <v>Energy</v>
      </c>
    </row>
    <row r="1517" spans="1:8" x14ac:dyDescent="0.25">
      <c r="A1517">
        <v>2019</v>
      </c>
      <c r="B1517">
        <v>6</v>
      </c>
      <c r="C1517" t="s">
        <v>17</v>
      </c>
      <c r="D1517">
        <v>78.86</v>
      </c>
      <c r="E1517">
        <v>2.1</v>
      </c>
      <c r="F1517">
        <v>1.673</v>
      </c>
      <c r="H1517" s="4" t="str">
        <f t="array" aca="1" ref="H1517" ca="1">SUBSTITUTE(SUBSTITUTE(_xlfn.TEXTJOIN("",TRUE,IF(ISERR(MID(C1517,ROW(INDIRECT("1:100")),1)+0),MID(C1517,ROW(INDIRECT("1:100")),1),"")),")",""),"(","")</f>
        <v>All items less food and energy</v>
      </c>
    </row>
    <row r="1518" spans="1:8" x14ac:dyDescent="0.25">
      <c r="A1518">
        <v>2019</v>
      </c>
      <c r="B1518">
        <v>6</v>
      </c>
      <c r="C1518" t="s">
        <v>18</v>
      </c>
      <c r="H1518" s="4" t="str">
        <f t="array" aca="1" ref="H1518" ca="1">SUBSTITUTE(SUBSTITUTE(_xlfn.TEXTJOIN("",TRUE,IF(ISERR(MID(C1518,ROW(INDIRECT("1:100")),1)+0),MID(C1518,ROW(INDIRECT("1:100")),1),"")),")",""),"(","")</f>
        <v>Special aggregate indexes</v>
      </c>
    </row>
    <row r="1519" spans="1:8" x14ac:dyDescent="0.25">
      <c r="A1519">
        <v>2019</v>
      </c>
      <c r="B1519">
        <v>6</v>
      </c>
      <c r="C1519" t="s">
        <v>19</v>
      </c>
      <c r="D1519">
        <v>86.763000000000005</v>
      </c>
      <c r="E1519">
        <v>1.6</v>
      </c>
      <c r="F1519">
        <v>1.3959999999999999</v>
      </c>
      <c r="H1519" s="4" t="str">
        <f t="array" aca="1" ref="H1519" ca="1">SUBSTITUTE(SUBSTITUTE(_xlfn.TEXTJOIN("",TRUE,IF(ISERR(MID(C1519,ROW(INDIRECT("1:100")),1)+0),MID(C1519,ROW(INDIRECT("1:100")),1),"")),")",""),"(","")</f>
        <v>All items less food</v>
      </c>
    </row>
    <row r="1520" spans="1:8" x14ac:dyDescent="0.25">
      <c r="A1520">
        <v>2019</v>
      </c>
      <c r="B1520">
        <v>6</v>
      </c>
      <c r="C1520" t="s">
        <v>20</v>
      </c>
      <c r="D1520">
        <v>66.792000000000002</v>
      </c>
      <c r="E1520">
        <v>0.7</v>
      </c>
      <c r="F1520">
        <v>0.502</v>
      </c>
      <c r="H1520" s="4" t="str">
        <f t="array" aca="1" ref="H1520" ca="1">SUBSTITUTE(SUBSTITUTE(_xlfn.TEXTJOIN("",TRUE,IF(ISERR(MID(C1520,ROW(INDIRECT("1:100")),1)+0),MID(C1520,ROW(INDIRECT("1:100")),1),"")),")",""),"(","")</f>
        <v>All items less shelter</v>
      </c>
    </row>
    <row r="1521" spans="1:8" x14ac:dyDescent="0.25">
      <c r="A1521">
        <v>2019</v>
      </c>
      <c r="B1521">
        <v>6</v>
      </c>
      <c r="C1521" t="s">
        <v>21</v>
      </c>
      <c r="D1521">
        <v>53.555</v>
      </c>
      <c r="E1521">
        <v>0.5</v>
      </c>
      <c r="F1521">
        <v>0.25</v>
      </c>
      <c r="H1521" s="4" t="str">
        <f t="array" aca="1" ref="H1521" ca="1">SUBSTITUTE(SUBSTITUTE(_xlfn.TEXTJOIN("",TRUE,IF(ISERR(MID(C1521,ROW(INDIRECT("1:100")),1)+0),MID(C1521,ROW(INDIRECT("1:100")),1),"")),")",""),"(","")</f>
        <v>All items less food and shelter</v>
      </c>
    </row>
    <row r="1522" spans="1:8" x14ac:dyDescent="0.25">
      <c r="A1522">
        <v>2019</v>
      </c>
      <c r="B1522">
        <v>6</v>
      </c>
      <c r="C1522" t="s">
        <v>22</v>
      </c>
      <c r="D1522">
        <v>45.652000000000001</v>
      </c>
      <c r="E1522">
        <v>1.1000000000000001</v>
      </c>
      <c r="F1522">
        <v>0.52600000000000002</v>
      </c>
      <c r="H1522" s="4" t="str">
        <f t="array" aca="1" ref="H1522" ca="1">SUBSTITUTE(SUBSTITUTE(_xlfn.TEXTJOIN("",TRUE,IF(ISERR(MID(C1522,ROW(INDIRECT("1:100")),1)+0),MID(C1522,ROW(INDIRECT("1:100")),1),"")),")",""),"(","")</f>
        <v>All items less food, shelter, and energy</v>
      </c>
    </row>
    <row r="1523" spans="1:8" x14ac:dyDescent="0.25">
      <c r="A1523">
        <v>2019</v>
      </c>
      <c r="B1523">
        <v>6</v>
      </c>
      <c r="C1523" t="s">
        <v>23</v>
      </c>
      <c r="D1523">
        <v>43.292999999999999</v>
      </c>
      <c r="E1523">
        <v>1.1000000000000001</v>
      </c>
      <c r="F1523">
        <v>0.496</v>
      </c>
      <c r="H1523" s="4" t="str">
        <f t="array" aca="1" ref="H1523" ca="1">SUBSTITUTE(SUBSTITUTE(_xlfn.TEXTJOIN("",TRUE,IF(ISERR(MID(C1523,ROW(INDIRECT("1:100")),1)+0),MID(C1523,ROW(INDIRECT("1:100")),1),"")),")",""),"(","")</f>
        <v>All items less food, shelter, energy, and used cars and trucks</v>
      </c>
    </row>
    <row r="1524" spans="1:8" x14ac:dyDescent="0.25">
      <c r="A1524">
        <v>2019</v>
      </c>
      <c r="B1524">
        <v>6</v>
      </c>
      <c r="C1524" t="s">
        <v>24</v>
      </c>
      <c r="D1524">
        <v>91.352000000000004</v>
      </c>
      <c r="E1524">
        <v>1.6</v>
      </c>
      <c r="F1524">
        <v>1.4790000000000001</v>
      </c>
      <c r="H1524" s="4" t="str">
        <f t="array" aca="1" ref="H1524" ca="1">SUBSTITUTE(SUBSTITUTE(_xlfn.TEXTJOIN("",TRUE,IF(ISERR(MID(C1524,ROW(INDIRECT("1:100")),1)+0),MID(C1524,ROW(INDIRECT("1:100")),1),"")),")",""),"(","")</f>
        <v>All items less medical care</v>
      </c>
    </row>
    <row r="1525" spans="1:8" x14ac:dyDescent="0.25">
      <c r="A1525">
        <v>2019</v>
      </c>
      <c r="B1525">
        <v>6</v>
      </c>
      <c r="C1525" t="s">
        <v>25</v>
      </c>
      <c r="D1525">
        <v>92.096999999999994</v>
      </c>
      <c r="E1525">
        <v>2.1</v>
      </c>
      <c r="F1525">
        <v>1.9239999999999999</v>
      </c>
      <c r="H1525" s="4" t="str">
        <f t="array" aca="1" ref="H1525" ca="1">SUBSTITUTE(SUBSTITUTE(_xlfn.TEXTJOIN("",TRUE,IF(ISERR(MID(C1525,ROW(INDIRECT("1:100")),1)+0),MID(C1525,ROW(INDIRECT("1:100")),1),"")),")",""),"(","")</f>
        <v>All items less energy</v>
      </c>
    </row>
    <row r="1526" spans="1:8" x14ac:dyDescent="0.25">
      <c r="A1526">
        <v>2019</v>
      </c>
      <c r="B1526">
        <v>6</v>
      </c>
      <c r="C1526" t="s">
        <v>26</v>
      </c>
      <c r="D1526">
        <v>37.180999999999997</v>
      </c>
      <c r="E1526">
        <v>0.1</v>
      </c>
      <c r="F1526">
        <v>0.03</v>
      </c>
      <c r="H1526" s="4" t="str">
        <f t="array" aca="1" ref="H1526" ca="1">SUBSTITUTE(SUBSTITUTE(_xlfn.TEXTJOIN("",TRUE,IF(ISERR(MID(C1526,ROW(INDIRECT("1:100")),1)+0),MID(C1526,ROW(INDIRECT("1:100")),1),"")),")",""),"(","")</f>
        <v>Commodities</v>
      </c>
    </row>
    <row r="1527" spans="1:8" x14ac:dyDescent="0.25">
      <c r="A1527">
        <v>2019</v>
      </c>
      <c r="B1527">
        <v>6</v>
      </c>
      <c r="C1527" t="s">
        <v>27</v>
      </c>
      <c r="D1527">
        <v>62.819000000000003</v>
      </c>
      <c r="E1527">
        <v>2.6</v>
      </c>
      <c r="F1527">
        <v>1.619</v>
      </c>
      <c r="H1527" s="4" t="str">
        <f t="array" aca="1" ref="H1527" ca="1">SUBSTITUTE(SUBSTITUTE(_xlfn.TEXTJOIN("",TRUE,IF(ISERR(MID(C1527,ROW(INDIRECT("1:100")),1)+0),MID(C1527,ROW(INDIRECT("1:100")),1),"")),")",""),"(","")</f>
        <v>Services</v>
      </c>
    </row>
    <row r="1528" spans="1:8" x14ac:dyDescent="0.25">
      <c r="A1528">
        <v>2019</v>
      </c>
      <c r="B1528">
        <v>6</v>
      </c>
      <c r="C1528" t="s">
        <v>28</v>
      </c>
      <c r="D1528">
        <v>9.8279999999999994</v>
      </c>
      <c r="E1528">
        <v>0.5</v>
      </c>
      <c r="F1528">
        <v>5.0999999999999997E-2</v>
      </c>
      <c r="H1528" s="4" t="str">
        <f t="array" aca="1" ref="H1528" ca="1">SUBSTITUTE(SUBSTITUTE(_xlfn.TEXTJOIN("",TRUE,IF(ISERR(MID(C1528,ROW(INDIRECT("1:100")),1)+0),MID(C1528,ROW(INDIRECT("1:100")),1),"")),")",""),"(","")</f>
        <v>Durables</v>
      </c>
    </row>
    <row r="1529" spans="1:8" x14ac:dyDescent="0.25">
      <c r="A1529">
        <v>2019</v>
      </c>
      <c r="B1529">
        <v>6</v>
      </c>
      <c r="C1529" t="s">
        <v>29</v>
      </c>
      <c r="D1529">
        <v>27.353000000000002</v>
      </c>
      <c r="E1529">
        <v>-0.1</v>
      </c>
      <c r="F1529">
        <v>-2.1000000000000001E-2</v>
      </c>
      <c r="H1529" s="4" t="str">
        <f t="array" aca="1" ref="H1529" ca="1">SUBSTITUTE(SUBSTITUTE(_xlfn.TEXTJOIN("",TRUE,IF(ISERR(MID(C1529,ROW(INDIRECT("1:100")),1)+0),MID(C1529,ROW(INDIRECT("1:100")),1),"")),")",""),"(","")</f>
        <v>Nondurables</v>
      </c>
    </row>
    <row r="1530" spans="1:8" x14ac:dyDescent="0.25">
      <c r="A1530">
        <v>2019</v>
      </c>
      <c r="B1530">
        <v>6</v>
      </c>
      <c r="C1530" t="s">
        <v>8</v>
      </c>
      <c r="D1530">
        <v>42</v>
      </c>
      <c r="E1530">
        <v>3</v>
      </c>
      <c r="F1530">
        <v>1.248</v>
      </c>
      <c r="H1530" s="4" t="str">
        <f t="array" aca="1" ref="H1530" ca="1">SUBSTITUTE(SUBSTITUTE(_xlfn.TEXTJOIN("",TRUE,IF(ISERR(MID(C1530,ROW(INDIRECT("1:100")),1)+0),MID(C1530,ROW(INDIRECT("1:100")),1),"")),")",""),"(","")</f>
        <v>Housing</v>
      </c>
    </row>
    <row r="1531" spans="1:8" x14ac:dyDescent="0.25">
      <c r="A1531">
        <v>2019</v>
      </c>
      <c r="B1531">
        <v>6</v>
      </c>
      <c r="C1531" t="s">
        <v>48</v>
      </c>
      <c r="D1531">
        <v>6.4820000000000002</v>
      </c>
      <c r="E1531">
        <v>0.6</v>
      </c>
      <c r="F1531">
        <v>3.9E-2</v>
      </c>
      <c r="H1531" s="4" t="str">
        <f t="array" aca="1" ref="H1531" ca="1">SUBSTITUTE(SUBSTITUTE(_xlfn.TEXTJOIN("",TRUE,IF(ISERR(MID(C1531,ROW(INDIRECT("1:100")),1)+0),MID(C1531,ROW(INDIRECT("1:100")),1),"")),")",""),"(","")</f>
        <v>Education and communication</v>
      </c>
    </row>
    <row r="1532" spans="1:8" x14ac:dyDescent="0.25">
      <c r="A1532">
        <v>2019</v>
      </c>
      <c r="B1532">
        <v>6</v>
      </c>
      <c r="C1532" t="s">
        <v>49</v>
      </c>
      <c r="D1532">
        <v>5.6120000000000001</v>
      </c>
      <c r="E1532">
        <v>0.8</v>
      </c>
      <c r="F1532">
        <v>4.7E-2</v>
      </c>
      <c r="H1532" s="4" t="str">
        <f t="array" aca="1" ref="H1532" ca="1">SUBSTITUTE(SUBSTITUTE(_xlfn.TEXTJOIN("",TRUE,IF(ISERR(MID(C1532,ROW(INDIRECT("1:100")),1)+0),MID(C1532,ROW(INDIRECT("1:100")),1),"")),")",""),"(","")</f>
        <v>Recreation</v>
      </c>
    </row>
    <row r="1533" spans="1:8" x14ac:dyDescent="0.25">
      <c r="A1533">
        <v>2019</v>
      </c>
      <c r="B1533">
        <v>6</v>
      </c>
      <c r="C1533" t="s">
        <v>6</v>
      </c>
      <c r="D1533">
        <v>14.195</v>
      </c>
      <c r="E1533">
        <v>1.9</v>
      </c>
      <c r="F1533">
        <v>0.26600000000000001</v>
      </c>
      <c r="H1533" s="4" t="str">
        <f t="array" aca="1" ref="H1533" ca="1">SUBSTITUTE(SUBSTITUTE(_xlfn.TEXTJOIN("",TRUE,IF(ISERR(MID(C1533,ROW(INDIRECT("1:100")),1)+0),MID(C1533,ROW(INDIRECT("1:100")),1),"")),")",""),"(","")</f>
        <v>Food and beverages</v>
      </c>
    </row>
    <row r="1534" spans="1:8" x14ac:dyDescent="0.25">
      <c r="A1534">
        <v>2019</v>
      </c>
      <c r="B1534">
        <v>6</v>
      </c>
      <c r="C1534" t="s">
        <v>32</v>
      </c>
      <c r="D1534">
        <v>11.443</v>
      </c>
      <c r="E1534">
        <v>1.4</v>
      </c>
      <c r="F1534">
        <v>0.16400000000000001</v>
      </c>
      <c r="H1534" s="4" t="str">
        <f t="array" aca="1" ref="H1534" ca="1">SUBSTITUTE(SUBSTITUTE(_xlfn.TEXTJOIN("",TRUE,IF(ISERR(MID(C1534,ROW(INDIRECT("1:100")),1)+0),MID(C1534,ROW(INDIRECT("1:100")),1),"")),")",""),"(","")</f>
        <v>Other services</v>
      </c>
    </row>
    <row r="1535" spans="1:8" x14ac:dyDescent="0.25">
      <c r="A1535">
        <v>2019</v>
      </c>
      <c r="B1535">
        <v>6</v>
      </c>
      <c r="C1535" t="s">
        <v>33</v>
      </c>
      <c r="D1535">
        <v>2.34</v>
      </c>
      <c r="E1535">
        <v>-1.7</v>
      </c>
      <c r="F1535">
        <v>-0.04</v>
      </c>
      <c r="H1535" s="4" t="str">
        <f t="array" aca="1" ref="H1535" ca="1">SUBSTITUTE(SUBSTITUTE(_xlfn.TEXTJOIN("",TRUE,IF(ISERR(MID(C1535,ROW(INDIRECT("1:100")),1)+0),MID(C1535,ROW(INDIRECT("1:100")),1),"")),")",""),"(","")</f>
        <v>Apparel less footwear</v>
      </c>
    </row>
    <row r="1536" spans="1:8" x14ac:dyDescent="0.25">
      <c r="A1536">
        <v>2019</v>
      </c>
      <c r="B1536">
        <v>6</v>
      </c>
      <c r="C1536" t="s">
        <v>34</v>
      </c>
      <c r="D1536">
        <v>4.5789999999999997</v>
      </c>
      <c r="E1536">
        <v>0.1</v>
      </c>
      <c r="F1536">
        <v>3.0000000000000001E-3</v>
      </c>
      <c r="H1536" s="4" t="str">
        <f t="array" aca="1" ref="H1536" ca="1">SUBSTITUTE(SUBSTITUTE(_xlfn.TEXTJOIN("",TRUE,IF(ISERR(MID(C1536,ROW(INDIRECT("1:100")),1)+0),MID(C1536,ROW(INDIRECT("1:100")),1),"")),")",""),"(","")</f>
        <v>Fuels and utilities</v>
      </c>
    </row>
    <row r="1537" spans="1:8" x14ac:dyDescent="0.25">
      <c r="A1537">
        <v>2019</v>
      </c>
      <c r="B1537">
        <v>6</v>
      </c>
      <c r="C1537" t="s">
        <v>11</v>
      </c>
      <c r="D1537">
        <v>8.6479999999999997</v>
      </c>
      <c r="E1537">
        <v>2</v>
      </c>
      <c r="F1537">
        <v>0.16900000000000001</v>
      </c>
      <c r="H1537" s="4" t="str">
        <f t="array" aca="1" ref="H1537" ca="1">SUBSTITUTE(SUBSTITUTE(_xlfn.TEXTJOIN("",TRUE,IF(ISERR(MID(C1537,ROW(INDIRECT("1:100")),1)+0),MID(C1537,ROW(INDIRECT("1:100")),1),"")),")",""),"(","")</f>
        <v>Medical care</v>
      </c>
    </row>
    <row r="1538" spans="1:8" x14ac:dyDescent="0.25">
      <c r="A1538">
        <v>2019</v>
      </c>
      <c r="B1538">
        <v>6</v>
      </c>
      <c r="C1538" t="s">
        <v>7</v>
      </c>
      <c r="D1538">
        <v>16.888999999999999</v>
      </c>
      <c r="E1538">
        <v>-0.7</v>
      </c>
      <c r="F1538">
        <v>-0.128</v>
      </c>
      <c r="H1538" s="4" t="str">
        <f t="array" aca="1" ref="H1538" ca="1">SUBSTITUTE(SUBSTITUTE(_xlfn.TEXTJOIN("",TRUE,IF(ISERR(MID(C1538,ROW(INDIRECT("1:100")),1)+0),MID(C1538,ROW(INDIRECT("1:100")),1),"")),")",""),"(","")</f>
        <v>Transportation</v>
      </c>
    </row>
    <row r="1539" spans="1:8" x14ac:dyDescent="0.25">
      <c r="A1539">
        <v>2019</v>
      </c>
      <c r="B1539">
        <v>6</v>
      </c>
      <c r="C1539" t="s">
        <v>35</v>
      </c>
      <c r="D1539">
        <v>9.2739999999999991</v>
      </c>
      <c r="E1539">
        <v>0.1</v>
      </c>
      <c r="F1539">
        <v>7.0000000000000001E-3</v>
      </c>
      <c r="H1539" s="4" t="str">
        <f t="array" aca="1" ref="H1539" ca="1">SUBSTITUTE(SUBSTITUTE(_xlfn.TEXTJOIN("",TRUE,IF(ISERR(MID(C1539,ROW(INDIRECT("1:100")),1)+0),MID(C1539,ROW(INDIRECT("1:100")),1),"")),")",""),"(","")</f>
        <v>Utilities and public transportation</v>
      </c>
    </row>
    <row r="1540" spans="1:8" x14ac:dyDescent="0.25">
      <c r="A1540">
        <v>2019</v>
      </c>
      <c r="B1540">
        <v>6</v>
      </c>
      <c r="C1540" t="s">
        <v>36</v>
      </c>
      <c r="D1540">
        <v>4.2130000000000001</v>
      </c>
      <c r="E1540">
        <v>2.2999999999999998</v>
      </c>
      <c r="F1540">
        <v>9.8000000000000004E-2</v>
      </c>
      <c r="H1540" s="4" t="str">
        <f t="array" aca="1" ref="H1540" ca="1">SUBSTITUTE(SUBSTITUTE(_xlfn.TEXTJOIN("",TRUE,IF(ISERR(MID(C1540,ROW(INDIRECT("1:100")),1)+0),MID(C1540,ROW(INDIRECT("1:100")),1),"")),")",""),"(","")</f>
        <v>Household furnishings and operations</v>
      </c>
    </row>
    <row r="1541" spans="1:8" x14ac:dyDescent="0.25">
      <c r="A1541">
        <v>2019</v>
      </c>
      <c r="B1541">
        <v>6</v>
      </c>
      <c r="C1541" t="s">
        <v>12</v>
      </c>
      <c r="D1541">
        <v>3.1779999999999999</v>
      </c>
      <c r="E1541">
        <v>1.5</v>
      </c>
      <c r="F1541">
        <v>4.7E-2</v>
      </c>
      <c r="H1541" s="4" t="str">
        <f t="array" aca="1" ref="H1541" ca="1">SUBSTITUTE(SUBSTITUTE(_xlfn.TEXTJOIN("",TRUE,IF(ISERR(MID(C1541,ROW(INDIRECT("1:100")),1)+0),MID(C1541,ROW(INDIRECT("1:100")),1),"")),")",""),"(","")</f>
        <v>Other goods and services</v>
      </c>
    </row>
    <row r="1542" spans="1:8" x14ac:dyDescent="0.25">
      <c r="A1542">
        <v>2019</v>
      </c>
      <c r="B1542">
        <v>7</v>
      </c>
      <c r="C1542" t="s">
        <v>14</v>
      </c>
      <c r="D1542">
        <v>100</v>
      </c>
      <c r="E1542">
        <v>1.8</v>
      </c>
      <c r="H1542" s="4" t="str">
        <f t="array" aca="1" ref="H1542" ca="1">SUBSTITUTE(SUBSTITUTE(_xlfn.TEXTJOIN("",TRUE,IF(ISERR(MID(C1542,ROW(INDIRECT("1:100")),1)+0),MID(C1542,ROW(INDIRECT("1:100")),1),"")),")",""),"(","")</f>
        <v>All items</v>
      </c>
    </row>
    <row r="1543" spans="1:8" x14ac:dyDescent="0.25">
      <c r="A1543">
        <v>2019</v>
      </c>
      <c r="B1543">
        <v>7</v>
      </c>
      <c r="C1543" t="s">
        <v>15</v>
      </c>
      <c r="D1543">
        <v>13.231999999999999</v>
      </c>
      <c r="E1543">
        <v>1.8</v>
      </c>
      <c r="F1543">
        <v>0.23599999999999999</v>
      </c>
      <c r="H1543" s="4" t="str">
        <f t="array" aca="1" ref="H1543" ca="1">SUBSTITUTE(SUBSTITUTE(_xlfn.TEXTJOIN("",TRUE,IF(ISERR(MID(C1543,ROW(INDIRECT("1:100")),1)+0),MID(C1543,ROW(INDIRECT("1:100")),1),"")),")",""),"(","")</f>
        <v>Food</v>
      </c>
    </row>
    <row r="1544" spans="1:8" x14ac:dyDescent="0.25">
      <c r="A1544">
        <v>2019</v>
      </c>
      <c r="B1544">
        <v>7</v>
      </c>
      <c r="C1544" t="s">
        <v>16</v>
      </c>
      <c r="D1544">
        <v>7.7480000000000002</v>
      </c>
      <c r="E1544">
        <v>-2</v>
      </c>
      <c r="F1544">
        <v>-0.16400000000000001</v>
      </c>
      <c r="H1544" s="4" t="str">
        <f t="array" aca="1" ref="H1544" ca="1">SUBSTITUTE(SUBSTITUTE(_xlfn.TEXTJOIN("",TRUE,IF(ISERR(MID(C1544,ROW(INDIRECT("1:100")),1)+0),MID(C1544,ROW(INDIRECT("1:100")),1),"")),")",""),"(","")</f>
        <v>Energy</v>
      </c>
    </row>
    <row r="1545" spans="1:8" x14ac:dyDescent="0.25">
      <c r="A1545">
        <v>2019</v>
      </c>
      <c r="B1545">
        <v>7</v>
      </c>
      <c r="C1545" t="s">
        <v>17</v>
      </c>
      <c r="D1545">
        <v>79.021000000000001</v>
      </c>
      <c r="E1545">
        <v>2.2000000000000002</v>
      </c>
      <c r="F1545">
        <v>1.74</v>
      </c>
      <c r="H1545" s="4" t="str">
        <f t="array" aca="1" ref="H1545" ca="1">SUBSTITUTE(SUBSTITUTE(_xlfn.TEXTJOIN("",TRUE,IF(ISERR(MID(C1545,ROW(INDIRECT("1:100")),1)+0),MID(C1545,ROW(INDIRECT("1:100")),1),"")),")",""),"(","")</f>
        <v>All items less food and energy</v>
      </c>
    </row>
    <row r="1546" spans="1:8" x14ac:dyDescent="0.25">
      <c r="A1546">
        <v>2019</v>
      </c>
      <c r="B1546">
        <v>7</v>
      </c>
      <c r="C1546" t="s">
        <v>18</v>
      </c>
      <c r="H1546" s="4" t="str">
        <f t="array" aca="1" ref="H1546" ca="1">SUBSTITUTE(SUBSTITUTE(_xlfn.TEXTJOIN("",TRUE,IF(ISERR(MID(C1546,ROW(INDIRECT("1:100")),1)+0),MID(C1546,ROW(INDIRECT("1:100")),1),"")),")",""),"(","")</f>
        <v>Special aggregate indexes</v>
      </c>
    </row>
    <row r="1547" spans="1:8" x14ac:dyDescent="0.25">
      <c r="A1547">
        <v>2019</v>
      </c>
      <c r="B1547">
        <v>7</v>
      </c>
      <c r="C1547" t="s">
        <v>19</v>
      </c>
      <c r="D1547">
        <v>86.768000000000001</v>
      </c>
      <c r="E1547">
        <v>1.8</v>
      </c>
      <c r="F1547">
        <v>1.575</v>
      </c>
      <c r="H1547" s="4" t="str">
        <f t="array" aca="1" ref="H1547" ca="1">SUBSTITUTE(SUBSTITUTE(_xlfn.TEXTJOIN("",TRUE,IF(ISERR(MID(C1547,ROW(INDIRECT("1:100")),1)+0),MID(C1547,ROW(INDIRECT("1:100")),1),"")),")",""),"(","")</f>
        <v>All items less food</v>
      </c>
    </row>
    <row r="1548" spans="1:8" x14ac:dyDescent="0.25">
      <c r="A1548">
        <v>2019</v>
      </c>
      <c r="B1548">
        <v>7</v>
      </c>
      <c r="C1548" t="s">
        <v>20</v>
      </c>
      <c r="D1548">
        <v>66.682000000000002</v>
      </c>
      <c r="E1548">
        <v>1</v>
      </c>
      <c r="F1548">
        <v>0.66800000000000004</v>
      </c>
      <c r="H1548" s="4" t="str">
        <f t="array" aca="1" ref="H1548" ca="1">SUBSTITUTE(SUBSTITUTE(_xlfn.TEXTJOIN("",TRUE,IF(ISERR(MID(C1548,ROW(INDIRECT("1:100")),1)+0),MID(C1548,ROW(INDIRECT("1:100")),1),"")),")",""),"(","")</f>
        <v>All items less shelter</v>
      </c>
    </row>
    <row r="1549" spans="1:8" x14ac:dyDescent="0.25">
      <c r="A1549">
        <v>2019</v>
      </c>
      <c r="B1549">
        <v>7</v>
      </c>
      <c r="C1549" t="s">
        <v>21</v>
      </c>
      <c r="D1549">
        <v>53.451000000000001</v>
      </c>
      <c r="E1549">
        <v>0.8</v>
      </c>
      <c r="F1549">
        <v>0.432</v>
      </c>
      <c r="H1549" s="4" t="str">
        <f t="array" aca="1" ref="H1549" ca="1">SUBSTITUTE(SUBSTITUTE(_xlfn.TEXTJOIN("",TRUE,IF(ISERR(MID(C1549,ROW(INDIRECT("1:100")),1)+0),MID(C1549,ROW(INDIRECT("1:100")),1),"")),")",""),"(","")</f>
        <v>All items less food and shelter</v>
      </c>
    </row>
    <row r="1550" spans="1:8" x14ac:dyDescent="0.25">
      <c r="A1550">
        <v>2019</v>
      </c>
      <c r="B1550">
        <v>7</v>
      </c>
      <c r="C1550" t="s">
        <v>22</v>
      </c>
      <c r="D1550">
        <v>45.703000000000003</v>
      </c>
      <c r="E1550">
        <v>1.3</v>
      </c>
      <c r="F1550">
        <v>0.59699999999999998</v>
      </c>
      <c r="H1550" s="4" t="str">
        <f t="array" aca="1" ref="H1550" ca="1">SUBSTITUTE(SUBSTITUTE(_xlfn.TEXTJOIN("",TRUE,IF(ISERR(MID(C1550,ROW(INDIRECT("1:100")),1)+0),MID(C1550,ROW(INDIRECT("1:100")),1),"")),")",""),"(","")</f>
        <v>All items less food, shelter, and energy</v>
      </c>
    </row>
    <row r="1551" spans="1:8" x14ac:dyDescent="0.25">
      <c r="A1551">
        <v>2019</v>
      </c>
      <c r="B1551">
        <v>7</v>
      </c>
      <c r="C1551" t="s">
        <v>23</v>
      </c>
      <c r="D1551">
        <v>43.311</v>
      </c>
      <c r="E1551">
        <v>1.3</v>
      </c>
      <c r="F1551">
        <v>0.56100000000000005</v>
      </c>
      <c r="H1551" s="4" t="str">
        <f t="array" aca="1" ref="H1551" ca="1">SUBSTITUTE(SUBSTITUTE(_xlfn.TEXTJOIN("",TRUE,IF(ISERR(MID(C1551,ROW(INDIRECT("1:100")),1)+0),MID(C1551,ROW(INDIRECT("1:100")),1),"")),")",""),"(","")</f>
        <v>All items less food, shelter, energy, and used cars and trucks</v>
      </c>
    </row>
    <row r="1552" spans="1:8" x14ac:dyDescent="0.25">
      <c r="A1552">
        <v>2019</v>
      </c>
      <c r="B1552">
        <v>7</v>
      </c>
      <c r="C1552" t="s">
        <v>24</v>
      </c>
      <c r="D1552">
        <v>91.341999999999999</v>
      </c>
      <c r="E1552">
        <v>1.7</v>
      </c>
      <c r="F1552">
        <v>1.589</v>
      </c>
      <c r="H1552" s="4" t="str">
        <f t="array" aca="1" ref="H1552" ca="1">SUBSTITUTE(SUBSTITUTE(_xlfn.TEXTJOIN("",TRUE,IF(ISERR(MID(C1552,ROW(INDIRECT("1:100")),1)+0),MID(C1552,ROW(INDIRECT("1:100")),1),"")),")",""),"(","")</f>
        <v>All items less medical care</v>
      </c>
    </row>
    <row r="1553" spans="1:8" x14ac:dyDescent="0.25">
      <c r="A1553">
        <v>2019</v>
      </c>
      <c r="B1553">
        <v>7</v>
      </c>
      <c r="C1553" t="s">
        <v>25</v>
      </c>
      <c r="D1553">
        <v>92.251999999999995</v>
      </c>
      <c r="E1553">
        <v>2.1</v>
      </c>
      <c r="F1553">
        <v>1.9750000000000001</v>
      </c>
      <c r="H1553" s="4" t="str">
        <f t="array" aca="1" ref="H1553" ca="1">SUBSTITUTE(SUBSTITUTE(_xlfn.TEXTJOIN("",TRUE,IF(ISERR(MID(C1553,ROW(INDIRECT("1:100")),1)+0),MID(C1553,ROW(INDIRECT("1:100")),1),"")),")",""),"(","")</f>
        <v>All items less energy</v>
      </c>
    </row>
    <row r="1554" spans="1:8" x14ac:dyDescent="0.25">
      <c r="A1554">
        <v>2019</v>
      </c>
      <c r="B1554">
        <v>7</v>
      </c>
      <c r="C1554" t="s">
        <v>26</v>
      </c>
      <c r="D1554">
        <v>36.951000000000001</v>
      </c>
      <c r="E1554">
        <v>0.4</v>
      </c>
      <c r="F1554">
        <v>0.159</v>
      </c>
      <c r="H1554" s="4" t="str">
        <f t="array" aca="1" ref="H1554" ca="1">SUBSTITUTE(SUBSTITUTE(_xlfn.TEXTJOIN("",TRUE,IF(ISERR(MID(C1554,ROW(INDIRECT("1:100")),1)+0),MID(C1554,ROW(INDIRECT("1:100")),1),"")),")",""),"(","")</f>
        <v>Commodities</v>
      </c>
    </row>
    <row r="1555" spans="1:8" x14ac:dyDescent="0.25">
      <c r="A1555">
        <v>2019</v>
      </c>
      <c r="B1555">
        <v>7</v>
      </c>
      <c r="C1555" t="s">
        <v>27</v>
      </c>
      <c r="D1555">
        <v>63.048999999999999</v>
      </c>
      <c r="E1555">
        <v>2.6</v>
      </c>
      <c r="F1555">
        <v>1.6519999999999999</v>
      </c>
      <c r="H1555" s="4" t="str">
        <f t="array" aca="1" ref="H1555" ca="1">SUBSTITUTE(SUBSTITUTE(_xlfn.TEXTJOIN("",TRUE,IF(ISERR(MID(C1555,ROW(INDIRECT("1:100")),1)+0),MID(C1555,ROW(INDIRECT("1:100")),1),"")),")",""),"(","")</f>
        <v>Services</v>
      </c>
    </row>
    <row r="1556" spans="1:8" x14ac:dyDescent="0.25">
      <c r="A1556">
        <v>2019</v>
      </c>
      <c r="B1556">
        <v>7</v>
      </c>
      <c r="C1556" t="s">
        <v>28</v>
      </c>
      <c r="D1556">
        <v>9.8559999999999999</v>
      </c>
      <c r="E1556">
        <v>0.5</v>
      </c>
      <c r="F1556">
        <v>4.8000000000000001E-2</v>
      </c>
      <c r="H1556" s="4" t="str">
        <f t="array" aca="1" ref="H1556" ca="1">SUBSTITUTE(SUBSTITUTE(_xlfn.TEXTJOIN("",TRUE,IF(ISERR(MID(C1556,ROW(INDIRECT("1:100")),1)+0),MID(C1556,ROW(INDIRECT("1:100")),1),"")),")",""),"(","")</f>
        <v>Durables</v>
      </c>
    </row>
    <row r="1557" spans="1:8" x14ac:dyDescent="0.25">
      <c r="A1557">
        <v>2019</v>
      </c>
      <c r="B1557">
        <v>7</v>
      </c>
      <c r="C1557" t="s">
        <v>29</v>
      </c>
      <c r="D1557">
        <v>27.094999999999999</v>
      </c>
      <c r="E1557">
        <v>0.4</v>
      </c>
      <c r="F1557">
        <v>0.111</v>
      </c>
      <c r="H1557" s="4" t="str">
        <f t="array" aca="1" ref="H1557" ca="1">SUBSTITUTE(SUBSTITUTE(_xlfn.TEXTJOIN("",TRUE,IF(ISERR(MID(C1557,ROW(INDIRECT("1:100")),1)+0),MID(C1557,ROW(INDIRECT("1:100")),1),"")),")",""),"(","")</f>
        <v>Nondurables</v>
      </c>
    </row>
    <row r="1558" spans="1:8" x14ac:dyDescent="0.25">
      <c r="A1558">
        <v>2019</v>
      </c>
      <c r="B1558">
        <v>7</v>
      </c>
      <c r="C1558" t="s">
        <v>8</v>
      </c>
      <c r="D1558">
        <v>42.201999999999998</v>
      </c>
      <c r="E1558">
        <v>3</v>
      </c>
      <c r="F1558">
        <v>1.2609999999999999</v>
      </c>
      <c r="H1558" s="4" t="str">
        <f t="array" aca="1" ref="H1558" ca="1">SUBSTITUTE(SUBSTITUTE(_xlfn.TEXTJOIN("",TRUE,IF(ISERR(MID(C1558,ROW(INDIRECT("1:100")),1)+0),MID(C1558,ROW(INDIRECT("1:100")),1),"")),")",""),"(","")</f>
        <v>Housing</v>
      </c>
    </row>
    <row r="1559" spans="1:8" x14ac:dyDescent="0.25">
      <c r="A1559">
        <v>2019</v>
      </c>
      <c r="B1559">
        <v>7</v>
      </c>
      <c r="C1559" t="s">
        <v>48</v>
      </c>
      <c r="D1559">
        <v>6.4870000000000001</v>
      </c>
      <c r="E1559">
        <v>0.6</v>
      </c>
      <c r="F1559">
        <v>0.04</v>
      </c>
      <c r="H1559" s="4" t="str">
        <f t="array" aca="1" ref="H1559" ca="1">SUBSTITUTE(SUBSTITUTE(_xlfn.TEXTJOIN("",TRUE,IF(ISERR(MID(C1559,ROW(INDIRECT("1:100")),1)+0),MID(C1559,ROW(INDIRECT("1:100")),1),"")),")",""),"(","")</f>
        <v>Education and communication</v>
      </c>
    </row>
    <row r="1560" spans="1:8" x14ac:dyDescent="0.25">
      <c r="A1560">
        <v>2019</v>
      </c>
      <c r="B1560">
        <v>7</v>
      </c>
      <c r="C1560" t="s">
        <v>49</v>
      </c>
      <c r="D1560">
        <v>5.6059999999999999</v>
      </c>
      <c r="E1560">
        <v>0.7</v>
      </c>
      <c r="F1560">
        <v>4.1000000000000002E-2</v>
      </c>
      <c r="H1560" s="4" t="str">
        <f t="array" aca="1" ref="H1560" ca="1">SUBSTITUTE(SUBSTITUTE(_xlfn.TEXTJOIN("",TRUE,IF(ISERR(MID(C1560,ROW(INDIRECT("1:100")),1)+0),MID(C1560,ROW(INDIRECT("1:100")),1),"")),")",""),"(","")</f>
        <v>Recreation</v>
      </c>
    </row>
    <row r="1561" spans="1:8" x14ac:dyDescent="0.25">
      <c r="A1561">
        <v>2019</v>
      </c>
      <c r="B1561">
        <v>7</v>
      </c>
      <c r="C1561" t="s">
        <v>6</v>
      </c>
      <c r="D1561">
        <v>14.191000000000001</v>
      </c>
      <c r="E1561">
        <v>1.8</v>
      </c>
      <c r="F1561">
        <v>0.254</v>
      </c>
      <c r="H1561" s="4" t="str">
        <f t="array" aca="1" ref="H1561" ca="1">SUBSTITUTE(SUBSTITUTE(_xlfn.TEXTJOIN("",TRUE,IF(ISERR(MID(C1561,ROW(INDIRECT("1:100")),1)+0),MID(C1561,ROW(INDIRECT("1:100")),1),"")),")",""),"(","")</f>
        <v>Food and beverages</v>
      </c>
    </row>
    <row r="1562" spans="1:8" x14ac:dyDescent="0.25">
      <c r="A1562">
        <v>2019</v>
      </c>
      <c r="B1562">
        <v>7</v>
      </c>
      <c r="C1562" t="s">
        <v>32</v>
      </c>
      <c r="D1562">
        <v>11.451000000000001</v>
      </c>
      <c r="E1562">
        <v>1.4</v>
      </c>
      <c r="F1562">
        <v>0.16300000000000001</v>
      </c>
      <c r="H1562" s="4" t="str">
        <f t="array" aca="1" ref="H1562" ca="1">SUBSTITUTE(SUBSTITUTE(_xlfn.TEXTJOIN("",TRUE,IF(ISERR(MID(C1562,ROW(INDIRECT("1:100")),1)+0),MID(C1562,ROW(INDIRECT("1:100")),1),"")),")",""),"(","")</f>
        <v>Other services</v>
      </c>
    </row>
    <row r="1563" spans="1:8" x14ac:dyDescent="0.25">
      <c r="A1563">
        <v>2019</v>
      </c>
      <c r="B1563">
        <v>7</v>
      </c>
      <c r="C1563" t="s">
        <v>33</v>
      </c>
      <c r="D1563">
        <v>2.323</v>
      </c>
      <c r="E1563">
        <v>-0.6</v>
      </c>
      <c r="F1563">
        <v>-1.2999999999999999E-2</v>
      </c>
      <c r="H1563" s="4" t="str">
        <f t="array" aca="1" ref="H1563" ca="1">SUBSTITUTE(SUBSTITUTE(_xlfn.TEXTJOIN("",TRUE,IF(ISERR(MID(C1563,ROW(INDIRECT("1:100")),1)+0),MID(C1563,ROW(INDIRECT("1:100")),1),"")),")",""),"(","")</f>
        <v>Apparel less footwear</v>
      </c>
    </row>
    <row r="1564" spans="1:8" x14ac:dyDescent="0.25">
      <c r="A1564">
        <v>2019</v>
      </c>
      <c r="B1564">
        <v>7</v>
      </c>
      <c r="C1564" t="s">
        <v>34</v>
      </c>
      <c r="D1564">
        <v>4.641</v>
      </c>
      <c r="E1564">
        <v>0.4</v>
      </c>
      <c r="F1564">
        <v>1.7999999999999999E-2</v>
      </c>
      <c r="H1564" s="4" t="str">
        <f t="array" aca="1" ref="H1564" ca="1">SUBSTITUTE(SUBSTITUTE(_xlfn.TEXTJOIN("",TRUE,IF(ISERR(MID(C1564,ROW(INDIRECT("1:100")),1)+0),MID(C1564,ROW(INDIRECT("1:100")),1),"")),")",""),"(","")</f>
        <v>Fuels and utilities</v>
      </c>
    </row>
    <row r="1565" spans="1:8" x14ac:dyDescent="0.25">
      <c r="A1565">
        <v>2019</v>
      </c>
      <c r="B1565">
        <v>7</v>
      </c>
      <c r="C1565" t="s">
        <v>11</v>
      </c>
      <c r="D1565">
        <v>8.6579999999999995</v>
      </c>
      <c r="E1565">
        <v>2.6</v>
      </c>
      <c r="F1565">
        <v>0.222</v>
      </c>
      <c r="H1565" s="4" t="str">
        <f t="array" aca="1" ref="H1565" ca="1">SUBSTITUTE(SUBSTITUTE(_xlfn.TEXTJOIN("",TRUE,IF(ISERR(MID(C1565,ROW(INDIRECT("1:100")),1)+0),MID(C1565,ROW(INDIRECT("1:100")),1),"")),")",""),"(","")</f>
        <v>Medical care</v>
      </c>
    </row>
    <row r="1566" spans="1:8" x14ac:dyDescent="0.25">
      <c r="A1566">
        <v>2019</v>
      </c>
      <c r="B1566">
        <v>7</v>
      </c>
      <c r="C1566" t="s">
        <v>7</v>
      </c>
      <c r="D1566">
        <v>16.704000000000001</v>
      </c>
      <c r="E1566">
        <v>-0.3</v>
      </c>
      <c r="F1566">
        <v>-5.0999999999999997E-2</v>
      </c>
      <c r="H1566" s="4" t="str">
        <f t="array" aca="1" ref="H1566" ca="1">SUBSTITUTE(SUBSTITUTE(_xlfn.TEXTJOIN("",TRUE,IF(ISERR(MID(C1566,ROW(INDIRECT("1:100")),1)+0),MID(C1566,ROW(INDIRECT("1:100")),1),"")),")",""),"(","")</f>
        <v>Transportation</v>
      </c>
    </row>
    <row r="1567" spans="1:8" x14ac:dyDescent="0.25">
      <c r="A1567">
        <v>2019</v>
      </c>
      <c r="B1567">
        <v>7</v>
      </c>
      <c r="C1567" t="s">
        <v>35</v>
      </c>
      <c r="D1567">
        <v>9.3360000000000003</v>
      </c>
      <c r="E1567">
        <v>0.2</v>
      </c>
      <c r="F1567">
        <v>0.02</v>
      </c>
      <c r="H1567" s="4" t="str">
        <f t="array" aca="1" ref="H1567" ca="1">SUBSTITUTE(SUBSTITUTE(_xlfn.TEXTJOIN("",TRUE,IF(ISERR(MID(C1567,ROW(INDIRECT("1:100")),1)+0),MID(C1567,ROW(INDIRECT("1:100")),1),"")),")",""),"(","")</f>
        <v>Utilities and public transportation</v>
      </c>
    </row>
    <row r="1568" spans="1:8" x14ac:dyDescent="0.25">
      <c r="A1568">
        <v>2019</v>
      </c>
      <c r="B1568">
        <v>7</v>
      </c>
      <c r="C1568" t="s">
        <v>36</v>
      </c>
      <c r="D1568">
        <v>4.242</v>
      </c>
      <c r="E1568">
        <v>2.4</v>
      </c>
      <c r="F1568">
        <v>0.1</v>
      </c>
      <c r="H1568" s="4" t="str">
        <f t="array" aca="1" ref="H1568" ca="1">SUBSTITUTE(SUBSTITUTE(_xlfn.TEXTJOIN("",TRUE,IF(ISERR(MID(C1568,ROW(INDIRECT("1:100")),1)+0),MID(C1568,ROW(INDIRECT("1:100")),1),"")),")",""),"(","")</f>
        <v>Household furnishings and operations</v>
      </c>
    </row>
    <row r="1569" spans="1:8" x14ac:dyDescent="0.25">
      <c r="A1569">
        <v>2019</v>
      </c>
      <c r="B1569">
        <v>7</v>
      </c>
      <c r="C1569" t="s">
        <v>12</v>
      </c>
      <c r="D1569">
        <v>3.173</v>
      </c>
      <c r="E1569">
        <v>1.9</v>
      </c>
      <c r="F1569">
        <v>6.0999999999999999E-2</v>
      </c>
      <c r="H1569" s="4" t="str">
        <f t="array" aca="1" ref="H1569" ca="1">SUBSTITUTE(SUBSTITUTE(_xlfn.TEXTJOIN("",TRUE,IF(ISERR(MID(C1569,ROW(INDIRECT("1:100")),1)+0),MID(C1569,ROW(INDIRECT("1:100")),1),"")),")",""),"(","")</f>
        <v>Other goods and services</v>
      </c>
    </row>
    <row r="1570" spans="1:8" x14ac:dyDescent="0.25">
      <c r="A1570">
        <v>2019</v>
      </c>
      <c r="B1570">
        <v>8</v>
      </c>
      <c r="C1570" t="s">
        <v>14</v>
      </c>
      <c r="D1570">
        <v>100</v>
      </c>
      <c r="E1570">
        <v>1.7</v>
      </c>
      <c r="H1570" s="4" t="str">
        <f t="array" aca="1" ref="H1570" ca="1">SUBSTITUTE(SUBSTITUTE(_xlfn.TEXTJOIN("",TRUE,IF(ISERR(MID(C1570,ROW(INDIRECT("1:100")),1)+0),MID(C1570,ROW(INDIRECT("1:100")),1),"")),")",""),"(","")</f>
        <v>All items</v>
      </c>
    </row>
    <row r="1571" spans="1:8" x14ac:dyDescent="0.25">
      <c r="A1571">
        <v>2019</v>
      </c>
      <c r="B1571">
        <v>8</v>
      </c>
      <c r="C1571" t="s">
        <v>15</v>
      </c>
      <c r="D1571">
        <v>13.22</v>
      </c>
      <c r="E1571">
        <v>1.7</v>
      </c>
      <c r="F1571">
        <v>0.22600000000000001</v>
      </c>
      <c r="H1571" s="4" t="str">
        <f t="array" aca="1" ref="H1571" ca="1">SUBSTITUTE(SUBSTITUTE(_xlfn.TEXTJOIN("",TRUE,IF(ISERR(MID(C1571,ROW(INDIRECT("1:100")),1)+0),MID(C1571,ROW(INDIRECT("1:100")),1),"")),")",""),"(","")</f>
        <v>Food</v>
      </c>
    </row>
    <row r="1572" spans="1:8" x14ac:dyDescent="0.25">
      <c r="A1572">
        <v>2019</v>
      </c>
      <c r="B1572">
        <v>8</v>
      </c>
      <c r="C1572" t="s">
        <v>16</v>
      </c>
      <c r="D1572">
        <v>7.774</v>
      </c>
      <c r="E1572">
        <v>-4.4000000000000004</v>
      </c>
      <c r="F1572">
        <v>-0.35399999999999998</v>
      </c>
      <c r="H1572" s="4" t="str">
        <f t="array" aca="1" ref="H1572" ca="1">SUBSTITUTE(SUBSTITUTE(_xlfn.TEXTJOIN("",TRUE,IF(ISERR(MID(C1572,ROW(INDIRECT("1:100")),1)+0),MID(C1572,ROW(INDIRECT("1:100")),1),"")),")",""),"(","")</f>
        <v>Energy</v>
      </c>
    </row>
    <row r="1573" spans="1:8" x14ac:dyDescent="0.25">
      <c r="A1573">
        <v>2019</v>
      </c>
      <c r="B1573">
        <v>8</v>
      </c>
      <c r="C1573" t="s">
        <v>17</v>
      </c>
      <c r="D1573">
        <v>79.006</v>
      </c>
      <c r="E1573">
        <v>2.4</v>
      </c>
      <c r="F1573">
        <v>1.8779999999999999</v>
      </c>
      <c r="H1573" s="4" t="str">
        <f t="array" aca="1" ref="H1573" ca="1">SUBSTITUTE(SUBSTITUTE(_xlfn.TEXTJOIN("",TRUE,IF(ISERR(MID(C1573,ROW(INDIRECT("1:100")),1)+0),MID(C1573,ROW(INDIRECT("1:100")),1),"")),")",""),"(","")</f>
        <v>All items less food and energy</v>
      </c>
    </row>
    <row r="1574" spans="1:8" x14ac:dyDescent="0.25">
      <c r="A1574">
        <v>2019</v>
      </c>
      <c r="B1574">
        <v>8</v>
      </c>
      <c r="C1574" t="s">
        <v>18</v>
      </c>
      <c r="H1574" s="4" t="str">
        <f t="array" aca="1" ref="H1574" ca="1">SUBSTITUTE(SUBSTITUTE(_xlfn.TEXTJOIN("",TRUE,IF(ISERR(MID(C1574,ROW(INDIRECT("1:100")),1)+0),MID(C1574,ROW(INDIRECT("1:100")),1),"")),")",""),"(","")</f>
        <v>Special aggregate indexes</v>
      </c>
    </row>
    <row r="1575" spans="1:8" x14ac:dyDescent="0.25">
      <c r="A1575">
        <v>2019</v>
      </c>
      <c r="B1575">
        <v>8</v>
      </c>
      <c r="C1575" t="s">
        <v>19</v>
      </c>
      <c r="D1575">
        <v>86.78</v>
      </c>
      <c r="E1575">
        <v>1.8</v>
      </c>
      <c r="F1575">
        <v>1.524</v>
      </c>
      <c r="H1575" s="4" t="str">
        <f t="array" aca="1" ref="H1575" ca="1">SUBSTITUTE(SUBSTITUTE(_xlfn.TEXTJOIN("",TRUE,IF(ISERR(MID(C1575,ROW(INDIRECT("1:100")),1)+0),MID(C1575,ROW(INDIRECT("1:100")),1),"")),")",""),"(","")</f>
        <v>All items less food</v>
      </c>
    </row>
    <row r="1576" spans="1:8" x14ac:dyDescent="0.25">
      <c r="A1576">
        <v>2019</v>
      </c>
      <c r="B1576">
        <v>8</v>
      </c>
      <c r="C1576" t="s">
        <v>20</v>
      </c>
      <c r="D1576">
        <v>66.650999999999996</v>
      </c>
      <c r="E1576">
        <v>1</v>
      </c>
      <c r="F1576">
        <v>0.64600000000000002</v>
      </c>
      <c r="H1576" s="4" t="str">
        <f t="array" aca="1" ref="H1576" ca="1">SUBSTITUTE(SUBSTITUTE(_xlfn.TEXTJOIN("",TRUE,IF(ISERR(MID(C1576,ROW(INDIRECT("1:100")),1)+0),MID(C1576,ROW(INDIRECT("1:100")),1),"")),")",""),"(","")</f>
        <v>All items less shelter</v>
      </c>
    </row>
    <row r="1577" spans="1:8" x14ac:dyDescent="0.25">
      <c r="A1577">
        <v>2019</v>
      </c>
      <c r="B1577">
        <v>8</v>
      </c>
      <c r="C1577" t="s">
        <v>21</v>
      </c>
      <c r="D1577">
        <v>53.43</v>
      </c>
      <c r="E1577">
        <v>0.8</v>
      </c>
      <c r="F1577">
        <v>0.42</v>
      </c>
      <c r="H1577" s="4" t="str">
        <f t="array" aca="1" ref="H1577" ca="1">SUBSTITUTE(SUBSTITUTE(_xlfn.TEXTJOIN("",TRUE,IF(ISERR(MID(C1577,ROW(INDIRECT("1:100")),1)+0),MID(C1577,ROW(INDIRECT("1:100")),1),"")),")",""),"(","")</f>
        <v>All items less food and shelter</v>
      </c>
    </row>
    <row r="1578" spans="1:8" x14ac:dyDescent="0.25">
      <c r="A1578">
        <v>2019</v>
      </c>
      <c r="B1578">
        <v>8</v>
      </c>
      <c r="C1578" t="s">
        <v>22</v>
      </c>
      <c r="D1578">
        <v>45.655999999999999</v>
      </c>
      <c r="E1578">
        <v>1.7</v>
      </c>
      <c r="F1578">
        <v>0.77400000000000002</v>
      </c>
      <c r="H1578" s="4" t="str">
        <f t="array" aca="1" ref="H1578" ca="1">SUBSTITUTE(SUBSTITUTE(_xlfn.TEXTJOIN("",TRUE,IF(ISERR(MID(C1578,ROW(INDIRECT("1:100")),1)+0),MID(C1578,ROW(INDIRECT("1:100")),1),"")),")",""),"(","")</f>
        <v>All items less food, shelter, and energy</v>
      </c>
    </row>
    <row r="1579" spans="1:8" x14ac:dyDescent="0.25">
      <c r="A1579">
        <v>2019</v>
      </c>
      <c r="B1579">
        <v>8</v>
      </c>
      <c r="C1579" t="s">
        <v>23</v>
      </c>
      <c r="D1579">
        <v>43.235999999999997</v>
      </c>
      <c r="E1579">
        <v>1.7</v>
      </c>
      <c r="F1579">
        <v>0.72299999999999998</v>
      </c>
      <c r="H1579" s="4" t="str">
        <f t="array" aca="1" ref="H1579" ca="1">SUBSTITUTE(SUBSTITUTE(_xlfn.TEXTJOIN("",TRUE,IF(ISERR(MID(C1579,ROW(INDIRECT("1:100")),1)+0),MID(C1579,ROW(INDIRECT("1:100")),1),"")),")",""),"(","")</f>
        <v>All items less food, shelter, energy, and used cars and trucks</v>
      </c>
    </row>
    <row r="1580" spans="1:8" x14ac:dyDescent="0.25">
      <c r="A1580">
        <v>2019</v>
      </c>
      <c r="B1580">
        <v>8</v>
      </c>
      <c r="C1580" t="s">
        <v>24</v>
      </c>
      <c r="D1580">
        <v>91.32</v>
      </c>
      <c r="E1580">
        <v>1.6</v>
      </c>
      <c r="F1580">
        <v>1.452</v>
      </c>
      <c r="H1580" s="4" t="str">
        <f t="array" aca="1" ref="H1580" ca="1">SUBSTITUTE(SUBSTITUTE(_xlfn.TEXTJOIN("",TRUE,IF(ISERR(MID(C1580,ROW(INDIRECT("1:100")),1)+0),MID(C1580,ROW(INDIRECT("1:100")),1),"")),")",""),"(","")</f>
        <v>All items less medical care</v>
      </c>
    </row>
    <row r="1581" spans="1:8" x14ac:dyDescent="0.25">
      <c r="A1581">
        <v>2019</v>
      </c>
      <c r="B1581">
        <v>8</v>
      </c>
      <c r="C1581" t="s">
        <v>25</v>
      </c>
      <c r="D1581">
        <v>92.225999999999999</v>
      </c>
      <c r="E1581">
        <v>2.2999999999999998</v>
      </c>
      <c r="F1581">
        <v>2.1040000000000001</v>
      </c>
      <c r="H1581" s="4" t="str">
        <f t="array" aca="1" ref="H1581" ca="1">SUBSTITUTE(SUBSTITUTE(_xlfn.TEXTJOIN("",TRUE,IF(ISERR(MID(C1581,ROW(INDIRECT("1:100")),1)+0),MID(C1581,ROW(INDIRECT("1:100")),1),"")),")",""),"(","")</f>
        <v>All items less energy</v>
      </c>
    </row>
    <row r="1582" spans="1:8" x14ac:dyDescent="0.25">
      <c r="A1582">
        <v>2019</v>
      </c>
      <c r="B1582">
        <v>8</v>
      </c>
      <c r="C1582" t="s">
        <v>26</v>
      </c>
      <c r="D1582">
        <v>36.93</v>
      </c>
      <c r="E1582">
        <v>0.2</v>
      </c>
      <c r="F1582">
        <v>6.4000000000000001E-2</v>
      </c>
      <c r="H1582" s="4" t="str">
        <f t="array" aca="1" ref="H1582" ca="1">SUBSTITUTE(SUBSTITUTE(_xlfn.TEXTJOIN("",TRUE,IF(ISERR(MID(C1582,ROW(INDIRECT("1:100")),1)+0),MID(C1582,ROW(INDIRECT("1:100")),1),"")),")",""),"(","")</f>
        <v>Commodities</v>
      </c>
    </row>
    <row r="1583" spans="1:8" x14ac:dyDescent="0.25">
      <c r="A1583">
        <v>2019</v>
      </c>
      <c r="B1583">
        <v>8</v>
      </c>
      <c r="C1583" t="s">
        <v>27</v>
      </c>
      <c r="D1583">
        <v>63.07</v>
      </c>
      <c r="E1583">
        <v>2.7</v>
      </c>
      <c r="F1583">
        <v>1.6850000000000001</v>
      </c>
      <c r="H1583" s="4" t="str">
        <f t="array" aca="1" ref="H1583" ca="1">SUBSTITUTE(SUBSTITUTE(_xlfn.TEXTJOIN("",TRUE,IF(ISERR(MID(C1583,ROW(INDIRECT("1:100")),1)+0),MID(C1583,ROW(INDIRECT("1:100")),1),"")),")",""),"(","")</f>
        <v>Services</v>
      </c>
    </row>
    <row r="1584" spans="1:8" x14ac:dyDescent="0.25">
      <c r="A1584">
        <v>2019</v>
      </c>
      <c r="B1584">
        <v>8</v>
      </c>
      <c r="C1584" t="s">
        <v>28</v>
      </c>
      <c r="D1584">
        <v>9.8580000000000005</v>
      </c>
      <c r="E1584">
        <v>0.6</v>
      </c>
      <c r="F1584">
        <v>6.3E-2</v>
      </c>
      <c r="H1584" s="4" t="str">
        <f t="array" aca="1" ref="H1584" ca="1">SUBSTITUTE(SUBSTITUTE(_xlfn.TEXTJOIN("",TRUE,IF(ISERR(MID(C1584,ROW(INDIRECT("1:100")),1)+0),MID(C1584,ROW(INDIRECT("1:100")),1),"")),")",""),"(","")</f>
        <v>Durables</v>
      </c>
    </row>
    <row r="1585" spans="1:8" x14ac:dyDescent="0.25">
      <c r="A1585">
        <v>2019</v>
      </c>
      <c r="B1585">
        <v>8</v>
      </c>
      <c r="C1585" t="s">
        <v>29</v>
      </c>
      <c r="D1585">
        <v>27.071999999999999</v>
      </c>
      <c r="E1585">
        <v>0</v>
      </c>
      <c r="F1585">
        <v>1E-3</v>
      </c>
      <c r="H1585" s="4" t="str">
        <f t="array" aca="1" ref="H1585" ca="1">SUBSTITUTE(SUBSTITUTE(_xlfn.TEXTJOIN("",TRUE,IF(ISERR(MID(C1585,ROW(INDIRECT("1:100")),1)+0),MID(C1585,ROW(INDIRECT("1:100")),1),"")),")",""),"(","")</f>
        <v>Nondurables</v>
      </c>
    </row>
    <row r="1586" spans="1:8" x14ac:dyDescent="0.25">
      <c r="A1586">
        <v>2019</v>
      </c>
      <c r="B1586">
        <v>8</v>
      </c>
      <c r="C1586" t="s">
        <v>8</v>
      </c>
      <c r="D1586">
        <v>42.231999999999999</v>
      </c>
      <c r="E1586">
        <v>2.8</v>
      </c>
      <c r="F1586">
        <v>1.1870000000000001</v>
      </c>
      <c r="H1586" s="4" t="str">
        <f t="array" aca="1" ref="H1586" ca="1">SUBSTITUTE(SUBSTITUTE(_xlfn.TEXTJOIN("",TRUE,IF(ISERR(MID(C1586,ROW(INDIRECT("1:100")),1)+0),MID(C1586,ROW(INDIRECT("1:100")),1),"")),")",""),"(","")</f>
        <v>Housing</v>
      </c>
    </row>
    <row r="1587" spans="1:8" x14ac:dyDescent="0.25">
      <c r="A1587">
        <v>2019</v>
      </c>
      <c r="B1587">
        <v>8</v>
      </c>
      <c r="C1587" t="s">
        <v>48</v>
      </c>
      <c r="D1587">
        <v>6.4880000000000004</v>
      </c>
      <c r="E1587">
        <v>0.6</v>
      </c>
      <c r="F1587">
        <v>3.9E-2</v>
      </c>
      <c r="H1587" s="4" t="str">
        <f t="array" aca="1" ref="H1587" ca="1">SUBSTITUTE(SUBSTITUTE(_xlfn.TEXTJOIN("",TRUE,IF(ISERR(MID(C1587,ROW(INDIRECT("1:100")),1)+0),MID(C1587,ROW(INDIRECT("1:100")),1),"")),")",""),"(","")</f>
        <v>Education and communication</v>
      </c>
    </row>
    <row r="1588" spans="1:8" x14ac:dyDescent="0.25">
      <c r="A1588">
        <v>2019</v>
      </c>
      <c r="B1588">
        <v>8</v>
      </c>
      <c r="C1588" t="s">
        <v>49</v>
      </c>
      <c r="D1588">
        <v>5.5949999999999998</v>
      </c>
      <c r="E1588">
        <v>1.2</v>
      </c>
      <c r="F1588">
        <v>7.0000000000000007E-2</v>
      </c>
      <c r="H1588" s="4" t="str">
        <f t="array" aca="1" ref="H1588" ca="1">SUBSTITUTE(SUBSTITUTE(_xlfn.TEXTJOIN("",TRUE,IF(ISERR(MID(C1588,ROW(INDIRECT("1:100")),1)+0),MID(C1588,ROW(INDIRECT("1:100")),1),"")),")",""),"(","")</f>
        <v>Recreation</v>
      </c>
    </row>
    <row r="1589" spans="1:8" x14ac:dyDescent="0.25">
      <c r="A1589">
        <v>2019</v>
      </c>
      <c r="B1589">
        <v>8</v>
      </c>
      <c r="C1589" t="s">
        <v>6</v>
      </c>
      <c r="D1589">
        <v>14.180999999999999</v>
      </c>
      <c r="E1589">
        <v>1.7</v>
      </c>
      <c r="F1589">
        <v>0.245</v>
      </c>
      <c r="H1589" s="4" t="str">
        <f t="array" aca="1" ref="H1589" ca="1">SUBSTITUTE(SUBSTITUTE(_xlfn.TEXTJOIN("",TRUE,IF(ISERR(MID(C1589,ROW(INDIRECT("1:100")),1)+0),MID(C1589,ROW(INDIRECT("1:100")),1),"")),")",""),"(","")</f>
        <v>Food and beverages</v>
      </c>
    </row>
    <row r="1590" spans="1:8" x14ac:dyDescent="0.25">
      <c r="A1590">
        <v>2019</v>
      </c>
      <c r="B1590">
        <v>8</v>
      </c>
      <c r="C1590" t="s">
        <v>32</v>
      </c>
      <c r="D1590">
        <v>11.449</v>
      </c>
      <c r="E1590">
        <v>1.6</v>
      </c>
      <c r="F1590">
        <v>0.18</v>
      </c>
      <c r="H1590" s="4" t="str">
        <f t="array" aca="1" ref="H1590" ca="1">SUBSTITUTE(SUBSTITUTE(_xlfn.TEXTJOIN("",TRUE,IF(ISERR(MID(C1590,ROW(INDIRECT("1:100")),1)+0),MID(C1590,ROW(INDIRECT("1:100")),1),"")),")",""),"(","")</f>
        <v>Other services</v>
      </c>
    </row>
    <row r="1591" spans="1:8" x14ac:dyDescent="0.25">
      <c r="A1591">
        <v>2019</v>
      </c>
      <c r="B1591">
        <v>8</v>
      </c>
      <c r="C1591" t="s">
        <v>33</v>
      </c>
      <c r="D1591">
        <v>2.282</v>
      </c>
      <c r="E1591">
        <v>1</v>
      </c>
      <c r="F1591">
        <v>2.1999999999999999E-2</v>
      </c>
      <c r="H1591" s="4" t="str">
        <f t="array" aca="1" ref="H1591" ca="1">SUBSTITUTE(SUBSTITUTE(_xlfn.TEXTJOIN("",TRUE,IF(ISERR(MID(C1591,ROW(INDIRECT("1:100")),1)+0),MID(C1591,ROW(INDIRECT("1:100")),1),"")),")",""),"(","")</f>
        <v>Apparel less footwear</v>
      </c>
    </row>
    <row r="1592" spans="1:8" x14ac:dyDescent="0.25">
      <c r="A1592">
        <v>2019</v>
      </c>
      <c r="B1592">
        <v>8</v>
      </c>
      <c r="C1592" t="s">
        <v>34</v>
      </c>
      <c r="D1592">
        <v>4.6429999999999998</v>
      </c>
      <c r="E1592">
        <v>-0.2</v>
      </c>
      <c r="F1592">
        <v>-0.01</v>
      </c>
      <c r="H1592" s="4" t="str">
        <f t="array" aca="1" ref="H1592" ca="1">SUBSTITUTE(SUBSTITUTE(_xlfn.TEXTJOIN("",TRUE,IF(ISERR(MID(C1592,ROW(INDIRECT("1:100")),1)+0),MID(C1592,ROW(INDIRECT("1:100")),1),"")),")",""),"(","")</f>
        <v>Fuels and utilities</v>
      </c>
    </row>
    <row r="1593" spans="1:8" x14ac:dyDescent="0.25">
      <c r="A1593">
        <v>2019</v>
      </c>
      <c r="B1593">
        <v>8</v>
      </c>
      <c r="C1593" t="s">
        <v>11</v>
      </c>
      <c r="D1593">
        <v>8.68</v>
      </c>
      <c r="E1593">
        <v>3.5</v>
      </c>
      <c r="F1593">
        <v>0.29699999999999999</v>
      </c>
      <c r="H1593" s="4" t="str">
        <f t="array" aca="1" ref="H1593" ca="1">SUBSTITUTE(SUBSTITUTE(_xlfn.TEXTJOIN("",TRUE,IF(ISERR(MID(C1593,ROW(INDIRECT("1:100")),1)+0),MID(C1593,ROW(INDIRECT("1:100")),1),"")),")",""),"(","")</f>
        <v>Medical care</v>
      </c>
    </row>
    <row r="1594" spans="1:8" x14ac:dyDescent="0.25">
      <c r="A1594">
        <v>2019</v>
      </c>
      <c r="B1594">
        <v>8</v>
      </c>
      <c r="C1594" t="s">
        <v>7</v>
      </c>
      <c r="D1594">
        <v>16.702000000000002</v>
      </c>
      <c r="E1594">
        <v>-1.1000000000000001</v>
      </c>
      <c r="F1594">
        <v>-0.191</v>
      </c>
      <c r="H1594" s="4" t="str">
        <f t="array" aca="1" ref="H1594" ca="1">SUBSTITUTE(SUBSTITUTE(_xlfn.TEXTJOIN("",TRUE,IF(ISERR(MID(C1594,ROW(INDIRECT("1:100")),1)+0),MID(C1594,ROW(INDIRECT("1:100")),1),"")),")",""),"(","")</f>
        <v>Transportation</v>
      </c>
    </row>
    <row r="1595" spans="1:8" x14ac:dyDescent="0.25">
      <c r="A1595">
        <v>2019</v>
      </c>
      <c r="B1595">
        <v>8</v>
      </c>
      <c r="C1595" t="s">
        <v>35</v>
      </c>
      <c r="D1595">
        <v>9.2959999999999994</v>
      </c>
      <c r="E1595">
        <v>0.2</v>
      </c>
      <c r="F1595">
        <v>1.6E-2</v>
      </c>
      <c r="H1595" s="4" t="str">
        <f t="array" aca="1" ref="H1595" ca="1">SUBSTITUTE(SUBSTITUTE(_xlfn.TEXTJOIN("",TRUE,IF(ISERR(MID(C1595,ROW(INDIRECT("1:100")),1)+0),MID(C1595,ROW(INDIRECT("1:100")),1),"")),")",""),"(","")</f>
        <v>Utilities and public transportation</v>
      </c>
    </row>
    <row r="1596" spans="1:8" x14ac:dyDescent="0.25">
      <c r="A1596">
        <v>2019</v>
      </c>
      <c r="B1596">
        <v>8</v>
      </c>
      <c r="C1596" t="s">
        <v>36</v>
      </c>
      <c r="D1596">
        <v>4.24</v>
      </c>
      <c r="E1596">
        <v>2.2000000000000002</v>
      </c>
      <c r="F1596">
        <v>9.2999999999999999E-2</v>
      </c>
      <c r="H1596" s="4" t="str">
        <f t="array" aca="1" ref="H1596" ca="1">SUBSTITUTE(SUBSTITUTE(_xlfn.TEXTJOIN("",TRUE,IF(ISERR(MID(C1596,ROW(INDIRECT("1:100")),1)+0),MID(C1596,ROW(INDIRECT("1:100")),1),"")),")",""),"(","")</f>
        <v>Household furnishings and operations</v>
      </c>
    </row>
    <row r="1597" spans="1:8" x14ac:dyDescent="0.25">
      <c r="A1597">
        <v>2019</v>
      </c>
      <c r="B1597">
        <v>8</v>
      </c>
      <c r="C1597" t="s">
        <v>12</v>
      </c>
      <c r="D1597">
        <v>3.1850000000000001</v>
      </c>
      <c r="E1597">
        <v>2.2999999999999998</v>
      </c>
      <c r="F1597">
        <v>7.2999999999999995E-2</v>
      </c>
      <c r="H1597" s="4" t="str">
        <f t="array" aca="1" ref="H1597" ca="1">SUBSTITUTE(SUBSTITUTE(_xlfn.TEXTJOIN("",TRUE,IF(ISERR(MID(C1597,ROW(INDIRECT("1:100")),1)+0),MID(C1597,ROW(INDIRECT("1:100")),1),"")),")",""),"(","")</f>
        <v>Other goods and services</v>
      </c>
    </row>
    <row r="1598" spans="1:8" x14ac:dyDescent="0.25">
      <c r="A1598">
        <v>2019</v>
      </c>
      <c r="B1598">
        <v>11</v>
      </c>
      <c r="C1598" t="s">
        <v>14</v>
      </c>
      <c r="D1598">
        <v>100</v>
      </c>
      <c r="E1598">
        <v>2.1</v>
      </c>
      <c r="H1598" s="4" t="str">
        <f t="array" aca="1" ref="H1598" ca="1">SUBSTITUTE(SUBSTITUTE(_xlfn.TEXTJOIN("",TRUE,IF(ISERR(MID(C1598,ROW(INDIRECT("1:100")),1)+0),MID(C1598,ROW(INDIRECT("1:100")),1),"")),")",""),"(","")</f>
        <v>All items</v>
      </c>
    </row>
    <row r="1599" spans="1:8" x14ac:dyDescent="0.25">
      <c r="A1599">
        <v>2019</v>
      </c>
      <c r="B1599">
        <v>11</v>
      </c>
      <c r="C1599" t="s">
        <v>15</v>
      </c>
      <c r="D1599">
        <v>13.25</v>
      </c>
      <c r="E1599">
        <v>2</v>
      </c>
      <c r="F1599">
        <v>0.26500000000000001</v>
      </c>
      <c r="H1599" s="4" t="str">
        <f t="array" aca="1" ref="H1599" ca="1">SUBSTITUTE(SUBSTITUTE(_xlfn.TEXTJOIN("",TRUE,IF(ISERR(MID(C1599,ROW(INDIRECT("1:100")),1)+0),MID(C1599,ROW(INDIRECT("1:100")),1),"")),")",""),"(","")</f>
        <v>Food</v>
      </c>
    </row>
    <row r="1600" spans="1:8" x14ac:dyDescent="0.25">
      <c r="A1600">
        <v>2019</v>
      </c>
      <c r="B1600">
        <v>11</v>
      </c>
      <c r="C1600" t="s">
        <v>16</v>
      </c>
      <c r="D1600">
        <v>7.5359999999999996</v>
      </c>
      <c r="E1600">
        <v>-0.6</v>
      </c>
      <c r="F1600">
        <v>-4.4999999999999998E-2</v>
      </c>
      <c r="H1600" s="4" t="str">
        <f t="array" aca="1" ref="H1600" ca="1">SUBSTITUTE(SUBSTITUTE(_xlfn.TEXTJOIN("",TRUE,IF(ISERR(MID(C1600,ROW(INDIRECT("1:100")),1)+0),MID(C1600,ROW(INDIRECT("1:100")),1),"")),")",""),"(","")</f>
        <v>Energy</v>
      </c>
    </row>
    <row r="1601" spans="1:8" x14ac:dyDescent="0.25">
      <c r="A1601">
        <v>2019</v>
      </c>
      <c r="B1601">
        <v>11</v>
      </c>
      <c r="C1601" t="s">
        <v>17</v>
      </c>
      <c r="D1601">
        <v>79.213999999999999</v>
      </c>
      <c r="E1601">
        <v>2.2999999999999998</v>
      </c>
      <c r="F1601">
        <v>1.8320000000000001</v>
      </c>
      <c r="H1601" s="4" t="str">
        <f t="array" aca="1" ref="H1601" ca="1">SUBSTITUTE(SUBSTITUTE(_xlfn.TEXTJOIN("",TRUE,IF(ISERR(MID(C1601,ROW(INDIRECT("1:100")),1)+0),MID(C1601,ROW(INDIRECT("1:100")),1),"")),")",""),"(","")</f>
        <v>All items less food and energy</v>
      </c>
    </row>
    <row r="1602" spans="1:8" x14ac:dyDescent="0.25">
      <c r="A1602">
        <v>2019</v>
      </c>
      <c r="B1602">
        <v>11</v>
      </c>
      <c r="C1602" t="s">
        <v>18</v>
      </c>
      <c r="H1602" s="4" t="str">
        <f t="array" aca="1" ref="H1602" ca="1">SUBSTITUTE(SUBSTITUTE(_xlfn.TEXTJOIN("",TRUE,IF(ISERR(MID(C1602,ROW(INDIRECT("1:100")),1)+0),MID(C1602,ROW(INDIRECT("1:100")),1),"")),")",""),"(","")</f>
        <v>Special aggregate indexes</v>
      </c>
    </row>
    <row r="1603" spans="1:8" x14ac:dyDescent="0.25">
      <c r="A1603">
        <v>2019</v>
      </c>
      <c r="B1603">
        <v>11</v>
      </c>
      <c r="C1603" t="s">
        <v>19</v>
      </c>
      <c r="D1603">
        <v>86.75</v>
      </c>
      <c r="E1603">
        <v>2.1</v>
      </c>
      <c r="F1603">
        <v>1.786</v>
      </c>
      <c r="H1603" s="4" t="str">
        <f t="array" aca="1" ref="H1603" ca="1">SUBSTITUTE(SUBSTITUTE(_xlfn.TEXTJOIN("",TRUE,IF(ISERR(MID(C1603,ROW(INDIRECT("1:100")),1)+0),MID(C1603,ROW(INDIRECT("1:100")),1),"")),")",""),"(","")</f>
        <v>All items less food</v>
      </c>
    </row>
    <row r="1604" spans="1:8" x14ac:dyDescent="0.25">
      <c r="A1604">
        <v>2019</v>
      </c>
      <c r="B1604">
        <v>11</v>
      </c>
      <c r="C1604" t="s">
        <v>20</v>
      </c>
      <c r="D1604">
        <v>66.581999999999994</v>
      </c>
      <c r="E1604">
        <v>1.4</v>
      </c>
      <c r="F1604">
        <v>0.95399999999999996</v>
      </c>
      <c r="H1604" s="4" t="str">
        <f t="array" aca="1" ref="H1604" ca="1">SUBSTITUTE(SUBSTITUTE(_xlfn.TEXTJOIN("",TRUE,IF(ISERR(MID(C1604,ROW(INDIRECT("1:100")),1)+0),MID(C1604,ROW(INDIRECT("1:100")),1),"")),")",""),"(","")</f>
        <v>All items less shelter</v>
      </c>
    </row>
    <row r="1605" spans="1:8" x14ac:dyDescent="0.25">
      <c r="A1605">
        <v>2019</v>
      </c>
      <c r="B1605">
        <v>11</v>
      </c>
      <c r="C1605" t="s">
        <v>21</v>
      </c>
      <c r="D1605">
        <v>53.332000000000001</v>
      </c>
      <c r="E1605">
        <v>1.3</v>
      </c>
      <c r="F1605">
        <v>0.68899999999999995</v>
      </c>
      <c r="H1605" s="4" t="str">
        <f t="array" aca="1" ref="H1605" ca="1">SUBSTITUTE(SUBSTITUTE(_xlfn.TEXTJOIN("",TRUE,IF(ISERR(MID(C1605,ROW(INDIRECT("1:100")),1)+0),MID(C1605,ROW(INDIRECT("1:100")),1),"")),")",""),"(","")</f>
        <v>All items less food and shelter</v>
      </c>
    </row>
    <row r="1606" spans="1:8" x14ac:dyDescent="0.25">
      <c r="A1606">
        <v>2019</v>
      </c>
      <c r="B1606">
        <v>11</v>
      </c>
      <c r="C1606" t="s">
        <v>22</v>
      </c>
      <c r="D1606">
        <v>45.795000000000002</v>
      </c>
      <c r="E1606">
        <v>1.6</v>
      </c>
      <c r="F1606">
        <v>0.73399999999999999</v>
      </c>
      <c r="H1606" s="4" t="str">
        <f t="array" aca="1" ref="H1606" ca="1">SUBSTITUTE(SUBSTITUTE(_xlfn.TEXTJOIN("",TRUE,IF(ISERR(MID(C1606,ROW(INDIRECT("1:100")),1)+0),MID(C1606,ROW(INDIRECT("1:100")),1),"")),")",""),"(","")</f>
        <v>All items less food, shelter, and energy</v>
      </c>
    </row>
    <row r="1607" spans="1:8" x14ac:dyDescent="0.25">
      <c r="A1607">
        <v>2019</v>
      </c>
      <c r="B1607">
        <v>11</v>
      </c>
      <c r="C1607" t="s">
        <v>23</v>
      </c>
      <c r="D1607">
        <v>43.456000000000003</v>
      </c>
      <c r="E1607">
        <v>1.7</v>
      </c>
      <c r="F1607">
        <v>0.745</v>
      </c>
      <c r="H1607" s="4" t="str">
        <f t="array" aca="1" ref="H1607" ca="1">SUBSTITUTE(SUBSTITUTE(_xlfn.TEXTJOIN("",TRUE,IF(ISERR(MID(C1607,ROW(INDIRECT("1:100")),1)+0),MID(C1607,ROW(INDIRECT("1:100")),1),"")),")",""),"(","")</f>
        <v>All items less food, shelter, energy, and used cars and trucks</v>
      </c>
    </row>
    <row r="1608" spans="1:8" x14ac:dyDescent="0.25">
      <c r="A1608">
        <v>2019</v>
      </c>
      <c r="B1608">
        <v>11</v>
      </c>
      <c r="C1608" t="s">
        <v>24</v>
      </c>
      <c r="D1608">
        <v>91.2</v>
      </c>
      <c r="E1608">
        <v>1.8</v>
      </c>
      <c r="F1608">
        <v>1.6850000000000001</v>
      </c>
      <c r="H1608" s="4" t="str">
        <f t="array" aca="1" ref="H1608" ca="1">SUBSTITUTE(SUBSTITUTE(_xlfn.TEXTJOIN("",TRUE,IF(ISERR(MID(C1608,ROW(INDIRECT("1:100")),1)+0),MID(C1608,ROW(INDIRECT("1:100")),1),"")),")",""),"(","")</f>
        <v>All items less medical care</v>
      </c>
    </row>
    <row r="1609" spans="1:8" x14ac:dyDescent="0.25">
      <c r="A1609">
        <v>2019</v>
      </c>
      <c r="B1609">
        <v>11</v>
      </c>
      <c r="C1609" t="s">
        <v>25</v>
      </c>
      <c r="D1609">
        <v>92.463999999999999</v>
      </c>
      <c r="E1609">
        <v>2.2999999999999998</v>
      </c>
      <c r="F1609">
        <v>2.097</v>
      </c>
      <c r="H1609" s="4" t="str">
        <f t="array" aca="1" ref="H1609" ca="1">SUBSTITUTE(SUBSTITUTE(_xlfn.TEXTJOIN("",TRUE,IF(ISERR(MID(C1609,ROW(INDIRECT("1:100")),1)+0),MID(C1609,ROW(INDIRECT("1:100")),1),"")),")",""),"(","")</f>
        <v>All items less energy</v>
      </c>
    </row>
    <row r="1610" spans="1:8" x14ac:dyDescent="0.25">
      <c r="A1610">
        <v>2019</v>
      </c>
      <c r="B1610">
        <v>11</v>
      </c>
      <c r="C1610" t="s">
        <v>26</v>
      </c>
      <c r="D1610">
        <v>36.758000000000003</v>
      </c>
      <c r="E1610">
        <v>0.6</v>
      </c>
      <c r="F1610">
        <v>0.224</v>
      </c>
      <c r="H1610" s="4" t="str">
        <f t="array" aca="1" ref="H1610" ca="1">SUBSTITUTE(SUBSTITUTE(_xlfn.TEXTJOIN("",TRUE,IF(ISERR(MID(C1610,ROW(INDIRECT("1:100")),1)+0),MID(C1610,ROW(INDIRECT("1:100")),1),"")),")",""),"(","")</f>
        <v>Commodities</v>
      </c>
    </row>
    <row r="1611" spans="1:8" x14ac:dyDescent="0.25">
      <c r="A1611">
        <v>2019</v>
      </c>
      <c r="B1611">
        <v>11</v>
      </c>
      <c r="C1611" t="s">
        <v>27</v>
      </c>
      <c r="D1611">
        <v>63.241999999999997</v>
      </c>
      <c r="E1611">
        <v>2.9</v>
      </c>
      <c r="F1611">
        <v>1.8280000000000001</v>
      </c>
      <c r="H1611" s="4" t="str">
        <f t="array" aca="1" ref="H1611" ca="1">SUBSTITUTE(SUBSTITUTE(_xlfn.TEXTJOIN("",TRUE,IF(ISERR(MID(C1611,ROW(INDIRECT("1:100")),1)+0),MID(C1611,ROW(INDIRECT("1:100")),1),"")),")",""),"(","")</f>
        <v>Services</v>
      </c>
    </row>
    <row r="1612" spans="1:8" x14ac:dyDescent="0.25">
      <c r="A1612">
        <v>2019</v>
      </c>
      <c r="B1612">
        <v>11</v>
      </c>
      <c r="C1612" t="s">
        <v>28</v>
      </c>
      <c r="D1612">
        <v>9.7249999999999996</v>
      </c>
      <c r="E1612">
        <v>0</v>
      </c>
      <c r="F1612">
        <v>-1E-3</v>
      </c>
      <c r="H1612" s="4" t="str">
        <f t="array" aca="1" ref="H1612" ca="1">SUBSTITUTE(SUBSTITUTE(_xlfn.TEXTJOIN("",TRUE,IF(ISERR(MID(C1612,ROW(INDIRECT("1:100")),1)+0),MID(C1612,ROW(INDIRECT("1:100")),1),"")),")",""),"(","")</f>
        <v>Durables</v>
      </c>
    </row>
    <row r="1613" spans="1:8" x14ac:dyDescent="0.25">
      <c r="A1613">
        <v>2019</v>
      </c>
      <c r="B1613">
        <v>11</v>
      </c>
      <c r="C1613" t="s">
        <v>29</v>
      </c>
      <c r="D1613">
        <v>27.033000000000001</v>
      </c>
      <c r="E1613">
        <v>0.8</v>
      </c>
      <c r="F1613">
        <v>0.22500000000000001</v>
      </c>
      <c r="H1613" s="4" t="str">
        <f t="array" aca="1" ref="H1613" ca="1">SUBSTITUTE(SUBSTITUTE(_xlfn.TEXTJOIN("",TRUE,IF(ISERR(MID(C1613,ROW(INDIRECT("1:100")),1)+0),MID(C1613,ROW(INDIRECT("1:100")),1),"")),")",""),"(","")</f>
        <v>Nondurables</v>
      </c>
    </row>
    <row r="1614" spans="1:8" x14ac:dyDescent="0.25">
      <c r="A1614">
        <v>2019</v>
      </c>
      <c r="B1614">
        <v>11</v>
      </c>
      <c r="C1614" t="s">
        <v>8</v>
      </c>
      <c r="D1614">
        <v>42.213999999999999</v>
      </c>
      <c r="E1614">
        <v>2.9</v>
      </c>
      <c r="F1614">
        <v>1.1990000000000001</v>
      </c>
      <c r="H1614" s="4" t="str">
        <f t="array" aca="1" ref="H1614" ca="1">SUBSTITUTE(SUBSTITUTE(_xlfn.TEXTJOIN("",TRUE,IF(ISERR(MID(C1614,ROW(INDIRECT("1:100")),1)+0),MID(C1614,ROW(INDIRECT("1:100")),1),"")),")",""),"(","")</f>
        <v>Housing</v>
      </c>
    </row>
    <row r="1615" spans="1:8" x14ac:dyDescent="0.25">
      <c r="A1615">
        <v>2019</v>
      </c>
      <c r="B1615">
        <v>11</v>
      </c>
      <c r="C1615" t="s">
        <v>48</v>
      </c>
      <c r="D1615">
        <v>6.5129999999999999</v>
      </c>
      <c r="E1615">
        <v>1.4</v>
      </c>
      <c r="F1615">
        <v>9.2999999999999999E-2</v>
      </c>
      <c r="H1615" s="4" t="str">
        <f t="array" aca="1" ref="H1615" ca="1">SUBSTITUTE(SUBSTITUTE(_xlfn.TEXTJOIN("",TRUE,IF(ISERR(MID(C1615,ROW(INDIRECT("1:100")),1)+0),MID(C1615,ROW(INDIRECT("1:100")),1),"")),")",""),"(","")</f>
        <v>Education and communication</v>
      </c>
    </row>
    <row r="1616" spans="1:8" x14ac:dyDescent="0.25">
      <c r="A1616">
        <v>2019</v>
      </c>
      <c r="B1616">
        <v>11</v>
      </c>
      <c r="C1616" t="s">
        <v>49</v>
      </c>
      <c r="D1616">
        <v>5.6180000000000003</v>
      </c>
      <c r="E1616">
        <v>1.9</v>
      </c>
      <c r="F1616">
        <v>0.106</v>
      </c>
      <c r="H1616" s="4" t="str">
        <f t="array" aca="1" ref="H1616" ca="1">SUBSTITUTE(SUBSTITUTE(_xlfn.TEXTJOIN("",TRUE,IF(ISERR(MID(C1616,ROW(INDIRECT("1:100")),1)+0),MID(C1616,ROW(INDIRECT("1:100")),1),"")),")",""),"(","")</f>
        <v>Recreation</v>
      </c>
    </row>
    <row r="1617" spans="1:8" x14ac:dyDescent="0.25">
      <c r="A1617">
        <v>2019</v>
      </c>
      <c r="B1617">
        <v>11</v>
      </c>
      <c r="C1617" t="s">
        <v>6</v>
      </c>
      <c r="D1617">
        <v>14.207000000000001</v>
      </c>
      <c r="E1617">
        <v>1.9</v>
      </c>
      <c r="F1617">
        <v>0.27</v>
      </c>
      <c r="H1617" s="4" t="str">
        <f t="array" aca="1" ref="H1617" ca="1">SUBSTITUTE(SUBSTITUTE(_xlfn.TEXTJOIN("",TRUE,IF(ISERR(MID(C1617,ROW(INDIRECT("1:100")),1)+0),MID(C1617,ROW(INDIRECT("1:100")),1),"")),")",""),"(","")</f>
        <v>Food and beverages</v>
      </c>
    </row>
    <row r="1618" spans="1:8" x14ac:dyDescent="0.25">
      <c r="A1618">
        <v>2019</v>
      </c>
      <c r="B1618">
        <v>11</v>
      </c>
      <c r="C1618" t="s">
        <v>32</v>
      </c>
      <c r="D1618">
        <v>11.507999999999999</v>
      </c>
      <c r="E1618">
        <v>2</v>
      </c>
      <c r="F1618">
        <v>0.23499999999999999</v>
      </c>
      <c r="H1618" s="4" t="str">
        <f t="array" aca="1" ref="H1618" ca="1">SUBSTITUTE(SUBSTITUTE(_xlfn.TEXTJOIN("",TRUE,IF(ISERR(MID(C1618,ROW(INDIRECT("1:100")),1)+0),MID(C1618,ROW(INDIRECT("1:100")),1),"")),")",""),"(","")</f>
        <v>Other services</v>
      </c>
    </row>
    <row r="1619" spans="1:8" x14ac:dyDescent="0.25">
      <c r="A1619">
        <v>2019</v>
      </c>
      <c r="B1619">
        <v>11</v>
      </c>
      <c r="C1619" t="s">
        <v>33</v>
      </c>
      <c r="D1619">
        <v>2.351</v>
      </c>
      <c r="E1619">
        <v>-2.5</v>
      </c>
      <c r="F1619">
        <v>-0.06</v>
      </c>
      <c r="H1619" s="4" t="str">
        <f t="array" aca="1" ref="H1619" ca="1">SUBSTITUTE(SUBSTITUTE(_xlfn.TEXTJOIN("",TRUE,IF(ISERR(MID(C1619,ROW(INDIRECT("1:100")),1)+0),MID(C1619,ROW(INDIRECT("1:100")),1),"")),")",""),"(","")</f>
        <v>Apparel less footwear</v>
      </c>
    </row>
    <row r="1620" spans="1:8" x14ac:dyDescent="0.25">
      <c r="A1620">
        <v>2019</v>
      </c>
      <c r="B1620">
        <v>11</v>
      </c>
      <c r="C1620" t="s">
        <v>34</v>
      </c>
      <c r="D1620">
        <v>4.5730000000000004</v>
      </c>
      <c r="E1620">
        <v>0.7</v>
      </c>
      <c r="F1620">
        <v>3.4000000000000002E-2</v>
      </c>
      <c r="H1620" s="4" t="str">
        <f t="array" aca="1" ref="H1620" ca="1">SUBSTITUTE(SUBSTITUTE(_xlfn.TEXTJOIN("",TRUE,IF(ISERR(MID(C1620,ROW(INDIRECT("1:100")),1)+0),MID(C1620,ROW(INDIRECT("1:100")),1),"")),")",""),"(","")</f>
        <v>Fuels and utilities</v>
      </c>
    </row>
    <row r="1621" spans="1:8" x14ac:dyDescent="0.25">
      <c r="A1621">
        <v>2019</v>
      </c>
      <c r="B1621">
        <v>11</v>
      </c>
      <c r="C1621" t="s">
        <v>11</v>
      </c>
      <c r="D1621">
        <v>8.8000000000000007</v>
      </c>
      <c r="E1621">
        <v>4.2</v>
      </c>
      <c r="F1621">
        <v>0.36699999999999999</v>
      </c>
      <c r="H1621" s="4" t="str">
        <f t="array" aca="1" ref="H1621" ca="1">SUBSTITUTE(SUBSTITUTE(_xlfn.TEXTJOIN("",TRUE,IF(ISERR(MID(C1621,ROW(INDIRECT("1:100")),1)+0),MID(C1621,ROW(INDIRECT("1:100")),1),"")),")",""),"(","")</f>
        <v>Medical care</v>
      </c>
    </row>
    <row r="1622" spans="1:8" x14ac:dyDescent="0.25">
      <c r="A1622">
        <v>2019</v>
      </c>
      <c r="B1622">
        <v>11</v>
      </c>
      <c r="C1622" t="s">
        <v>7</v>
      </c>
      <c r="D1622">
        <v>16.423999999999999</v>
      </c>
      <c r="E1622">
        <v>-0.1</v>
      </c>
      <c r="F1622">
        <v>-1.2999999999999999E-2</v>
      </c>
      <c r="H1622" s="4" t="str">
        <f t="array" aca="1" ref="H1622" ca="1">SUBSTITUTE(SUBSTITUTE(_xlfn.TEXTJOIN("",TRUE,IF(ISERR(MID(C1622,ROW(INDIRECT("1:100")),1)+0),MID(C1622,ROW(INDIRECT("1:100")),1),"")),")",""),"(","")</f>
        <v>Transportation</v>
      </c>
    </row>
    <row r="1623" spans="1:8" x14ac:dyDescent="0.25">
      <c r="A1623">
        <v>2019</v>
      </c>
      <c r="B1623">
        <v>11</v>
      </c>
      <c r="C1623" t="s">
        <v>35</v>
      </c>
      <c r="D1623">
        <v>9.2420000000000009</v>
      </c>
      <c r="E1623">
        <v>1.5</v>
      </c>
      <c r="F1623">
        <v>0.13700000000000001</v>
      </c>
      <c r="H1623" s="4" t="str">
        <f t="array" aca="1" ref="H1623" ca="1">SUBSTITUTE(SUBSTITUTE(_xlfn.TEXTJOIN("",TRUE,IF(ISERR(MID(C1623,ROW(INDIRECT("1:100")),1)+0),MID(C1623,ROW(INDIRECT("1:100")),1),"")),")",""),"(","")</f>
        <v>Utilities and public transportation</v>
      </c>
    </row>
    <row r="1624" spans="1:8" x14ac:dyDescent="0.25">
      <c r="A1624">
        <v>2019</v>
      </c>
      <c r="B1624">
        <v>11</v>
      </c>
      <c r="C1624" t="s">
        <v>36</v>
      </c>
      <c r="D1624">
        <v>4.2229999999999999</v>
      </c>
      <c r="E1624">
        <v>1.6</v>
      </c>
      <c r="F1624">
        <v>6.8000000000000005E-2</v>
      </c>
      <c r="H1624" s="4" t="str">
        <f t="array" aca="1" ref="H1624" ca="1">SUBSTITUTE(SUBSTITUTE(_xlfn.TEXTJOIN("",TRUE,IF(ISERR(MID(C1624,ROW(INDIRECT("1:100")),1)+0),MID(C1624,ROW(INDIRECT("1:100")),1),"")),")",""),"(","")</f>
        <v>Household furnishings and operations</v>
      </c>
    </row>
    <row r="1625" spans="1:8" x14ac:dyDescent="0.25">
      <c r="A1625">
        <v>2019</v>
      </c>
      <c r="B1625">
        <v>11</v>
      </c>
      <c r="C1625" t="s">
        <v>12</v>
      </c>
      <c r="D1625">
        <v>3.2</v>
      </c>
      <c r="E1625">
        <v>2.4</v>
      </c>
      <c r="F1625">
        <v>7.6999999999999999E-2</v>
      </c>
      <c r="H1625" s="4" t="str">
        <f t="array" aca="1" ref="H1625" ca="1">SUBSTITUTE(SUBSTITUTE(_xlfn.TEXTJOIN("",TRUE,IF(ISERR(MID(C1625,ROW(INDIRECT("1:100")),1)+0),MID(C1625,ROW(INDIRECT("1:100")),1),"")),")",""),"(","")</f>
        <v>Other goods and services</v>
      </c>
    </row>
    <row r="1626" spans="1:8" x14ac:dyDescent="0.25">
      <c r="A1626">
        <v>2019</v>
      </c>
      <c r="B1626">
        <v>12</v>
      </c>
      <c r="C1626" t="s">
        <v>14</v>
      </c>
      <c r="D1626">
        <v>100</v>
      </c>
      <c r="E1626">
        <v>2.2999999999999998</v>
      </c>
      <c r="H1626" s="4" t="str">
        <f t="array" aca="1" ref="H1626" ca="1">SUBSTITUTE(SUBSTITUTE(_xlfn.TEXTJOIN("",TRUE,IF(ISERR(MID(C1626,ROW(INDIRECT("1:100")),1)+0),MID(C1626,ROW(INDIRECT("1:100")),1),"")),")",""),"(","")</f>
        <v>All items</v>
      </c>
    </row>
    <row r="1627" spans="1:8" x14ac:dyDescent="0.25">
      <c r="A1627">
        <v>2019</v>
      </c>
      <c r="B1627">
        <v>12</v>
      </c>
      <c r="C1627" t="s">
        <v>15</v>
      </c>
      <c r="D1627">
        <v>13.249000000000001</v>
      </c>
      <c r="E1627">
        <v>1.8</v>
      </c>
      <c r="F1627">
        <v>0.24099999999999999</v>
      </c>
      <c r="H1627" s="4" t="str">
        <f t="array" aca="1" ref="H1627" ca="1">SUBSTITUTE(SUBSTITUTE(_xlfn.TEXTJOIN("",TRUE,IF(ISERR(MID(C1627,ROW(INDIRECT("1:100")),1)+0),MID(C1627,ROW(INDIRECT("1:100")),1),"")),")",""),"(","")</f>
        <v>Food</v>
      </c>
    </row>
    <row r="1628" spans="1:8" x14ac:dyDescent="0.25">
      <c r="A1628">
        <v>2019</v>
      </c>
      <c r="B1628">
        <v>12</v>
      </c>
      <c r="C1628" t="s">
        <v>16</v>
      </c>
      <c r="D1628">
        <v>7.4809999999999999</v>
      </c>
      <c r="E1628">
        <v>3.4</v>
      </c>
      <c r="F1628">
        <v>0.253</v>
      </c>
      <c r="H1628" s="4" t="str">
        <f t="array" aca="1" ref="H1628" ca="1">SUBSTITUTE(SUBSTITUTE(_xlfn.TEXTJOIN("",TRUE,IF(ISERR(MID(C1628,ROW(INDIRECT("1:100")),1)+0),MID(C1628,ROW(INDIRECT("1:100")),1),"")),")",""),"(","")</f>
        <v>Energy</v>
      </c>
    </row>
    <row r="1629" spans="1:8" x14ac:dyDescent="0.25">
      <c r="A1629">
        <v>2019</v>
      </c>
      <c r="B1629">
        <v>12</v>
      </c>
      <c r="C1629" t="s">
        <v>17</v>
      </c>
      <c r="D1629">
        <v>79.271000000000001</v>
      </c>
      <c r="E1629">
        <v>2.2999999999999998</v>
      </c>
      <c r="F1629">
        <v>1.7909999999999999</v>
      </c>
      <c r="H1629" s="4" t="str">
        <f t="array" aca="1" ref="H1629" ca="1">SUBSTITUTE(SUBSTITUTE(_xlfn.TEXTJOIN("",TRUE,IF(ISERR(MID(C1629,ROW(INDIRECT("1:100")),1)+0),MID(C1629,ROW(INDIRECT("1:100")),1),"")),")",""),"(","")</f>
        <v>All items less food and energy</v>
      </c>
    </row>
    <row r="1630" spans="1:8" x14ac:dyDescent="0.25">
      <c r="A1630">
        <v>2019</v>
      </c>
      <c r="B1630">
        <v>12</v>
      </c>
      <c r="C1630" t="s">
        <v>18</v>
      </c>
      <c r="H1630" s="4" t="str">
        <f t="array" aca="1" ref="H1630" ca="1">SUBSTITUTE(SUBSTITUTE(_xlfn.TEXTJOIN("",TRUE,IF(ISERR(MID(C1630,ROW(INDIRECT("1:100")),1)+0),MID(C1630,ROW(INDIRECT("1:100")),1),"")),")",""),"(","")</f>
        <v>Special aggregate indexes</v>
      </c>
    </row>
    <row r="1631" spans="1:8" x14ac:dyDescent="0.25">
      <c r="A1631">
        <v>2019</v>
      </c>
      <c r="B1631">
        <v>12</v>
      </c>
      <c r="C1631" t="s">
        <v>19</v>
      </c>
      <c r="D1631">
        <v>86.751000000000005</v>
      </c>
      <c r="E1631">
        <v>2.4</v>
      </c>
      <c r="F1631">
        <v>2.044</v>
      </c>
      <c r="H1631" s="4" t="str">
        <f t="array" aca="1" ref="H1631" ca="1">SUBSTITUTE(SUBSTITUTE(_xlfn.TEXTJOIN("",TRUE,IF(ISERR(MID(C1631,ROW(INDIRECT("1:100")),1)+0),MID(C1631,ROW(INDIRECT("1:100")),1),"")),")",""),"(","")</f>
        <v>All items less food</v>
      </c>
    </row>
    <row r="1632" spans="1:8" x14ac:dyDescent="0.25">
      <c r="A1632">
        <v>2019</v>
      </c>
      <c r="B1632">
        <v>12</v>
      </c>
      <c r="C1632" t="s">
        <v>20</v>
      </c>
      <c r="D1632">
        <v>66.510999999999996</v>
      </c>
      <c r="E1632">
        <v>1.8</v>
      </c>
      <c r="F1632">
        <v>1.206</v>
      </c>
      <c r="H1632" s="4" t="str">
        <f t="array" aca="1" ref="H1632" ca="1">SUBSTITUTE(SUBSTITUTE(_xlfn.TEXTJOIN("",TRUE,IF(ISERR(MID(C1632,ROW(INDIRECT("1:100")),1)+0),MID(C1632,ROW(INDIRECT("1:100")),1),"")),")",""),"(","")</f>
        <v>All items less shelter</v>
      </c>
    </row>
    <row r="1633" spans="1:8" x14ac:dyDescent="0.25">
      <c r="A1633">
        <v>2019</v>
      </c>
      <c r="B1633">
        <v>12</v>
      </c>
      <c r="C1633" t="s">
        <v>21</v>
      </c>
      <c r="D1633">
        <v>53.262</v>
      </c>
      <c r="E1633">
        <v>1.8</v>
      </c>
      <c r="F1633">
        <v>0.96499999999999997</v>
      </c>
      <c r="H1633" s="4" t="str">
        <f t="array" aca="1" ref="H1633" ca="1">SUBSTITUTE(SUBSTITUTE(_xlfn.TEXTJOIN("",TRUE,IF(ISERR(MID(C1633,ROW(INDIRECT("1:100")),1)+0),MID(C1633,ROW(INDIRECT("1:100")),1),"")),")",""),"(","")</f>
        <v>All items less food and shelter</v>
      </c>
    </row>
    <row r="1634" spans="1:8" x14ac:dyDescent="0.25">
      <c r="A1634">
        <v>2019</v>
      </c>
      <c r="B1634">
        <v>12</v>
      </c>
      <c r="C1634" t="s">
        <v>22</v>
      </c>
      <c r="D1634">
        <v>45.781999999999996</v>
      </c>
      <c r="E1634">
        <v>1.5</v>
      </c>
      <c r="F1634">
        <v>0.71199999999999997</v>
      </c>
      <c r="H1634" s="4" t="str">
        <f t="array" aca="1" ref="H1634" ca="1">SUBSTITUTE(SUBSTITUTE(_xlfn.TEXTJOIN("",TRUE,IF(ISERR(MID(C1634,ROW(INDIRECT("1:100")),1)+0),MID(C1634,ROW(INDIRECT("1:100")),1),"")),")",""),"(","")</f>
        <v>All items less food, shelter, and energy</v>
      </c>
    </row>
    <row r="1635" spans="1:8" x14ac:dyDescent="0.25">
      <c r="A1635">
        <v>2019</v>
      </c>
      <c r="B1635">
        <v>12</v>
      </c>
      <c r="C1635" t="s">
        <v>23</v>
      </c>
      <c r="D1635">
        <v>43.457999999999998</v>
      </c>
      <c r="E1635">
        <v>1.7</v>
      </c>
      <c r="F1635">
        <v>0.72799999999999998</v>
      </c>
      <c r="H1635" s="4" t="str">
        <f t="array" aca="1" ref="H1635" ca="1">SUBSTITUTE(SUBSTITUTE(_xlfn.TEXTJOIN("",TRUE,IF(ISERR(MID(C1635,ROW(INDIRECT("1:100")),1)+0),MID(C1635,ROW(INDIRECT("1:100")),1),"")),")",""),"(","")</f>
        <v>All items less food, shelter, energy, and used cars and trucks</v>
      </c>
    </row>
    <row r="1636" spans="1:8" x14ac:dyDescent="0.25">
      <c r="A1636">
        <v>2019</v>
      </c>
      <c r="B1636">
        <v>12</v>
      </c>
      <c r="C1636" t="s">
        <v>24</v>
      </c>
      <c r="D1636">
        <v>91.17</v>
      </c>
      <c r="E1636">
        <v>2.1</v>
      </c>
      <c r="F1636">
        <v>1.8879999999999999</v>
      </c>
      <c r="H1636" s="4" t="str">
        <f t="array" aca="1" ref="H1636" ca="1">SUBSTITUTE(SUBSTITUTE(_xlfn.TEXTJOIN("",TRUE,IF(ISERR(MID(C1636,ROW(INDIRECT("1:100")),1)+0),MID(C1636,ROW(INDIRECT("1:100")),1),"")),")",""),"(","")</f>
        <v>All items less medical care</v>
      </c>
    </row>
    <row r="1637" spans="1:8" x14ac:dyDescent="0.25">
      <c r="A1637">
        <v>2019</v>
      </c>
      <c r="B1637">
        <v>12</v>
      </c>
      <c r="C1637" t="s">
        <v>25</v>
      </c>
      <c r="D1637">
        <v>92.519000000000005</v>
      </c>
      <c r="E1637">
        <v>2.2000000000000002</v>
      </c>
      <c r="F1637">
        <v>2.0329999999999999</v>
      </c>
      <c r="H1637" s="4" t="str">
        <f t="array" aca="1" ref="H1637" ca="1">SUBSTITUTE(SUBSTITUTE(_xlfn.TEXTJOIN("",TRUE,IF(ISERR(MID(C1637,ROW(INDIRECT("1:100")),1)+0),MID(C1637,ROW(INDIRECT("1:100")),1),"")),")",""),"(","")</f>
        <v>All items less energy</v>
      </c>
    </row>
    <row r="1638" spans="1:8" x14ac:dyDescent="0.25">
      <c r="A1638">
        <v>2019</v>
      </c>
      <c r="B1638">
        <v>12</v>
      </c>
      <c r="C1638" t="s">
        <v>26</v>
      </c>
      <c r="D1638">
        <v>36.615000000000002</v>
      </c>
      <c r="E1638">
        <v>1.5</v>
      </c>
      <c r="F1638">
        <v>0.54400000000000004</v>
      </c>
      <c r="H1638" s="4" t="str">
        <f t="array" aca="1" ref="H1638" ca="1">SUBSTITUTE(SUBSTITUTE(_xlfn.TEXTJOIN("",TRUE,IF(ISERR(MID(C1638,ROW(INDIRECT("1:100")),1)+0),MID(C1638,ROW(INDIRECT("1:100")),1),"")),")",""),"(","")</f>
        <v>Commodities</v>
      </c>
    </row>
    <row r="1639" spans="1:8" x14ac:dyDescent="0.25">
      <c r="A1639">
        <v>2019</v>
      </c>
      <c r="B1639">
        <v>12</v>
      </c>
      <c r="C1639" t="s">
        <v>27</v>
      </c>
      <c r="D1639">
        <v>63.384999999999998</v>
      </c>
      <c r="E1639">
        <v>2.8</v>
      </c>
      <c r="F1639">
        <v>1.7410000000000001</v>
      </c>
      <c r="H1639" s="4" t="str">
        <f t="array" aca="1" ref="H1639" ca="1">SUBSTITUTE(SUBSTITUTE(_xlfn.TEXTJOIN("",TRUE,IF(ISERR(MID(C1639,ROW(INDIRECT("1:100")),1)+0),MID(C1639,ROW(INDIRECT("1:100")),1),"")),")",""),"(","")</f>
        <v>Services</v>
      </c>
    </row>
    <row r="1640" spans="1:8" x14ac:dyDescent="0.25">
      <c r="A1640">
        <v>2019</v>
      </c>
      <c r="B1640">
        <v>12</v>
      </c>
      <c r="C1640" t="s">
        <v>28</v>
      </c>
      <c r="D1640">
        <v>9.6969999999999992</v>
      </c>
      <c r="E1640">
        <v>-0.5</v>
      </c>
      <c r="F1640">
        <v>-4.4999999999999998E-2</v>
      </c>
      <c r="H1640" s="4" t="str">
        <f t="array" aca="1" ref="H1640" ca="1">SUBSTITUTE(SUBSTITUTE(_xlfn.TEXTJOIN("",TRUE,IF(ISERR(MID(C1640,ROW(INDIRECT("1:100")),1)+0),MID(C1640,ROW(INDIRECT("1:100")),1),"")),")",""),"(","")</f>
        <v>Durables</v>
      </c>
    </row>
    <row r="1641" spans="1:8" x14ac:dyDescent="0.25">
      <c r="A1641">
        <v>2019</v>
      </c>
      <c r="B1641">
        <v>12</v>
      </c>
      <c r="C1641" t="s">
        <v>29</v>
      </c>
      <c r="D1641">
        <v>26.917999999999999</v>
      </c>
      <c r="E1641">
        <v>2.2000000000000002</v>
      </c>
      <c r="F1641">
        <v>0.58899999999999997</v>
      </c>
      <c r="H1641" s="4" t="str">
        <f t="array" aca="1" ref="H1641" ca="1">SUBSTITUTE(SUBSTITUTE(_xlfn.TEXTJOIN("",TRUE,IF(ISERR(MID(C1641,ROW(INDIRECT("1:100")),1)+0),MID(C1641,ROW(INDIRECT("1:100")),1),"")),")",""),"(","")</f>
        <v>Nondurables</v>
      </c>
    </row>
    <row r="1642" spans="1:8" x14ac:dyDescent="0.25">
      <c r="A1642">
        <v>2019</v>
      </c>
      <c r="B1642">
        <v>12</v>
      </c>
      <c r="C1642" t="s">
        <v>8</v>
      </c>
      <c r="D1642">
        <v>42.258000000000003</v>
      </c>
      <c r="E1642">
        <v>2.6</v>
      </c>
      <c r="F1642">
        <v>1.1100000000000001</v>
      </c>
      <c r="H1642" s="4" t="str">
        <f t="array" aca="1" ref="H1642" ca="1">SUBSTITUTE(SUBSTITUTE(_xlfn.TEXTJOIN("",TRUE,IF(ISERR(MID(C1642,ROW(INDIRECT("1:100")),1)+0),MID(C1642,ROW(INDIRECT("1:100")),1),"")),")",""),"(","")</f>
        <v>Housing</v>
      </c>
    </row>
    <row r="1643" spans="1:8" x14ac:dyDescent="0.25">
      <c r="A1643">
        <v>2019</v>
      </c>
      <c r="B1643">
        <v>12</v>
      </c>
      <c r="C1643" t="s">
        <v>48</v>
      </c>
      <c r="D1643">
        <v>6.5350000000000001</v>
      </c>
      <c r="E1643">
        <v>1.4</v>
      </c>
      <c r="F1643">
        <v>0.09</v>
      </c>
      <c r="H1643" s="4" t="str">
        <f t="array" aca="1" ref="H1643" ca="1">SUBSTITUTE(SUBSTITUTE(_xlfn.TEXTJOIN("",TRUE,IF(ISERR(MID(C1643,ROW(INDIRECT("1:100")),1)+0),MID(C1643,ROW(INDIRECT("1:100")),1),"")),")",""),"(","")</f>
        <v>Education and communication</v>
      </c>
    </row>
    <row r="1644" spans="1:8" x14ac:dyDescent="0.25">
      <c r="A1644">
        <v>2019</v>
      </c>
      <c r="B1644">
        <v>12</v>
      </c>
      <c r="C1644" t="s">
        <v>49</v>
      </c>
      <c r="D1644">
        <v>5.64</v>
      </c>
      <c r="E1644">
        <v>1.5</v>
      </c>
      <c r="F1644">
        <v>8.7999999999999995E-2</v>
      </c>
      <c r="H1644" s="4" t="str">
        <f t="array" aca="1" ref="H1644" ca="1">SUBSTITUTE(SUBSTITUTE(_xlfn.TEXTJOIN("",TRUE,IF(ISERR(MID(C1644,ROW(INDIRECT("1:100")),1)+0),MID(C1644,ROW(INDIRECT("1:100")),1),"")),")",""),"(","")</f>
        <v>Recreation</v>
      </c>
    </row>
    <row r="1645" spans="1:8" x14ac:dyDescent="0.25">
      <c r="A1645">
        <v>2019</v>
      </c>
      <c r="B1645">
        <v>12</v>
      </c>
      <c r="C1645" t="s">
        <v>6</v>
      </c>
      <c r="D1645">
        <v>14.204000000000001</v>
      </c>
      <c r="E1645">
        <v>1.7</v>
      </c>
      <c r="F1645">
        <v>0.246</v>
      </c>
      <c r="H1645" s="4" t="str">
        <f t="array" aca="1" ref="H1645" ca="1">SUBSTITUTE(SUBSTITUTE(_xlfn.TEXTJOIN("",TRUE,IF(ISERR(MID(C1645,ROW(INDIRECT("1:100")),1)+0),MID(C1645,ROW(INDIRECT("1:100")),1),"")),")",""),"(","")</f>
        <v>Food and beverages</v>
      </c>
    </row>
    <row r="1646" spans="1:8" x14ac:dyDescent="0.25">
      <c r="A1646">
        <v>2019</v>
      </c>
      <c r="B1646">
        <v>12</v>
      </c>
      <c r="C1646" t="s">
        <v>32</v>
      </c>
      <c r="D1646">
        <v>11.557</v>
      </c>
      <c r="E1646">
        <v>2.2000000000000002</v>
      </c>
      <c r="F1646">
        <v>0.25600000000000001</v>
      </c>
      <c r="H1646" s="4" t="str">
        <f t="array" aca="1" ref="H1646" ca="1">SUBSTITUTE(SUBSTITUTE(_xlfn.TEXTJOIN("",TRUE,IF(ISERR(MID(C1646,ROW(INDIRECT("1:100")),1)+0),MID(C1646,ROW(INDIRECT("1:100")),1),"")),")",""),"(","")</f>
        <v>Other services</v>
      </c>
    </row>
    <row r="1647" spans="1:8" x14ac:dyDescent="0.25">
      <c r="A1647">
        <v>2019</v>
      </c>
      <c r="B1647">
        <v>12</v>
      </c>
      <c r="C1647" t="s">
        <v>33</v>
      </c>
      <c r="D1647">
        <v>2.2839999999999998</v>
      </c>
      <c r="E1647">
        <v>-2</v>
      </c>
      <c r="F1647">
        <v>-4.5999999999999999E-2</v>
      </c>
      <c r="H1647" s="4" t="str">
        <f t="array" aca="1" ref="H1647" ca="1">SUBSTITUTE(SUBSTITUTE(_xlfn.TEXTJOIN("",TRUE,IF(ISERR(MID(C1647,ROW(INDIRECT("1:100")),1)+0),MID(C1647,ROW(INDIRECT("1:100")),1),"")),")",""),"(","")</f>
        <v>Apparel less footwear</v>
      </c>
    </row>
    <row r="1648" spans="1:8" x14ac:dyDescent="0.25">
      <c r="A1648">
        <v>2019</v>
      </c>
      <c r="B1648">
        <v>12</v>
      </c>
      <c r="C1648" t="s">
        <v>34</v>
      </c>
      <c r="D1648">
        <v>4.5609999999999999</v>
      </c>
      <c r="E1648">
        <v>-0.2</v>
      </c>
      <c r="F1648">
        <v>-1.0999999999999999E-2</v>
      </c>
      <c r="H1648" s="4" t="str">
        <f t="array" aca="1" ref="H1648" ca="1">SUBSTITUTE(SUBSTITUTE(_xlfn.TEXTJOIN("",TRUE,IF(ISERR(MID(C1648,ROW(INDIRECT("1:100")),1)+0),MID(C1648,ROW(INDIRECT("1:100")),1),"")),")",""),"(","")</f>
        <v>Fuels and utilities</v>
      </c>
    </row>
    <row r="1649" spans="1:8" x14ac:dyDescent="0.25">
      <c r="A1649">
        <v>2019</v>
      </c>
      <c r="B1649">
        <v>12</v>
      </c>
      <c r="C1649" t="s">
        <v>11</v>
      </c>
      <c r="D1649">
        <v>8.83</v>
      </c>
      <c r="E1649">
        <v>4.5999999999999996</v>
      </c>
      <c r="F1649">
        <v>0.39700000000000002</v>
      </c>
      <c r="H1649" s="4" t="str">
        <f t="array" aca="1" ref="H1649" ca="1">SUBSTITUTE(SUBSTITUTE(_xlfn.TEXTJOIN("",TRUE,IF(ISERR(MID(C1649,ROW(INDIRECT("1:100")),1)+0),MID(C1649,ROW(INDIRECT("1:100")),1),"")),")",""),"(","")</f>
        <v>Medical care</v>
      </c>
    </row>
    <row r="1650" spans="1:8" x14ac:dyDescent="0.25">
      <c r="A1650">
        <v>2019</v>
      </c>
      <c r="B1650">
        <v>12</v>
      </c>
      <c r="C1650" t="s">
        <v>7</v>
      </c>
      <c r="D1650">
        <v>16.376000000000001</v>
      </c>
      <c r="E1650">
        <v>1.9</v>
      </c>
      <c r="F1650">
        <v>0.315</v>
      </c>
      <c r="H1650" s="4" t="str">
        <f t="array" aca="1" ref="H1650" ca="1">SUBSTITUTE(SUBSTITUTE(_xlfn.TEXTJOIN("",TRUE,IF(ISERR(MID(C1650,ROW(INDIRECT("1:100")),1)+0),MID(C1650,ROW(INDIRECT("1:100")),1),"")),")",""),"(","")</f>
        <v>Transportation</v>
      </c>
    </row>
    <row r="1651" spans="1:8" x14ac:dyDescent="0.25">
      <c r="A1651">
        <v>2019</v>
      </c>
      <c r="B1651">
        <v>12</v>
      </c>
      <c r="C1651" t="s">
        <v>35</v>
      </c>
      <c r="D1651">
        <v>9.2490000000000006</v>
      </c>
      <c r="E1651">
        <v>0.9</v>
      </c>
      <c r="F1651">
        <v>8.2000000000000003E-2</v>
      </c>
      <c r="H1651" s="4" t="str">
        <f t="array" aca="1" ref="H1651" ca="1">SUBSTITUTE(SUBSTITUTE(_xlfn.TEXTJOIN("",TRUE,IF(ISERR(MID(C1651,ROW(INDIRECT("1:100")),1)+0),MID(C1651,ROW(INDIRECT("1:100")),1),"")),")",""),"(","")</f>
        <v>Utilities and public transportation</v>
      </c>
    </row>
    <row r="1652" spans="1:8" x14ac:dyDescent="0.25">
      <c r="A1652">
        <v>2019</v>
      </c>
      <c r="B1652">
        <v>12</v>
      </c>
      <c r="C1652" t="s">
        <v>36</v>
      </c>
      <c r="D1652">
        <v>4.2080000000000002</v>
      </c>
      <c r="E1652">
        <v>1</v>
      </c>
      <c r="F1652">
        <v>4.2000000000000003E-2</v>
      </c>
      <c r="H1652" s="4" t="str">
        <f t="array" aca="1" ref="H1652" ca="1">SUBSTITUTE(SUBSTITUTE(_xlfn.TEXTJOIN("",TRUE,IF(ISERR(MID(C1652,ROW(INDIRECT("1:100")),1)+0),MID(C1652,ROW(INDIRECT("1:100")),1),"")),")",""),"(","")</f>
        <v>Household furnishings and operations</v>
      </c>
    </row>
    <row r="1653" spans="1:8" x14ac:dyDescent="0.25">
      <c r="A1653">
        <v>2019</v>
      </c>
      <c r="B1653">
        <v>12</v>
      </c>
      <c r="C1653" t="s">
        <v>12</v>
      </c>
      <c r="D1653">
        <v>3.2090000000000001</v>
      </c>
      <c r="E1653">
        <v>2.2999999999999998</v>
      </c>
      <c r="F1653">
        <v>7.4999999999999997E-2</v>
      </c>
      <c r="H1653" s="4" t="str">
        <f t="array" aca="1" ref="H1653" ca="1">SUBSTITUTE(SUBSTITUTE(_xlfn.TEXTJOIN("",TRUE,IF(ISERR(MID(C1653,ROW(INDIRECT("1:100")),1)+0),MID(C1653,ROW(INDIRECT("1:100")),1),"")),")",""),"(","")</f>
        <v>Other goods and services</v>
      </c>
    </row>
    <row r="1654" spans="1:8" x14ac:dyDescent="0.25">
      <c r="A1654">
        <v>2020</v>
      </c>
      <c r="B1654">
        <v>1</v>
      </c>
      <c r="C1654" t="s">
        <v>14</v>
      </c>
      <c r="D1654">
        <v>100</v>
      </c>
      <c r="E1654">
        <v>2.5</v>
      </c>
      <c r="H1654" s="4" t="str">
        <f t="array" aca="1" ref="H1654" ca="1">SUBSTITUTE(SUBSTITUTE(_xlfn.TEXTJOIN("",TRUE,IF(ISERR(MID(C1654,ROW(INDIRECT("1:100")),1)+0),MID(C1654,ROW(INDIRECT("1:100")),1),"")),")",""),"(","")</f>
        <v>All items</v>
      </c>
    </row>
    <row r="1655" spans="1:8" x14ac:dyDescent="0.25">
      <c r="A1655">
        <v>2020</v>
      </c>
      <c r="B1655">
        <v>1</v>
      </c>
      <c r="C1655" t="s">
        <v>15</v>
      </c>
      <c r="D1655">
        <v>13.771000000000001</v>
      </c>
      <c r="E1655">
        <v>1.8</v>
      </c>
      <c r="F1655">
        <v>0.24399999999999999</v>
      </c>
      <c r="H1655" s="4" t="str">
        <f t="array" aca="1" ref="H1655" ca="1">SUBSTITUTE(SUBSTITUTE(_xlfn.TEXTJOIN("",TRUE,IF(ISERR(MID(C1655,ROW(INDIRECT("1:100")),1)+0),MID(C1655,ROW(INDIRECT("1:100")),1),"")),")",""),"(","")</f>
        <v>Food</v>
      </c>
    </row>
    <row r="1656" spans="1:8" x14ac:dyDescent="0.25">
      <c r="A1656">
        <v>2020</v>
      </c>
      <c r="B1656">
        <v>1</v>
      </c>
      <c r="C1656" t="s">
        <v>16</v>
      </c>
      <c r="D1656">
        <v>6.7060000000000004</v>
      </c>
      <c r="E1656">
        <v>6.2</v>
      </c>
      <c r="F1656">
        <v>0.44400000000000001</v>
      </c>
      <c r="H1656" s="4" t="str">
        <f t="array" aca="1" ref="H1656" ca="1">SUBSTITUTE(SUBSTITUTE(_xlfn.TEXTJOIN("",TRUE,IF(ISERR(MID(C1656,ROW(INDIRECT("1:100")),1)+0),MID(C1656,ROW(INDIRECT("1:100")),1),"")),")",""),"(","")</f>
        <v>Energy</v>
      </c>
    </row>
    <row r="1657" spans="1:8" x14ac:dyDescent="0.25">
      <c r="A1657">
        <v>2020</v>
      </c>
      <c r="B1657">
        <v>1</v>
      </c>
      <c r="C1657" t="s">
        <v>17</v>
      </c>
      <c r="D1657">
        <v>79.524000000000001</v>
      </c>
      <c r="E1657">
        <v>2.2999999999999998</v>
      </c>
      <c r="F1657">
        <v>1.798</v>
      </c>
      <c r="H1657" s="4" t="str">
        <f t="array" aca="1" ref="H1657" ca="1">SUBSTITUTE(SUBSTITUTE(_xlfn.TEXTJOIN("",TRUE,IF(ISERR(MID(C1657,ROW(INDIRECT("1:100")),1)+0),MID(C1657,ROW(INDIRECT("1:100")),1),"")),")",""),"(","")</f>
        <v>All items less food and energy</v>
      </c>
    </row>
    <row r="1658" spans="1:8" x14ac:dyDescent="0.25">
      <c r="A1658">
        <v>2020</v>
      </c>
      <c r="B1658">
        <v>1</v>
      </c>
      <c r="C1658" t="s">
        <v>18</v>
      </c>
      <c r="H1658" s="4" t="str">
        <f t="array" aca="1" ref="H1658" ca="1">SUBSTITUTE(SUBSTITUTE(_xlfn.TEXTJOIN("",TRUE,IF(ISERR(MID(C1658,ROW(INDIRECT("1:100")),1)+0),MID(C1658,ROW(INDIRECT("1:100")),1),"")),")",""),"(","")</f>
        <v>Special aggregate indexes</v>
      </c>
    </row>
    <row r="1659" spans="1:8" x14ac:dyDescent="0.25">
      <c r="A1659">
        <v>2020</v>
      </c>
      <c r="B1659">
        <v>1</v>
      </c>
      <c r="C1659" t="s">
        <v>19</v>
      </c>
      <c r="D1659">
        <v>86.228999999999999</v>
      </c>
      <c r="E1659">
        <v>2.6</v>
      </c>
      <c r="F1659">
        <v>2.242</v>
      </c>
      <c r="H1659" s="4" t="str">
        <f t="array" aca="1" ref="H1659" ca="1">SUBSTITUTE(SUBSTITUTE(_xlfn.TEXTJOIN("",TRUE,IF(ISERR(MID(C1659,ROW(INDIRECT("1:100")),1)+0),MID(C1659,ROW(INDIRECT("1:100")),1),"")),")",""),"(","")</f>
        <v>All items less food</v>
      </c>
    </row>
    <row r="1660" spans="1:8" x14ac:dyDescent="0.25">
      <c r="A1660">
        <v>2020</v>
      </c>
      <c r="B1660">
        <v>1</v>
      </c>
      <c r="C1660" t="s">
        <v>20</v>
      </c>
      <c r="D1660">
        <v>66.841999999999999</v>
      </c>
      <c r="E1660">
        <v>2.1</v>
      </c>
      <c r="F1660">
        <v>1.385</v>
      </c>
      <c r="H1660" s="4" t="str">
        <f t="array" aca="1" ref="H1660" ca="1">SUBSTITUTE(SUBSTITUTE(_xlfn.TEXTJOIN("",TRUE,IF(ISERR(MID(C1660,ROW(INDIRECT("1:100")),1)+0),MID(C1660,ROW(INDIRECT("1:100")),1),"")),")",""),"(","")</f>
        <v>All items less shelter</v>
      </c>
    </row>
    <row r="1661" spans="1:8" x14ac:dyDescent="0.25">
      <c r="A1661">
        <v>2020</v>
      </c>
      <c r="B1661">
        <v>1</v>
      </c>
      <c r="C1661" t="s">
        <v>21</v>
      </c>
      <c r="D1661">
        <v>53.072000000000003</v>
      </c>
      <c r="E1661">
        <v>2.1</v>
      </c>
      <c r="F1661">
        <v>1.141</v>
      </c>
      <c r="H1661" s="4" t="str">
        <f t="array" aca="1" ref="H1661" ca="1">SUBSTITUTE(SUBSTITUTE(_xlfn.TEXTJOIN("",TRUE,IF(ISERR(MID(C1661,ROW(INDIRECT("1:100")),1)+0),MID(C1661,ROW(INDIRECT("1:100")),1),"")),")",""),"(","")</f>
        <v>All items less food and shelter</v>
      </c>
    </row>
    <row r="1662" spans="1:8" x14ac:dyDescent="0.25">
      <c r="A1662">
        <v>2020</v>
      </c>
      <c r="B1662">
        <v>1</v>
      </c>
      <c r="C1662" t="s">
        <v>22</v>
      </c>
      <c r="D1662">
        <v>46.366</v>
      </c>
      <c r="E1662">
        <v>1.5</v>
      </c>
      <c r="F1662">
        <v>0.69699999999999995</v>
      </c>
      <c r="H1662" s="4" t="str">
        <f t="array" aca="1" ref="H1662" ca="1">SUBSTITUTE(SUBSTITUTE(_xlfn.TEXTJOIN("",TRUE,IF(ISERR(MID(C1662,ROW(INDIRECT("1:100")),1)+0),MID(C1662,ROW(INDIRECT("1:100")),1),"")),")",""),"(","")</f>
        <v>All items less food, shelter, and energy</v>
      </c>
    </row>
    <row r="1663" spans="1:8" x14ac:dyDescent="0.25">
      <c r="A1663">
        <v>2020</v>
      </c>
      <c r="B1663">
        <v>1</v>
      </c>
      <c r="C1663" t="s">
        <v>23</v>
      </c>
      <c r="D1663">
        <v>43.832999999999998</v>
      </c>
      <c r="E1663">
        <v>1.7</v>
      </c>
      <c r="F1663">
        <v>0.746</v>
      </c>
      <c r="H1663" s="4" t="str">
        <f t="array" aca="1" ref="H1663" ca="1">SUBSTITUTE(SUBSTITUTE(_xlfn.TEXTJOIN("",TRUE,IF(ISERR(MID(C1663,ROW(INDIRECT("1:100")),1)+0),MID(C1663,ROW(INDIRECT("1:100")),1),"")),")",""),"(","")</f>
        <v>All items less food, shelter, energy, and used cars and trucks</v>
      </c>
    </row>
    <row r="1664" spans="1:8" x14ac:dyDescent="0.25">
      <c r="A1664">
        <v>2020</v>
      </c>
      <c r="B1664">
        <v>1</v>
      </c>
      <c r="C1664" t="s">
        <v>24</v>
      </c>
      <c r="D1664">
        <v>91.167000000000002</v>
      </c>
      <c r="E1664">
        <v>2.2999999999999998</v>
      </c>
      <c r="F1664">
        <v>2.097</v>
      </c>
      <c r="H1664" s="4" t="str">
        <f t="array" aca="1" ref="H1664" ca="1">SUBSTITUTE(SUBSTITUTE(_xlfn.TEXTJOIN("",TRUE,IF(ISERR(MID(C1664,ROW(INDIRECT("1:100")),1)+0),MID(C1664,ROW(INDIRECT("1:100")),1),"")),")",""),"(","")</f>
        <v>All items less medical care</v>
      </c>
    </row>
    <row r="1665" spans="1:8" x14ac:dyDescent="0.25">
      <c r="A1665">
        <v>2020</v>
      </c>
      <c r="B1665">
        <v>1</v>
      </c>
      <c r="C1665" t="s">
        <v>25</v>
      </c>
      <c r="D1665">
        <v>93.293999999999997</v>
      </c>
      <c r="E1665">
        <v>2.2000000000000002</v>
      </c>
      <c r="F1665">
        <v>2.0430000000000001</v>
      </c>
      <c r="H1665" s="4" t="str">
        <f t="array" aca="1" ref="H1665" ca="1">SUBSTITUTE(SUBSTITUTE(_xlfn.TEXTJOIN("",TRUE,IF(ISERR(MID(C1665,ROW(INDIRECT("1:100")),1)+0),MID(C1665,ROW(INDIRECT("1:100")),1),"")),")",""),"(","")</f>
        <v>All items less energy</v>
      </c>
    </row>
    <row r="1666" spans="1:8" x14ac:dyDescent="0.25">
      <c r="A1666">
        <v>2020</v>
      </c>
      <c r="B1666">
        <v>1</v>
      </c>
      <c r="C1666" t="s">
        <v>26</v>
      </c>
      <c r="D1666">
        <v>37.518000000000001</v>
      </c>
      <c r="E1666">
        <v>1.8</v>
      </c>
      <c r="F1666">
        <v>0.65800000000000003</v>
      </c>
      <c r="H1666" s="4" t="str">
        <f t="array" aca="1" ref="H1666" ca="1">SUBSTITUTE(SUBSTITUTE(_xlfn.TEXTJOIN("",TRUE,IF(ISERR(MID(C1666,ROW(INDIRECT("1:100")),1)+0),MID(C1666,ROW(INDIRECT("1:100")),1),"")),")",""),"(","")</f>
        <v>Commodities</v>
      </c>
    </row>
    <row r="1667" spans="1:8" x14ac:dyDescent="0.25">
      <c r="A1667">
        <v>2020</v>
      </c>
      <c r="B1667">
        <v>1</v>
      </c>
      <c r="C1667" t="s">
        <v>27</v>
      </c>
      <c r="D1667">
        <v>62.481999999999999</v>
      </c>
      <c r="E1667">
        <v>2.9</v>
      </c>
      <c r="F1667">
        <v>1.829</v>
      </c>
      <c r="H1667" s="4" t="str">
        <f t="array" aca="1" ref="H1667" ca="1">SUBSTITUTE(SUBSTITUTE(_xlfn.TEXTJOIN("",TRUE,IF(ISERR(MID(C1667,ROW(INDIRECT("1:100")),1)+0),MID(C1667,ROW(INDIRECT("1:100")),1),"")),")",""),"(","")</f>
        <v>Services</v>
      </c>
    </row>
    <row r="1668" spans="1:8" x14ac:dyDescent="0.25">
      <c r="A1668">
        <v>2020</v>
      </c>
      <c r="B1668">
        <v>1</v>
      </c>
      <c r="C1668" t="s">
        <v>28</v>
      </c>
      <c r="D1668">
        <v>10.679</v>
      </c>
      <c r="E1668">
        <v>-0.9</v>
      </c>
      <c r="F1668">
        <v>-8.5000000000000006E-2</v>
      </c>
      <c r="H1668" s="4" t="str">
        <f t="array" aca="1" ref="H1668" ca="1">SUBSTITUTE(SUBSTITUTE(_xlfn.TEXTJOIN("",TRUE,IF(ISERR(MID(C1668,ROW(INDIRECT("1:100")),1)+0),MID(C1668,ROW(INDIRECT("1:100")),1),"")),")",""),"(","")</f>
        <v>Durables</v>
      </c>
    </row>
    <row r="1669" spans="1:8" x14ac:dyDescent="0.25">
      <c r="A1669">
        <v>2020</v>
      </c>
      <c r="B1669">
        <v>1</v>
      </c>
      <c r="C1669" t="s">
        <v>29</v>
      </c>
      <c r="D1669">
        <v>26.838000000000001</v>
      </c>
      <c r="E1669">
        <v>2.8</v>
      </c>
      <c r="F1669">
        <v>0.74299999999999999</v>
      </c>
      <c r="H1669" s="4" t="str">
        <f t="array" aca="1" ref="H1669" ca="1">SUBSTITUTE(SUBSTITUTE(_xlfn.TEXTJOIN("",TRUE,IF(ISERR(MID(C1669,ROW(INDIRECT("1:100")),1)+0),MID(C1669,ROW(INDIRECT("1:100")),1),"")),")",""),"(","")</f>
        <v>Nondurables</v>
      </c>
    </row>
    <row r="1670" spans="1:8" x14ac:dyDescent="0.25">
      <c r="A1670">
        <v>2020</v>
      </c>
      <c r="B1670">
        <v>1</v>
      </c>
      <c r="C1670" t="s">
        <v>8</v>
      </c>
      <c r="D1670">
        <v>42.106999999999999</v>
      </c>
      <c r="E1670">
        <v>2.7</v>
      </c>
      <c r="F1670">
        <v>1.157</v>
      </c>
      <c r="H1670" s="4" t="str">
        <f t="array" aca="1" ref="H1670" ca="1">SUBSTITUTE(SUBSTITUTE(_xlfn.TEXTJOIN("",TRUE,IF(ISERR(MID(C1670,ROW(INDIRECT("1:100")),1)+0),MID(C1670,ROW(INDIRECT("1:100")),1),"")),")",""),"(","")</f>
        <v>Housing</v>
      </c>
    </row>
    <row r="1671" spans="1:8" x14ac:dyDescent="0.25">
      <c r="A1671">
        <v>2020</v>
      </c>
      <c r="B1671">
        <v>1</v>
      </c>
      <c r="C1671" t="s">
        <v>30</v>
      </c>
      <c r="D1671">
        <v>6.77</v>
      </c>
      <c r="E1671">
        <v>1.5</v>
      </c>
      <c r="F1671">
        <v>0.1</v>
      </c>
      <c r="H1671" s="4" t="str">
        <f t="array" aca="1" ref="H1671" ca="1">SUBSTITUTE(SUBSTITUTE(_xlfn.TEXTJOIN("",TRUE,IF(ISERR(MID(C1671,ROW(INDIRECT("1:100")),1)+0),MID(C1671,ROW(INDIRECT("1:100")),1),"")),")",""),"(","")</f>
        <v>Education and communication</v>
      </c>
    </row>
    <row r="1672" spans="1:8" x14ac:dyDescent="0.25">
      <c r="A1672">
        <v>2020</v>
      </c>
      <c r="B1672">
        <v>1</v>
      </c>
      <c r="C1672" t="s">
        <v>31</v>
      </c>
      <c r="D1672">
        <v>5.8209999999999997</v>
      </c>
      <c r="E1672">
        <v>1.4</v>
      </c>
      <c r="F1672">
        <v>8.2000000000000003E-2</v>
      </c>
      <c r="H1672" s="4" t="str">
        <f t="array" aca="1" ref="H1672" ca="1">SUBSTITUTE(SUBSTITUTE(_xlfn.TEXTJOIN("",TRUE,IF(ISERR(MID(C1672,ROW(INDIRECT("1:100")),1)+0),MID(C1672,ROW(INDIRECT("1:100")),1),"")),")",""),"(","")</f>
        <v>Recreation</v>
      </c>
    </row>
    <row r="1673" spans="1:8" x14ac:dyDescent="0.25">
      <c r="A1673">
        <v>2020</v>
      </c>
      <c r="B1673">
        <v>1</v>
      </c>
      <c r="C1673" t="s">
        <v>6</v>
      </c>
      <c r="D1673">
        <v>14.794</v>
      </c>
      <c r="E1673">
        <v>1.7</v>
      </c>
      <c r="F1673">
        <v>0.252</v>
      </c>
      <c r="H1673" s="4" t="str">
        <f t="array" aca="1" ref="H1673" ca="1">SUBSTITUTE(SUBSTITUTE(_xlfn.TEXTJOIN("",TRUE,IF(ISERR(MID(C1673,ROW(INDIRECT("1:100")),1)+0),MID(C1673,ROW(INDIRECT("1:100")),1),"")),")",""),"(","")</f>
        <v>Food and beverages</v>
      </c>
    </row>
    <row r="1674" spans="1:8" x14ac:dyDescent="0.25">
      <c r="A1674">
        <v>2020</v>
      </c>
      <c r="B1674">
        <v>1</v>
      </c>
      <c r="C1674" t="s">
        <v>32</v>
      </c>
      <c r="D1674">
        <v>11.680999999999999</v>
      </c>
      <c r="E1674">
        <v>2.4</v>
      </c>
      <c r="F1674">
        <v>0.27700000000000002</v>
      </c>
      <c r="H1674" s="4" t="str">
        <f t="array" aca="1" ref="H1674" ca="1">SUBSTITUTE(SUBSTITUTE(_xlfn.TEXTJOIN("",TRUE,IF(ISERR(MID(C1674,ROW(INDIRECT("1:100")),1)+0),MID(C1674,ROW(INDIRECT("1:100")),1),"")),")",""),"(","")</f>
        <v>Other services</v>
      </c>
    </row>
    <row r="1675" spans="1:8" x14ac:dyDescent="0.25">
      <c r="A1675">
        <v>2020</v>
      </c>
      <c r="B1675">
        <v>1</v>
      </c>
      <c r="C1675" t="s">
        <v>33</v>
      </c>
      <c r="D1675">
        <v>2.1419999999999999</v>
      </c>
      <c r="E1675">
        <v>-1.9</v>
      </c>
      <c r="F1675">
        <v>-4.4999999999999998E-2</v>
      </c>
      <c r="H1675" s="4" t="str">
        <f t="array" aca="1" ref="H1675" ca="1">SUBSTITUTE(SUBSTITUTE(_xlfn.TEXTJOIN("",TRUE,IF(ISERR(MID(C1675,ROW(INDIRECT("1:100")),1)+0),MID(C1675,ROW(INDIRECT("1:100")),1),"")),")",""),"(","")</f>
        <v>Apparel less footwear</v>
      </c>
    </row>
    <row r="1676" spans="1:8" x14ac:dyDescent="0.25">
      <c r="A1676">
        <v>2020</v>
      </c>
      <c r="B1676">
        <v>1</v>
      </c>
      <c r="C1676" t="s">
        <v>34</v>
      </c>
      <c r="D1676">
        <v>4.3490000000000002</v>
      </c>
      <c r="E1676">
        <v>0.6</v>
      </c>
      <c r="F1676">
        <v>2.5000000000000001E-2</v>
      </c>
      <c r="H1676" s="4" t="str">
        <f t="array" aca="1" ref="H1676" ca="1">SUBSTITUTE(SUBSTITUTE(_xlfn.TEXTJOIN("",TRUE,IF(ISERR(MID(C1676,ROW(INDIRECT("1:100")),1)+0),MID(C1676,ROW(INDIRECT("1:100")),1),"")),")",""),"(","")</f>
        <v>Fuels and utilities</v>
      </c>
    </row>
    <row r="1677" spans="1:8" x14ac:dyDescent="0.25">
      <c r="A1677">
        <v>2020</v>
      </c>
      <c r="B1677">
        <v>1</v>
      </c>
      <c r="C1677" t="s">
        <v>11</v>
      </c>
      <c r="D1677">
        <v>8.8330000000000002</v>
      </c>
      <c r="E1677">
        <v>4.5</v>
      </c>
      <c r="F1677">
        <v>0.39</v>
      </c>
      <c r="H1677" s="4" t="str">
        <f t="array" aca="1" ref="H1677" ca="1">SUBSTITUTE(SUBSTITUTE(_xlfn.TEXTJOIN("",TRUE,IF(ISERR(MID(C1677,ROW(INDIRECT("1:100")),1)+0),MID(C1677,ROW(INDIRECT("1:100")),1),"")),")",""),"(","")</f>
        <v>Medical care</v>
      </c>
    </row>
    <row r="1678" spans="1:8" x14ac:dyDescent="0.25">
      <c r="A1678">
        <v>2020</v>
      </c>
      <c r="B1678">
        <v>1</v>
      </c>
      <c r="C1678" t="s">
        <v>7</v>
      </c>
      <c r="D1678">
        <v>15.738</v>
      </c>
      <c r="E1678">
        <v>2.8</v>
      </c>
      <c r="F1678">
        <v>0.45600000000000002</v>
      </c>
      <c r="H1678" s="4" t="str">
        <f t="array" aca="1" ref="H1678" ca="1">SUBSTITUTE(SUBSTITUTE(_xlfn.TEXTJOIN("",TRUE,IF(ISERR(MID(C1678,ROW(INDIRECT("1:100")),1)+0),MID(C1678,ROW(INDIRECT("1:100")),1),"")),")",""),"(","")</f>
        <v>Transportation</v>
      </c>
    </row>
    <row r="1679" spans="1:8" x14ac:dyDescent="0.25">
      <c r="A1679">
        <v>2020</v>
      </c>
      <c r="B1679">
        <v>1</v>
      </c>
      <c r="C1679" t="s">
        <v>35</v>
      </c>
      <c r="D1679">
        <v>8.9169999999999998</v>
      </c>
      <c r="E1679">
        <v>1.4</v>
      </c>
      <c r="F1679">
        <v>0.13200000000000001</v>
      </c>
      <c r="H1679" s="4" t="str">
        <f t="array" aca="1" ref="H1679" ca="1">SUBSTITUTE(SUBSTITUTE(_xlfn.TEXTJOIN("",TRUE,IF(ISERR(MID(C1679,ROW(INDIRECT("1:100")),1)+0),MID(C1679,ROW(INDIRECT("1:100")),1),"")),")",""),"(","")</f>
        <v>Utilities and public transportation</v>
      </c>
    </row>
    <row r="1680" spans="1:8" x14ac:dyDescent="0.25">
      <c r="A1680">
        <v>2020</v>
      </c>
      <c r="B1680">
        <v>1</v>
      </c>
      <c r="C1680" t="s">
        <v>36</v>
      </c>
      <c r="D1680">
        <v>4.5999999999999996</v>
      </c>
      <c r="E1680">
        <v>0.7</v>
      </c>
      <c r="F1680">
        <v>3.1E-2</v>
      </c>
      <c r="H1680" s="4" t="str">
        <f t="array" aca="1" ref="H1680" ca="1">SUBSTITUTE(SUBSTITUTE(_xlfn.TEXTJOIN("",TRUE,IF(ISERR(MID(C1680,ROW(INDIRECT("1:100")),1)+0),MID(C1680,ROW(INDIRECT("1:100")),1),"")),")",""),"(","")</f>
        <v>Household furnishings and operations</v>
      </c>
    </row>
    <row r="1681" spans="1:8" x14ac:dyDescent="0.25">
      <c r="A1681">
        <v>2020</v>
      </c>
      <c r="B1681">
        <v>1</v>
      </c>
      <c r="C1681" t="s">
        <v>12</v>
      </c>
      <c r="D1681">
        <v>3.1269999999999998</v>
      </c>
      <c r="E1681">
        <v>2.8</v>
      </c>
      <c r="F1681">
        <v>8.7999999999999995E-2</v>
      </c>
      <c r="H1681" s="4" t="str">
        <f t="array" aca="1" ref="H1681" ca="1">SUBSTITUTE(SUBSTITUTE(_xlfn.TEXTJOIN("",TRUE,IF(ISERR(MID(C1681,ROW(INDIRECT("1:100")),1)+0),MID(C1681,ROW(INDIRECT("1:100")),1),"")),")",""),"(","")</f>
        <v>Other goods and services</v>
      </c>
    </row>
    <row r="1682" spans="1:8" x14ac:dyDescent="0.25">
      <c r="A1682">
        <v>2020</v>
      </c>
      <c r="B1682">
        <v>2</v>
      </c>
      <c r="C1682" t="s">
        <v>14</v>
      </c>
      <c r="D1682">
        <v>100</v>
      </c>
      <c r="E1682">
        <v>2.2999999999999998</v>
      </c>
      <c r="H1682" s="4" t="str">
        <f t="array" aca="1" ref="H1682" ca="1">SUBSTITUTE(SUBSTITUTE(_xlfn.TEXTJOIN("",TRUE,IF(ISERR(MID(C1682,ROW(INDIRECT("1:100")),1)+0),MID(C1682,ROW(INDIRECT("1:100")),1),"")),")",""),"(","")</f>
        <v>All items</v>
      </c>
    </row>
    <row r="1683" spans="1:8" x14ac:dyDescent="0.25">
      <c r="A1683">
        <v>2020</v>
      </c>
      <c r="B1683">
        <v>2</v>
      </c>
      <c r="C1683" t="s">
        <v>15</v>
      </c>
      <c r="D1683">
        <v>13.782999999999999</v>
      </c>
      <c r="E1683">
        <v>1.8</v>
      </c>
      <c r="F1683">
        <v>0.246</v>
      </c>
      <c r="H1683" s="4" t="str">
        <f t="array" aca="1" ref="H1683" ca="1">SUBSTITUTE(SUBSTITUTE(_xlfn.TEXTJOIN("",TRUE,IF(ISERR(MID(C1683,ROW(INDIRECT("1:100")),1)+0),MID(C1683,ROW(INDIRECT("1:100")),1),"")),")",""),"(","")</f>
        <v>Food</v>
      </c>
    </row>
    <row r="1684" spans="1:8" x14ac:dyDescent="0.25">
      <c r="A1684">
        <v>2020</v>
      </c>
      <c r="B1684">
        <v>2</v>
      </c>
      <c r="C1684" t="s">
        <v>16</v>
      </c>
      <c r="D1684">
        <v>6.6820000000000004</v>
      </c>
      <c r="E1684">
        <v>2.8</v>
      </c>
      <c r="F1684">
        <v>0.215</v>
      </c>
      <c r="H1684" s="4" t="str">
        <f t="array" aca="1" ref="H1684" ca="1">SUBSTITUTE(SUBSTITUTE(_xlfn.TEXTJOIN("",TRUE,IF(ISERR(MID(C1684,ROW(INDIRECT("1:100")),1)+0),MID(C1684,ROW(INDIRECT("1:100")),1),"")),")",""),"(","")</f>
        <v>Energy</v>
      </c>
    </row>
    <row r="1685" spans="1:8" x14ac:dyDescent="0.25">
      <c r="A1685">
        <v>2020</v>
      </c>
      <c r="B1685">
        <v>2</v>
      </c>
      <c r="C1685" t="s">
        <v>17</v>
      </c>
      <c r="D1685">
        <v>79.536000000000001</v>
      </c>
      <c r="E1685">
        <v>2.4</v>
      </c>
      <c r="F1685">
        <v>1.8740000000000001</v>
      </c>
      <c r="H1685" s="4" t="str">
        <f t="array" aca="1" ref="H1685" ca="1">SUBSTITUTE(SUBSTITUTE(_xlfn.TEXTJOIN("",TRUE,IF(ISERR(MID(C1685,ROW(INDIRECT("1:100")),1)+0),MID(C1685,ROW(INDIRECT("1:100")),1),"")),")",""),"(","")</f>
        <v>All items less food and energy</v>
      </c>
    </row>
    <row r="1686" spans="1:8" x14ac:dyDescent="0.25">
      <c r="A1686">
        <v>2020</v>
      </c>
      <c r="B1686">
        <v>2</v>
      </c>
      <c r="C1686" t="s">
        <v>18</v>
      </c>
      <c r="H1686" s="4" t="str">
        <f t="array" aca="1" ref="H1686" ca="1">SUBSTITUTE(SUBSTITUTE(_xlfn.TEXTJOIN("",TRUE,IF(ISERR(MID(C1686,ROW(INDIRECT("1:100")),1)+0),MID(C1686,ROW(INDIRECT("1:100")),1),"")),")",""),"(","")</f>
        <v>Special aggregate indexes</v>
      </c>
    </row>
    <row r="1687" spans="1:8" x14ac:dyDescent="0.25">
      <c r="A1687">
        <v>2020</v>
      </c>
      <c r="B1687">
        <v>2</v>
      </c>
      <c r="C1687" t="s">
        <v>19</v>
      </c>
      <c r="D1687">
        <v>86.216999999999999</v>
      </c>
      <c r="E1687">
        <v>2.4</v>
      </c>
      <c r="F1687">
        <v>2.089</v>
      </c>
      <c r="H1687" s="4" t="str">
        <f t="array" aca="1" ref="H1687" ca="1">SUBSTITUTE(SUBSTITUTE(_xlfn.TEXTJOIN("",TRUE,IF(ISERR(MID(C1687,ROW(INDIRECT("1:100")),1)+0),MID(C1687,ROW(INDIRECT("1:100")),1),"")),")",""),"(","")</f>
        <v>All items less food</v>
      </c>
    </row>
    <row r="1688" spans="1:8" x14ac:dyDescent="0.25">
      <c r="A1688">
        <v>2020</v>
      </c>
      <c r="B1688">
        <v>2</v>
      </c>
      <c r="C1688" t="s">
        <v>20</v>
      </c>
      <c r="D1688">
        <v>66.837999999999994</v>
      </c>
      <c r="E1688">
        <v>1.9</v>
      </c>
      <c r="F1688">
        <v>1.238</v>
      </c>
      <c r="H1688" s="4" t="str">
        <f t="array" aca="1" ref="H1688" ca="1">SUBSTITUTE(SUBSTITUTE(_xlfn.TEXTJOIN("",TRUE,IF(ISERR(MID(C1688,ROW(INDIRECT("1:100")),1)+0),MID(C1688,ROW(INDIRECT("1:100")),1),"")),")",""),"(","")</f>
        <v>All items less shelter</v>
      </c>
    </row>
    <row r="1689" spans="1:8" x14ac:dyDescent="0.25">
      <c r="A1689">
        <v>2020</v>
      </c>
      <c r="B1689">
        <v>2</v>
      </c>
      <c r="C1689" t="s">
        <v>21</v>
      </c>
      <c r="D1689">
        <v>53.055999999999997</v>
      </c>
      <c r="E1689">
        <v>1.9</v>
      </c>
      <c r="F1689">
        <v>0.99199999999999999</v>
      </c>
      <c r="H1689" s="4" t="str">
        <f t="array" aca="1" ref="H1689" ca="1">SUBSTITUTE(SUBSTITUTE(_xlfn.TEXTJOIN("",TRUE,IF(ISERR(MID(C1689,ROW(INDIRECT("1:100")),1)+0),MID(C1689,ROW(INDIRECT("1:100")),1),"")),")",""),"(","")</f>
        <v>All items less food and shelter</v>
      </c>
    </row>
    <row r="1690" spans="1:8" x14ac:dyDescent="0.25">
      <c r="A1690">
        <v>2020</v>
      </c>
      <c r="B1690">
        <v>2</v>
      </c>
      <c r="C1690" t="s">
        <v>22</v>
      </c>
      <c r="D1690">
        <v>46.374000000000002</v>
      </c>
      <c r="E1690">
        <v>1.7</v>
      </c>
      <c r="F1690">
        <v>0.77700000000000002</v>
      </c>
      <c r="H1690" s="4" t="str">
        <f t="array" aca="1" ref="H1690" ca="1">SUBSTITUTE(SUBSTITUTE(_xlfn.TEXTJOIN("",TRUE,IF(ISERR(MID(C1690,ROW(INDIRECT("1:100")),1)+0),MID(C1690,ROW(INDIRECT("1:100")),1),"")),")",""),"(","")</f>
        <v>All items less food, shelter, and energy</v>
      </c>
    </row>
    <row r="1691" spans="1:8" x14ac:dyDescent="0.25">
      <c r="A1691">
        <v>2020</v>
      </c>
      <c r="B1691">
        <v>2</v>
      </c>
      <c r="C1691" t="s">
        <v>23</v>
      </c>
      <c r="D1691">
        <v>43.87</v>
      </c>
      <c r="E1691">
        <v>1.8</v>
      </c>
      <c r="F1691">
        <v>0.80800000000000005</v>
      </c>
      <c r="H1691" s="4" t="str">
        <f t="array" aca="1" ref="H1691" ca="1">SUBSTITUTE(SUBSTITUTE(_xlfn.TEXTJOIN("",TRUE,IF(ISERR(MID(C1691,ROW(INDIRECT("1:100")),1)+0),MID(C1691,ROW(INDIRECT("1:100")),1),"")),")",""),"(","")</f>
        <v>All items less food, shelter, energy, and used cars and trucks</v>
      </c>
    </row>
    <row r="1692" spans="1:8" x14ac:dyDescent="0.25">
      <c r="A1692">
        <v>2020</v>
      </c>
      <c r="B1692">
        <v>2</v>
      </c>
      <c r="C1692" t="s">
        <v>24</v>
      </c>
      <c r="D1692">
        <v>91.159000000000006</v>
      </c>
      <c r="E1692">
        <v>2.1</v>
      </c>
      <c r="F1692">
        <v>1.9339999999999999</v>
      </c>
      <c r="H1692" s="4" t="str">
        <f t="array" aca="1" ref="H1692" ca="1">SUBSTITUTE(SUBSTITUTE(_xlfn.TEXTJOIN("",TRUE,IF(ISERR(MID(C1692,ROW(INDIRECT("1:100")),1)+0),MID(C1692,ROW(INDIRECT("1:100")),1),"")),")",""),"(","")</f>
        <v>All items less medical care</v>
      </c>
    </row>
    <row r="1693" spans="1:8" x14ac:dyDescent="0.25">
      <c r="A1693">
        <v>2020</v>
      </c>
      <c r="B1693">
        <v>2</v>
      </c>
      <c r="C1693" t="s">
        <v>25</v>
      </c>
      <c r="D1693">
        <v>93.317999999999998</v>
      </c>
      <c r="E1693">
        <v>2.2999999999999998</v>
      </c>
      <c r="F1693">
        <v>2.12</v>
      </c>
      <c r="H1693" s="4" t="str">
        <f t="array" aca="1" ref="H1693" ca="1">SUBSTITUTE(SUBSTITUTE(_xlfn.TEXTJOIN("",TRUE,IF(ISERR(MID(C1693,ROW(INDIRECT("1:100")),1)+0),MID(C1693,ROW(INDIRECT("1:100")),1),"")),")",""),"(","")</f>
        <v>All items less energy</v>
      </c>
    </row>
    <row r="1694" spans="1:8" x14ac:dyDescent="0.25">
      <c r="A1694">
        <v>2020</v>
      </c>
      <c r="B1694">
        <v>2</v>
      </c>
      <c r="C1694" t="s">
        <v>26</v>
      </c>
      <c r="D1694">
        <v>37.497</v>
      </c>
      <c r="E1694">
        <v>1.3</v>
      </c>
      <c r="F1694">
        <v>0.47399999999999998</v>
      </c>
      <c r="H1694" s="4" t="str">
        <f t="array" aca="1" ref="H1694" ca="1">SUBSTITUTE(SUBSTITUTE(_xlfn.TEXTJOIN("",TRUE,IF(ISERR(MID(C1694,ROW(INDIRECT("1:100")),1)+0),MID(C1694,ROW(INDIRECT("1:100")),1),"")),")",""),"(","")</f>
        <v>Commodities</v>
      </c>
    </row>
    <row r="1695" spans="1:8" x14ac:dyDescent="0.25">
      <c r="A1695">
        <v>2020</v>
      </c>
      <c r="B1695">
        <v>2</v>
      </c>
      <c r="C1695" t="s">
        <v>27</v>
      </c>
      <c r="D1695">
        <v>62.503</v>
      </c>
      <c r="E1695">
        <v>3</v>
      </c>
      <c r="F1695">
        <v>1.861</v>
      </c>
      <c r="H1695" s="4" t="str">
        <f t="array" aca="1" ref="H1695" ca="1">SUBSTITUTE(SUBSTITUTE(_xlfn.TEXTJOIN("",TRUE,IF(ISERR(MID(C1695,ROW(INDIRECT("1:100")),1)+0),MID(C1695,ROW(INDIRECT("1:100")),1),"")),")",""),"(","")</f>
        <v>Services</v>
      </c>
    </row>
    <row r="1696" spans="1:8" x14ac:dyDescent="0.25">
      <c r="A1696">
        <v>2020</v>
      </c>
      <c r="B1696">
        <v>2</v>
      </c>
      <c r="C1696" t="s">
        <v>28</v>
      </c>
      <c r="D1696">
        <v>10.657999999999999</v>
      </c>
      <c r="E1696">
        <v>-0.6</v>
      </c>
      <c r="F1696">
        <v>-5.1999999999999998E-2</v>
      </c>
      <c r="H1696" s="4" t="str">
        <f t="array" aca="1" ref="H1696" ca="1">SUBSTITUTE(SUBSTITUTE(_xlfn.TEXTJOIN("",TRUE,IF(ISERR(MID(C1696,ROW(INDIRECT("1:100")),1)+0),MID(C1696,ROW(INDIRECT("1:100")),1),"")),")",""),"(","")</f>
        <v>Durables</v>
      </c>
    </row>
    <row r="1697" spans="1:8" x14ac:dyDescent="0.25">
      <c r="A1697">
        <v>2020</v>
      </c>
      <c r="B1697">
        <v>2</v>
      </c>
      <c r="C1697" t="s">
        <v>29</v>
      </c>
      <c r="D1697">
        <v>26.838000000000001</v>
      </c>
      <c r="E1697">
        <v>2</v>
      </c>
      <c r="F1697">
        <v>0.52600000000000002</v>
      </c>
      <c r="H1697" s="4" t="str">
        <f t="array" aca="1" ref="H1697" ca="1">SUBSTITUTE(SUBSTITUTE(_xlfn.TEXTJOIN("",TRUE,IF(ISERR(MID(C1697,ROW(INDIRECT("1:100")),1)+0),MID(C1697,ROW(INDIRECT("1:100")),1),"")),")",""),"(","")</f>
        <v>Nondurables</v>
      </c>
    </row>
    <row r="1698" spans="1:8" x14ac:dyDescent="0.25">
      <c r="A1698">
        <v>2020</v>
      </c>
      <c r="B1698">
        <v>2</v>
      </c>
      <c r="C1698" t="s">
        <v>8</v>
      </c>
      <c r="D1698">
        <v>42.137</v>
      </c>
      <c r="E1698">
        <v>2.7</v>
      </c>
      <c r="F1698">
        <v>1.157</v>
      </c>
      <c r="H1698" s="4" t="str">
        <f t="array" aca="1" ref="H1698" ca="1">SUBSTITUTE(SUBSTITUTE(_xlfn.TEXTJOIN("",TRUE,IF(ISERR(MID(C1698,ROW(INDIRECT("1:100")),1)+0),MID(C1698,ROW(INDIRECT("1:100")),1),"")),")",""),"(","")</f>
        <v>Housing</v>
      </c>
    </row>
    <row r="1699" spans="1:8" x14ac:dyDescent="0.25">
      <c r="A1699">
        <v>2020</v>
      </c>
      <c r="B1699">
        <v>2</v>
      </c>
      <c r="C1699" t="s">
        <v>30</v>
      </c>
      <c r="D1699">
        <v>6.758</v>
      </c>
      <c r="E1699">
        <v>1.5</v>
      </c>
      <c r="F1699">
        <v>0.10100000000000001</v>
      </c>
      <c r="H1699" s="4" t="str">
        <f t="array" aca="1" ref="H1699" ca="1">SUBSTITUTE(SUBSTITUTE(_xlfn.TEXTJOIN("",TRUE,IF(ISERR(MID(C1699,ROW(INDIRECT("1:100")),1)+0),MID(C1699,ROW(INDIRECT("1:100")),1),"")),")",""),"(","")</f>
        <v>Education and communication</v>
      </c>
    </row>
    <row r="1700" spans="1:8" x14ac:dyDescent="0.25">
      <c r="A1700">
        <v>2020</v>
      </c>
      <c r="B1700">
        <v>2</v>
      </c>
      <c r="C1700" t="s">
        <v>31</v>
      </c>
      <c r="D1700">
        <v>5.819</v>
      </c>
      <c r="E1700">
        <v>1.5</v>
      </c>
      <c r="F1700">
        <v>8.4000000000000005E-2</v>
      </c>
      <c r="H1700" s="4" t="str">
        <f t="array" aca="1" ref="H1700" ca="1">SUBSTITUTE(SUBSTITUTE(_xlfn.TEXTJOIN("",TRUE,IF(ISERR(MID(C1700,ROW(INDIRECT("1:100")),1)+0),MID(C1700,ROW(INDIRECT("1:100")),1),"")),")",""),"(","")</f>
        <v>Recreation</v>
      </c>
    </row>
    <row r="1701" spans="1:8" x14ac:dyDescent="0.25">
      <c r="A1701">
        <v>2020</v>
      </c>
      <c r="B1701">
        <v>2</v>
      </c>
      <c r="C1701" t="s">
        <v>6</v>
      </c>
      <c r="D1701">
        <v>14.807</v>
      </c>
      <c r="E1701">
        <v>1.7</v>
      </c>
      <c r="F1701">
        <v>0.255</v>
      </c>
      <c r="H1701" s="4" t="str">
        <f t="array" aca="1" ref="H1701" ca="1">SUBSTITUTE(SUBSTITUTE(_xlfn.TEXTJOIN("",TRUE,IF(ISERR(MID(C1701,ROW(INDIRECT("1:100")),1)+0),MID(C1701,ROW(INDIRECT("1:100")),1),"")),")",""),"(","")</f>
        <v>Food and beverages</v>
      </c>
    </row>
    <row r="1702" spans="1:8" x14ac:dyDescent="0.25">
      <c r="A1702">
        <v>2020</v>
      </c>
      <c r="B1702">
        <v>2</v>
      </c>
      <c r="C1702" t="s">
        <v>32</v>
      </c>
      <c r="D1702">
        <v>11.678000000000001</v>
      </c>
      <c r="E1702">
        <v>2.2000000000000002</v>
      </c>
      <c r="F1702">
        <v>0.255</v>
      </c>
      <c r="H1702" s="4" t="str">
        <f t="array" aca="1" ref="H1702" ca="1">SUBSTITUTE(SUBSTITUTE(_xlfn.TEXTJOIN("",TRUE,IF(ISERR(MID(C1702,ROW(INDIRECT("1:100")),1)+0),MID(C1702,ROW(INDIRECT("1:100")),1),"")),")",""),"(","")</f>
        <v>Other services</v>
      </c>
    </row>
    <row r="1703" spans="1:8" x14ac:dyDescent="0.25">
      <c r="A1703">
        <v>2020</v>
      </c>
      <c r="B1703">
        <v>2</v>
      </c>
      <c r="C1703" t="s">
        <v>33</v>
      </c>
      <c r="D1703">
        <v>2.1680000000000001</v>
      </c>
      <c r="E1703">
        <v>-1.4</v>
      </c>
      <c r="F1703">
        <v>-3.7999999999999999E-2</v>
      </c>
      <c r="H1703" s="4" t="str">
        <f t="array" aca="1" ref="H1703" ca="1">SUBSTITUTE(SUBSTITUTE(_xlfn.TEXTJOIN("",TRUE,IF(ISERR(MID(C1703,ROW(INDIRECT("1:100")),1)+0),MID(C1703,ROW(INDIRECT("1:100")),1),"")),")",""),"(","")</f>
        <v>Apparel less footwear</v>
      </c>
    </row>
    <row r="1704" spans="1:8" x14ac:dyDescent="0.25">
      <c r="A1704">
        <v>2020</v>
      </c>
      <c r="B1704">
        <v>2</v>
      </c>
      <c r="C1704" t="s">
        <v>34</v>
      </c>
      <c r="D1704">
        <v>4.367</v>
      </c>
      <c r="E1704">
        <v>0.6</v>
      </c>
      <c r="F1704">
        <v>2.5999999999999999E-2</v>
      </c>
      <c r="H1704" s="4" t="str">
        <f t="array" aca="1" ref="H1704" ca="1">SUBSTITUTE(SUBSTITUTE(_xlfn.TEXTJOIN("",TRUE,IF(ISERR(MID(C1704,ROW(INDIRECT("1:100")),1)+0),MID(C1704,ROW(INDIRECT("1:100")),1),"")),")",""),"(","")</f>
        <v>Fuels and utilities</v>
      </c>
    </row>
    <row r="1705" spans="1:8" x14ac:dyDescent="0.25">
      <c r="A1705">
        <v>2020</v>
      </c>
      <c r="B1705">
        <v>2</v>
      </c>
      <c r="C1705" t="s">
        <v>11</v>
      </c>
      <c r="D1705">
        <v>8.8409999999999993</v>
      </c>
      <c r="E1705">
        <v>4.5999999999999996</v>
      </c>
      <c r="F1705">
        <v>0.40100000000000002</v>
      </c>
      <c r="H1705" s="4" t="str">
        <f t="array" aca="1" ref="H1705" ca="1">SUBSTITUTE(SUBSTITUTE(_xlfn.TEXTJOIN("",TRUE,IF(ISERR(MID(C1705,ROW(INDIRECT("1:100")),1)+0),MID(C1705,ROW(INDIRECT("1:100")),1),"")),")",""),"(","")</f>
        <v>Medical care</v>
      </c>
    </row>
    <row r="1706" spans="1:8" x14ac:dyDescent="0.25">
      <c r="A1706">
        <v>2020</v>
      </c>
      <c r="B1706">
        <v>2</v>
      </c>
      <c r="C1706" t="s">
        <v>7</v>
      </c>
      <c r="D1706">
        <v>15.663</v>
      </c>
      <c r="E1706">
        <v>1.7</v>
      </c>
      <c r="F1706">
        <v>0.28299999999999997</v>
      </c>
      <c r="H1706" s="4" t="str">
        <f t="array" aca="1" ref="H1706" ca="1">SUBSTITUTE(SUBSTITUTE(_xlfn.TEXTJOIN("",TRUE,IF(ISERR(MID(C1706,ROW(INDIRECT("1:100")),1)+0),MID(C1706,ROW(INDIRECT("1:100")),1),"")),")",""),"(","")</f>
        <v>Transportation</v>
      </c>
    </row>
    <row r="1707" spans="1:8" x14ac:dyDescent="0.25">
      <c r="A1707">
        <v>2020</v>
      </c>
      <c r="B1707">
        <v>2</v>
      </c>
      <c r="C1707" t="s">
        <v>35</v>
      </c>
      <c r="D1707">
        <v>8.9380000000000006</v>
      </c>
      <c r="E1707">
        <v>1.6</v>
      </c>
      <c r="F1707">
        <v>0.14299999999999999</v>
      </c>
      <c r="H1707" s="4" t="str">
        <f t="array" aca="1" ref="H1707" ca="1">SUBSTITUTE(SUBSTITUTE(_xlfn.TEXTJOIN("",TRUE,IF(ISERR(MID(C1707,ROW(INDIRECT("1:100")),1)+0),MID(C1707,ROW(INDIRECT("1:100")),1),"")),")",""),"(","")</f>
        <v>Utilities and public transportation</v>
      </c>
    </row>
    <row r="1708" spans="1:8" x14ac:dyDescent="0.25">
      <c r="A1708">
        <v>2020</v>
      </c>
      <c r="B1708">
        <v>2</v>
      </c>
      <c r="C1708" t="s">
        <v>36</v>
      </c>
      <c r="D1708">
        <v>4.6079999999999997</v>
      </c>
      <c r="E1708">
        <v>0.7</v>
      </c>
      <c r="F1708">
        <v>3.5000000000000003E-2</v>
      </c>
      <c r="H1708" s="4" t="str">
        <f t="array" aca="1" ref="H1708" ca="1">SUBSTITUTE(SUBSTITUTE(_xlfn.TEXTJOIN("",TRUE,IF(ISERR(MID(C1708,ROW(INDIRECT("1:100")),1)+0),MID(C1708,ROW(INDIRECT("1:100")),1),"")),")",""),"(","")</f>
        <v>Household furnishings and operations</v>
      </c>
    </row>
    <row r="1709" spans="1:8" x14ac:dyDescent="0.25">
      <c r="A1709">
        <v>2020</v>
      </c>
      <c r="B1709">
        <v>2</v>
      </c>
      <c r="C1709" t="s">
        <v>12</v>
      </c>
      <c r="D1709">
        <v>3.1349999999999998</v>
      </c>
      <c r="E1709">
        <v>2.7</v>
      </c>
      <c r="F1709">
        <v>8.5000000000000006E-2</v>
      </c>
      <c r="H1709" s="4" t="str">
        <f t="array" aca="1" ref="H1709" ca="1">SUBSTITUTE(SUBSTITUTE(_xlfn.TEXTJOIN("",TRUE,IF(ISERR(MID(C1709,ROW(INDIRECT("1:100")),1)+0),MID(C1709,ROW(INDIRECT("1:100")),1),"")),")",""),"(","")</f>
        <v>Other goods and services</v>
      </c>
    </row>
    <row r="1710" spans="1:8" x14ac:dyDescent="0.25">
      <c r="A1710">
        <v>2020</v>
      </c>
      <c r="B1710">
        <v>3</v>
      </c>
      <c r="C1710" t="s">
        <v>14</v>
      </c>
      <c r="D1710">
        <v>100</v>
      </c>
      <c r="E1710">
        <v>1.5</v>
      </c>
      <c r="H1710" s="4" t="str">
        <f t="array" aca="1" ref="H1710" ca="1">SUBSTITUTE(SUBSTITUTE(_xlfn.TEXTJOIN("",TRUE,IF(ISERR(MID(C1710,ROW(INDIRECT("1:100")),1)+0),MID(C1710,ROW(INDIRECT("1:100")),1),"")),")",""),"(","")</f>
        <v>All items</v>
      </c>
    </row>
    <row r="1711" spans="1:8" x14ac:dyDescent="0.25">
      <c r="A1711">
        <v>2020</v>
      </c>
      <c r="B1711">
        <v>3</v>
      </c>
      <c r="C1711" t="s">
        <v>15</v>
      </c>
      <c r="D1711">
        <v>13.788</v>
      </c>
      <c r="E1711">
        <v>1.9</v>
      </c>
      <c r="F1711">
        <v>0.26300000000000001</v>
      </c>
      <c r="H1711" s="4" t="str">
        <f t="array" aca="1" ref="H1711" ca="1">SUBSTITUTE(SUBSTITUTE(_xlfn.TEXTJOIN("",TRUE,IF(ISERR(MID(C1711,ROW(INDIRECT("1:100")),1)+0),MID(C1711,ROW(INDIRECT("1:100")),1),"")),")",""),"(","")</f>
        <v>Food</v>
      </c>
    </row>
    <row r="1712" spans="1:8" x14ac:dyDescent="0.25">
      <c r="A1712">
        <v>2020</v>
      </c>
      <c r="B1712">
        <v>3</v>
      </c>
      <c r="C1712" t="s">
        <v>16</v>
      </c>
      <c r="D1712">
        <v>6.5170000000000003</v>
      </c>
      <c r="E1712">
        <v>-5.7</v>
      </c>
      <c r="F1712">
        <v>-0.38200000000000001</v>
      </c>
      <c r="H1712" s="4" t="str">
        <f t="array" aca="1" ref="H1712" ca="1">SUBSTITUTE(SUBSTITUTE(_xlfn.TEXTJOIN("",TRUE,IF(ISERR(MID(C1712,ROW(INDIRECT("1:100")),1)+0),MID(C1712,ROW(INDIRECT("1:100")),1),"")),")",""),"(","")</f>
        <v>Energy</v>
      </c>
    </row>
    <row r="1713" spans="1:8" x14ac:dyDescent="0.25">
      <c r="A1713">
        <v>2020</v>
      </c>
      <c r="B1713">
        <v>3</v>
      </c>
      <c r="C1713" t="s">
        <v>17</v>
      </c>
      <c r="D1713">
        <v>79.694999999999993</v>
      </c>
      <c r="E1713">
        <v>2.1</v>
      </c>
      <c r="F1713">
        <v>1.659</v>
      </c>
      <c r="H1713" s="4" t="str">
        <f t="array" aca="1" ref="H1713" ca="1">SUBSTITUTE(SUBSTITUTE(_xlfn.TEXTJOIN("",TRUE,IF(ISERR(MID(C1713,ROW(INDIRECT("1:100")),1)+0),MID(C1713,ROW(INDIRECT("1:100")),1),"")),")",""),"(","")</f>
        <v>All items less food and energy</v>
      </c>
    </row>
    <row r="1714" spans="1:8" x14ac:dyDescent="0.25">
      <c r="A1714">
        <v>2020</v>
      </c>
      <c r="B1714">
        <v>3</v>
      </c>
      <c r="C1714" t="s">
        <v>18</v>
      </c>
      <c r="H1714" s="4" t="str">
        <f t="array" aca="1" ref="H1714" ca="1">SUBSTITUTE(SUBSTITUTE(_xlfn.TEXTJOIN("",TRUE,IF(ISERR(MID(C1714,ROW(INDIRECT("1:100")),1)+0),MID(C1714,ROW(INDIRECT("1:100")),1),"")),")",""),"(","")</f>
        <v>Special aggregate indexes</v>
      </c>
    </row>
    <row r="1715" spans="1:8" x14ac:dyDescent="0.25">
      <c r="A1715">
        <v>2020</v>
      </c>
      <c r="B1715">
        <v>3</v>
      </c>
      <c r="C1715" t="s">
        <v>19</v>
      </c>
      <c r="D1715">
        <v>86.212000000000003</v>
      </c>
      <c r="E1715">
        <v>1.5</v>
      </c>
      <c r="F1715">
        <v>1.276</v>
      </c>
      <c r="H1715" s="4" t="str">
        <f t="array" aca="1" ref="H1715" ca="1">SUBSTITUTE(SUBSTITUTE(_xlfn.TEXTJOIN("",TRUE,IF(ISERR(MID(C1715,ROW(INDIRECT("1:100")),1)+0),MID(C1715,ROW(INDIRECT("1:100")),1),"")),")",""),"(","")</f>
        <v>All items less food</v>
      </c>
    </row>
    <row r="1716" spans="1:8" x14ac:dyDescent="0.25">
      <c r="A1716">
        <v>2020</v>
      </c>
      <c r="B1716">
        <v>3</v>
      </c>
      <c r="C1716" t="s">
        <v>20</v>
      </c>
      <c r="D1716">
        <v>66.805999999999997</v>
      </c>
      <c r="E1716">
        <v>0.8</v>
      </c>
      <c r="F1716">
        <v>0.54300000000000004</v>
      </c>
      <c r="H1716" s="4" t="str">
        <f t="array" aca="1" ref="H1716" ca="1">SUBSTITUTE(SUBSTITUTE(_xlfn.TEXTJOIN("",TRUE,IF(ISERR(MID(C1716,ROW(INDIRECT("1:100")),1)+0),MID(C1716,ROW(INDIRECT("1:100")),1),"")),")",""),"(","")</f>
        <v>All items less shelter</v>
      </c>
    </row>
    <row r="1717" spans="1:8" x14ac:dyDescent="0.25">
      <c r="A1717">
        <v>2020</v>
      </c>
      <c r="B1717">
        <v>3</v>
      </c>
      <c r="C1717" t="s">
        <v>21</v>
      </c>
      <c r="D1717">
        <v>53.018000000000001</v>
      </c>
      <c r="E1717">
        <v>0.5</v>
      </c>
      <c r="F1717">
        <v>0.28000000000000003</v>
      </c>
      <c r="H1717" s="4" t="str">
        <f t="array" aca="1" ref="H1717" ca="1">SUBSTITUTE(SUBSTITUTE(_xlfn.TEXTJOIN("",TRUE,IF(ISERR(MID(C1717,ROW(INDIRECT("1:100")),1)+0),MID(C1717,ROW(INDIRECT("1:100")),1),"")),")",""),"(","")</f>
        <v>All items less food and shelter</v>
      </c>
    </row>
    <row r="1718" spans="1:8" x14ac:dyDescent="0.25">
      <c r="A1718">
        <v>2020</v>
      </c>
      <c r="B1718">
        <v>3</v>
      </c>
      <c r="C1718" t="s">
        <v>22</v>
      </c>
      <c r="D1718">
        <v>46.500999999999998</v>
      </c>
      <c r="E1718">
        <v>1.4</v>
      </c>
      <c r="F1718">
        <v>0.66300000000000003</v>
      </c>
      <c r="H1718" s="4" t="str">
        <f t="array" aca="1" ref="H1718" ca="1">SUBSTITUTE(SUBSTITUTE(_xlfn.TEXTJOIN("",TRUE,IF(ISERR(MID(C1718,ROW(INDIRECT("1:100")),1)+0),MID(C1718,ROW(INDIRECT("1:100")),1),"")),")",""),"(","")</f>
        <v>All items less food, shelter, and energy</v>
      </c>
    </row>
    <row r="1719" spans="1:8" x14ac:dyDescent="0.25">
      <c r="A1719">
        <v>2020</v>
      </c>
      <c r="B1719">
        <v>3</v>
      </c>
      <c r="C1719" t="s">
        <v>23</v>
      </c>
      <c r="D1719">
        <v>43.978999999999999</v>
      </c>
      <c r="E1719">
        <v>1.5</v>
      </c>
      <c r="F1719">
        <v>0.65400000000000003</v>
      </c>
      <c r="H1719" s="4" t="str">
        <f t="array" aca="1" ref="H1719" ca="1">SUBSTITUTE(SUBSTITUTE(_xlfn.TEXTJOIN("",TRUE,IF(ISERR(MID(C1719,ROW(INDIRECT("1:100")),1)+0),MID(C1719,ROW(INDIRECT("1:100")),1),"")),")",""),"(","")</f>
        <v>All items less food, shelter, energy, and used cars and trucks</v>
      </c>
    </row>
    <row r="1720" spans="1:8" x14ac:dyDescent="0.25">
      <c r="A1720">
        <v>2020</v>
      </c>
      <c r="B1720">
        <v>3</v>
      </c>
      <c r="C1720" t="s">
        <v>24</v>
      </c>
      <c r="D1720">
        <v>91.152000000000001</v>
      </c>
      <c r="E1720">
        <v>1.2</v>
      </c>
      <c r="F1720">
        <v>1.1299999999999999</v>
      </c>
      <c r="H1720" s="4" t="str">
        <f t="array" aca="1" ref="H1720" ca="1">SUBSTITUTE(SUBSTITUTE(_xlfn.TEXTJOIN("",TRUE,IF(ISERR(MID(C1720,ROW(INDIRECT("1:100")),1)+0),MID(C1720,ROW(INDIRECT("1:100")),1),"")),")",""),"(","")</f>
        <v>All items less medical care</v>
      </c>
    </row>
    <row r="1721" spans="1:8" x14ac:dyDescent="0.25">
      <c r="A1721">
        <v>2020</v>
      </c>
      <c r="B1721">
        <v>3</v>
      </c>
      <c r="C1721" t="s">
        <v>25</v>
      </c>
      <c r="D1721">
        <v>93.483000000000004</v>
      </c>
      <c r="E1721">
        <v>2.1</v>
      </c>
      <c r="F1721">
        <v>1.9219999999999999</v>
      </c>
      <c r="H1721" s="4" t="str">
        <f t="array" aca="1" ref="H1721" ca="1">SUBSTITUTE(SUBSTITUTE(_xlfn.TEXTJOIN("",TRUE,IF(ISERR(MID(C1721,ROW(INDIRECT("1:100")),1)+0),MID(C1721,ROW(INDIRECT("1:100")),1),"")),")",""),"(","")</f>
        <v>All items less energy</v>
      </c>
    </row>
    <row r="1722" spans="1:8" x14ac:dyDescent="0.25">
      <c r="A1722">
        <v>2020</v>
      </c>
      <c r="B1722">
        <v>3</v>
      </c>
      <c r="C1722" t="s">
        <v>26</v>
      </c>
      <c r="D1722">
        <v>37.450000000000003</v>
      </c>
      <c r="E1722">
        <v>-0.3</v>
      </c>
      <c r="F1722">
        <v>-0.126</v>
      </c>
      <c r="H1722" s="4" t="str">
        <f t="array" aca="1" ref="H1722" ca="1">SUBSTITUTE(SUBSTITUTE(_xlfn.TEXTJOIN("",TRUE,IF(ISERR(MID(C1722,ROW(INDIRECT("1:100")),1)+0),MID(C1722,ROW(INDIRECT("1:100")),1),"")),")",""),"(","")</f>
        <v>Commodities</v>
      </c>
    </row>
    <row r="1723" spans="1:8" x14ac:dyDescent="0.25">
      <c r="A1723">
        <v>2020</v>
      </c>
      <c r="B1723">
        <v>3</v>
      </c>
      <c r="C1723" t="s">
        <v>27</v>
      </c>
      <c r="D1723">
        <v>62.55</v>
      </c>
      <c r="E1723">
        <v>2.7</v>
      </c>
      <c r="F1723">
        <v>1.6659999999999999</v>
      </c>
      <c r="H1723" s="4" t="str">
        <f t="array" aca="1" ref="H1723" ca="1">SUBSTITUTE(SUBSTITUTE(_xlfn.TEXTJOIN("",TRUE,IF(ISERR(MID(C1723,ROW(INDIRECT("1:100")),1)+0),MID(C1723,ROW(INDIRECT("1:100")),1),"")),")",""),"(","")</f>
        <v>Services</v>
      </c>
    </row>
    <row r="1724" spans="1:8" x14ac:dyDescent="0.25">
      <c r="A1724">
        <v>2020</v>
      </c>
      <c r="B1724">
        <v>3</v>
      </c>
      <c r="C1724" t="s">
        <v>28</v>
      </c>
      <c r="D1724">
        <v>10.683</v>
      </c>
      <c r="E1724">
        <v>-0.6</v>
      </c>
      <c r="F1724">
        <v>-5.3999999999999999E-2</v>
      </c>
      <c r="H1724" s="4" t="str">
        <f t="array" aca="1" ref="H1724" ca="1">SUBSTITUTE(SUBSTITUTE(_xlfn.TEXTJOIN("",TRUE,IF(ISERR(MID(C1724,ROW(INDIRECT("1:100")),1)+0),MID(C1724,ROW(INDIRECT("1:100")),1),"")),")",""),"(","")</f>
        <v>Durables</v>
      </c>
    </row>
    <row r="1725" spans="1:8" x14ac:dyDescent="0.25">
      <c r="A1725">
        <v>2020</v>
      </c>
      <c r="B1725">
        <v>3</v>
      </c>
      <c r="C1725" t="s">
        <v>29</v>
      </c>
      <c r="D1725">
        <v>26.766999999999999</v>
      </c>
      <c r="E1725">
        <v>-0.3</v>
      </c>
      <c r="F1725">
        <v>-7.1999999999999995E-2</v>
      </c>
      <c r="H1725" s="4" t="str">
        <f t="array" aca="1" ref="H1725" ca="1">SUBSTITUTE(SUBSTITUTE(_xlfn.TEXTJOIN("",TRUE,IF(ISERR(MID(C1725,ROW(INDIRECT("1:100")),1)+0),MID(C1725,ROW(INDIRECT("1:100")),1),"")),")",""),"(","")</f>
        <v>Nondurables</v>
      </c>
    </row>
    <row r="1726" spans="1:8" x14ac:dyDescent="0.25">
      <c r="A1726">
        <v>2020</v>
      </c>
      <c r="B1726">
        <v>3</v>
      </c>
      <c r="C1726" t="s">
        <v>8</v>
      </c>
      <c r="D1726">
        <v>42.149000000000001</v>
      </c>
      <c r="E1726">
        <v>2.4</v>
      </c>
      <c r="F1726">
        <v>1.0169999999999999</v>
      </c>
      <c r="H1726" s="4" t="str">
        <f t="array" aca="1" ref="H1726" ca="1">SUBSTITUTE(SUBSTITUTE(_xlfn.TEXTJOIN("",TRUE,IF(ISERR(MID(C1726,ROW(INDIRECT("1:100")),1)+0),MID(C1726,ROW(INDIRECT("1:100")),1),"")),")",""),"(","")</f>
        <v>Housing</v>
      </c>
    </row>
    <row r="1727" spans="1:8" x14ac:dyDescent="0.25">
      <c r="A1727">
        <v>2020</v>
      </c>
      <c r="B1727">
        <v>3</v>
      </c>
      <c r="C1727" t="s">
        <v>30</v>
      </c>
      <c r="D1727">
        <v>6.7460000000000004</v>
      </c>
      <c r="E1727">
        <v>1.5</v>
      </c>
      <c r="F1727">
        <v>0.10100000000000001</v>
      </c>
      <c r="H1727" s="4" t="str">
        <f t="array" aca="1" ref="H1727" ca="1">SUBSTITUTE(SUBSTITUTE(_xlfn.TEXTJOIN("",TRUE,IF(ISERR(MID(C1727,ROW(INDIRECT("1:100")),1)+0),MID(C1727,ROW(INDIRECT("1:100")),1),"")),")",""),"(","")</f>
        <v>Education and communication</v>
      </c>
    </row>
    <row r="1728" spans="1:8" x14ac:dyDescent="0.25">
      <c r="A1728">
        <v>2020</v>
      </c>
      <c r="B1728">
        <v>3</v>
      </c>
      <c r="C1728" t="s">
        <v>31</v>
      </c>
      <c r="D1728">
        <v>5.8070000000000004</v>
      </c>
      <c r="E1728">
        <v>1.3</v>
      </c>
      <c r="F1728">
        <v>7.2999999999999995E-2</v>
      </c>
      <c r="H1728" s="4" t="str">
        <f t="array" aca="1" ref="H1728" ca="1">SUBSTITUTE(SUBSTITUTE(_xlfn.TEXTJOIN("",TRUE,IF(ISERR(MID(C1728,ROW(INDIRECT("1:100")),1)+0),MID(C1728,ROW(INDIRECT("1:100")),1),"")),")",""),"(","")</f>
        <v>Recreation</v>
      </c>
    </row>
    <row r="1729" spans="1:8" x14ac:dyDescent="0.25">
      <c r="A1729">
        <v>2020</v>
      </c>
      <c r="B1729">
        <v>3</v>
      </c>
      <c r="C1729" t="s">
        <v>6</v>
      </c>
      <c r="D1729">
        <v>14.814</v>
      </c>
      <c r="E1729">
        <v>1.9</v>
      </c>
      <c r="F1729">
        <v>0.27800000000000002</v>
      </c>
      <c r="H1729" s="4" t="str">
        <f t="array" aca="1" ref="H1729" ca="1">SUBSTITUTE(SUBSTITUTE(_xlfn.TEXTJOIN("",TRUE,IF(ISERR(MID(C1729,ROW(INDIRECT("1:100")),1)+0),MID(C1729,ROW(INDIRECT("1:100")),1),"")),")",""),"(","")</f>
        <v>Food and beverages</v>
      </c>
    </row>
    <row r="1730" spans="1:8" x14ac:dyDescent="0.25">
      <c r="A1730">
        <v>2020</v>
      </c>
      <c r="B1730">
        <v>3</v>
      </c>
      <c r="C1730" t="s">
        <v>32</v>
      </c>
      <c r="D1730">
        <v>11.653</v>
      </c>
      <c r="E1730">
        <v>2.2999999999999998</v>
      </c>
      <c r="F1730">
        <v>0.26500000000000001</v>
      </c>
      <c r="H1730" s="4" t="str">
        <f t="array" aca="1" ref="H1730" ca="1">SUBSTITUTE(SUBSTITUTE(_xlfn.TEXTJOIN("",TRUE,IF(ISERR(MID(C1730,ROW(INDIRECT("1:100")),1)+0),MID(C1730,ROW(INDIRECT("1:100")),1),"")),")",""),"(","")</f>
        <v>Other services</v>
      </c>
    </row>
    <row r="1731" spans="1:8" x14ac:dyDescent="0.25">
      <c r="A1731">
        <v>2020</v>
      </c>
      <c r="B1731">
        <v>3</v>
      </c>
      <c r="C1731" t="s">
        <v>33</v>
      </c>
      <c r="D1731">
        <v>2.238</v>
      </c>
      <c r="E1731">
        <v>-1.9</v>
      </c>
      <c r="F1731">
        <v>-4.8000000000000001E-2</v>
      </c>
      <c r="H1731" s="4" t="str">
        <f t="array" aca="1" ref="H1731" ca="1">SUBSTITUTE(SUBSTITUTE(_xlfn.TEXTJOIN("",TRUE,IF(ISERR(MID(C1731,ROW(INDIRECT("1:100")),1)+0),MID(C1731,ROW(INDIRECT("1:100")),1),"")),")",""),"(","")</f>
        <v>Apparel less footwear</v>
      </c>
    </row>
    <row r="1732" spans="1:8" x14ac:dyDescent="0.25">
      <c r="A1732">
        <v>2020</v>
      </c>
      <c r="B1732">
        <v>3</v>
      </c>
      <c r="C1732" t="s">
        <v>34</v>
      </c>
      <c r="D1732">
        <v>4.3410000000000002</v>
      </c>
      <c r="E1732">
        <v>-0.2</v>
      </c>
      <c r="F1732">
        <v>-7.0000000000000001E-3</v>
      </c>
      <c r="H1732" s="4" t="str">
        <f t="array" aca="1" ref="H1732" ca="1">SUBSTITUTE(SUBSTITUTE(_xlfn.TEXTJOIN("",TRUE,IF(ISERR(MID(C1732,ROW(INDIRECT("1:100")),1)+0),MID(C1732,ROW(INDIRECT("1:100")),1),"")),")",""),"(","")</f>
        <v>Fuels and utilities</v>
      </c>
    </row>
    <row r="1733" spans="1:8" x14ac:dyDescent="0.25">
      <c r="A1733">
        <v>2020</v>
      </c>
      <c r="B1733">
        <v>3</v>
      </c>
      <c r="C1733" t="s">
        <v>11</v>
      </c>
      <c r="D1733">
        <v>8.8480000000000008</v>
      </c>
      <c r="E1733">
        <v>4.7</v>
      </c>
      <c r="F1733">
        <v>0.41</v>
      </c>
      <c r="H1733" s="4" t="str">
        <f t="array" aca="1" ref="H1733" ca="1">SUBSTITUTE(SUBSTITUTE(_xlfn.TEXTJOIN("",TRUE,IF(ISERR(MID(C1733,ROW(INDIRECT("1:100")),1)+0),MID(C1733,ROW(INDIRECT("1:100")),1),"")),")",""),"(","")</f>
        <v>Medical care</v>
      </c>
    </row>
    <row r="1734" spans="1:8" x14ac:dyDescent="0.25">
      <c r="A1734">
        <v>2020</v>
      </c>
      <c r="B1734">
        <v>3</v>
      </c>
      <c r="C1734" t="s">
        <v>7</v>
      </c>
      <c r="D1734">
        <v>15.582000000000001</v>
      </c>
      <c r="E1734">
        <v>-2.4</v>
      </c>
      <c r="F1734">
        <v>-0.38100000000000001</v>
      </c>
      <c r="H1734" s="4" t="str">
        <f t="array" aca="1" ref="H1734" ca="1">SUBSTITUTE(SUBSTITUTE(_xlfn.TEXTJOIN("",TRUE,IF(ISERR(MID(C1734,ROW(INDIRECT("1:100")),1)+0),MID(C1734,ROW(INDIRECT("1:100")),1),"")),")",""),"(","")</f>
        <v>Transportation</v>
      </c>
    </row>
    <row r="1735" spans="1:8" x14ac:dyDescent="0.25">
      <c r="A1735">
        <v>2020</v>
      </c>
      <c r="B1735">
        <v>3</v>
      </c>
      <c r="C1735" t="s">
        <v>35</v>
      </c>
      <c r="D1735">
        <v>8.9410000000000007</v>
      </c>
      <c r="E1735">
        <v>0.1</v>
      </c>
      <c r="F1735">
        <v>1.0999999999999999E-2</v>
      </c>
      <c r="H1735" s="4" t="str">
        <f t="array" aca="1" ref="H1735" ca="1">SUBSTITUTE(SUBSTITUTE(_xlfn.TEXTJOIN("",TRUE,IF(ISERR(MID(C1735,ROW(INDIRECT("1:100")),1)+0),MID(C1735,ROW(INDIRECT("1:100")),1),"")),")",""),"(","")</f>
        <v>Utilities and public transportation</v>
      </c>
    </row>
    <row r="1736" spans="1:8" x14ac:dyDescent="0.25">
      <c r="A1736">
        <v>2020</v>
      </c>
      <c r="B1736">
        <v>3</v>
      </c>
      <c r="C1736" t="s">
        <v>36</v>
      </c>
      <c r="D1736">
        <v>4.6130000000000004</v>
      </c>
      <c r="E1736">
        <v>0.6</v>
      </c>
      <c r="F1736">
        <v>2.8000000000000001E-2</v>
      </c>
      <c r="H1736" s="4" t="str">
        <f t="array" aca="1" ref="H1736" ca="1">SUBSTITUTE(SUBSTITUTE(_xlfn.TEXTJOIN("",TRUE,IF(ISERR(MID(C1736,ROW(INDIRECT("1:100")),1)+0),MID(C1736,ROW(INDIRECT("1:100")),1),"")),")",""),"(","")</f>
        <v>Household furnishings and operations</v>
      </c>
    </row>
    <row r="1737" spans="1:8" x14ac:dyDescent="0.25">
      <c r="A1737">
        <v>2020</v>
      </c>
      <c r="B1737">
        <v>3</v>
      </c>
      <c r="C1737" t="s">
        <v>12</v>
      </c>
      <c r="D1737">
        <v>3.1389999999999998</v>
      </c>
      <c r="E1737">
        <v>2.9</v>
      </c>
      <c r="F1737">
        <v>9.1999999999999998E-2</v>
      </c>
      <c r="H1737" s="4" t="str">
        <f t="array" aca="1" ref="H1737" ca="1">SUBSTITUTE(SUBSTITUTE(_xlfn.TEXTJOIN("",TRUE,IF(ISERR(MID(C1737,ROW(INDIRECT("1:100")),1)+0),MID(C1737,ROW(INDIRECT("1:100")),1),"")),")",""),"(","")</f>
        <v>Other goods and services</v>
      </c>
    </row>
    <row r="1738" spans="1:8" x14ac:dyDescent="0.25">
      <c r="A1738">
        <v>2020</v>
      </c>
      <c r="B1738">
        <v>4</v>
      </c>
      <c r="C1738" t="s">
        <v>14</v>
      </c>
      <c r="D1738">
        <v>100</v>
      </c>
      <c r="E1738">
        <v>0.3</v>
      </c>
      <c r="H1738" s="4" t="str">
        <f t="array" aca="1" ref="H1738" ca="1">SUBSTITUTE(SUBSTITUTE(_xlfn.TEXTJOIN("",TRUE,IF(ISERR(MID(C1738,ROW(INDIRECT("1:100")),1)+0),MID(C1738,ROW(INDIRECT("1:100")),1),"")),")",""),"(","")</f>
        <v>All items</v>
      </c>
    </row>
    <row r="1739" spans="1:8" x14ac:dyDescent="0.25">
      <c r="A1739">
        <v>2020</v>
      </c>
      <c r="B1739">
        <v>4</v>
      </c>
      <c r="C1739" t="s">
        <v>15</v>
      </c>
      <c r="D1739">
        <v>13.862</v>
      </c>
      <c r="E1739">
        <v>3.5</v>
      </c>
      <c r="F1739">
        <v>0.47799999999999998</v>
      </c>
      <c r="H1739" s="4" t="str">
        <f t="array" aca="1" ref="H1739" ca="1">SUBSTITUTE(SUBSTITUTE(_xlfn.TEXTJOIN("",TRUE,IF(ISERR(MID(C1739,ROW(INDIRECT("1:100")),1)+0),MID(C1739,ROW(INDIRECT("1:100")),1),"")),")",""),"(","")</f>
        <v>Food</v>
      </c>
    </row>
    <row r="1740" spans="1:8" x14ac:dyDescent="0.25">
      <c r="A1740">
        <v>2020</v>
      </c>
      <c r="B1740">
        <v>4</v>
      </c>
      <c r="C1740" t="s">
        <v>16</v>
      </c>
      <c r="D1740">
        <v>6.2560000000000002</v>
      </c>
      <c r="E1740">
        <v>-17.7</v>
      </c>
      <c r="F1740">
        <v>-1.2809999999999999</v>
      </c>
      <c r="H1740" s="4" t="str">
        <f t="array" aca="1" ref="H1740" ca="1">SUBSTITUTE(SUBSTITUTE(_xlfn.TEXTJOIN("",TRUE,IF(ISERR(MID(C1740,ROW(INDIRECT("1:100")),1)+0),MID(C1740,ROW(INDIRECT("1:100")),1),"")),")",""),"(","")</f>
        <v>Energy</v>
      </c>
    </row>
    <row r="1741" spans="1:8" x14ac:dyDescent="0.25">
      <c r="A1741">
        <v>2020</v>
      </c>
      <c r="B1741">
        <v>4</v>
      </c>
      <c r="C1741" t="s">
        <v>17</v>
      </c>
      <c r="D1741">
        <v>79.882000000000005</v>
      </c>
      <c r="E1741">
        <v>1.4</v>
      </c>
      <c r="F1741">
        <v>1.1319999999999999</v>
      </c>
      <c r="H1741" s="4" t="str">
        <f t="array" aca="1" ref="H1741" ca="1">SUBSTITUTE(SUBSTITUTE(_xlfn.TEXTJOIN("",TRUE,IF(ISERR(MID(C1741,ROW(INDIRECT("1:100")),1)+0),MID(C1741,ROW(INDIRECT("1:100")),1),"")),")",""),"(","")</f>
        <v>All items less food and energy</v>
      </c>
    </row>
    <row r="1742" spans="1:8" x14ac:dyDescent="0.25">
      <c r="A1742">
        <v>2020</v>
      </c>
      <c r="B1742">
        <v>4</v>
      </c>
      <c r="C1742" t="s">
        <v>18</v>
      </c>
      <c r="H1742" s="4" t="str">
        <f t="array" aca="1" ref="H1742" ca="1">SUBSTITUTE(SUBSTITUTE(_xlfn.TEXTJOIN("",TRUE,IF(ISERR(MID(C1742,ROW(INDIRECT("1:100")),1)+0),MID(C1742,ROW(INDIRECT("1:100")),1),"")),")",""),"(","")</f>
        <v>Special aggregate indexes</v>
      </c>
    </row>
    <row r="1743" spans="1:8" x14ac:dyDescent="0.25">
      <c r="A1743">
        <v>2020</v>
      </c>
      <c r="B1743">
        <v>4</v>
      </c>
      <c r="C1743" t="s">
        <v>19</v>
      </c>
      <c r="D1743">
        <v>86.138000000000005</v>
      </c>
      <c r="E1743">
        <v>-0.2</v>
      </c>
      <c r="F1743">
        <v>-0.14899999999999999</v>
      </c>
      <c r="H1743" s="4" t="str">
        <f t="array" aca="1" ref="H1743" ca="1">SUBSTITUTE(SUBSTITUTE(_xlfn.TEXTJOIN("",TRUE,IF(ISERR(MID(C1743,ROW(INDIRECT("1:100")),1)+0),MID(C1743,ROW(INDIRECT("1:100")),1),"")),")",""),"(","")</f>
        <v>All items less food</v>
      </c>
    </row>
    <row r="1744" spans="1:8" x14ac:dyDescent="0.25">
      <c r="A1744">
        <v>2020</v>
      </c>
      <c r="B1744">
        <v>4</v>
      </c>
      <c r="C1744" t="s">
        <v>20</v>
      </c>
      <c r="D1744">
        <v>66.697000000000003</v>
      </c>
      <c r="E1744">
        <v>-0.8</v>
      </c>
      <c r="F1744">
        <v>-0.53400000000000003</v>
      </c>
      <c r="H1744" s="4" t="str">
        <f t="array" aca="1" ref="H1744" ca="1">SUBSTITUTE(SUBSTITUTE(_xlfn.TEXTJOIN("",TRUE,IF(ISERR(MID(C1744,ROW(INDIRECT("1:100")),1)+0),MID(C1744,ROW(INDIRECT("1:100")),1),"")),")",""),"(","")</f>
        <v>All items less shelter</v>
      </c>
    </row>
    <row r="1745" spans="1:8" x14ac:dyDescent="0.25">
      <c r="A1745">
        <v>2020</v>
      </c>
      <c r="B1745">
        <v>4</v>
      </c>
      <c r="C1745" t="s">
        <v>21</v>
      </c>
      <c r="D1745">
        <v>52.835000000000001</v>
      </c>
      <c r="E1745">
        <v>-1.9</v>
      </c>
      <c r="F1745">
        <v>-1.012</v>
      </c>
      <c r="H1745" s="4" t="str">
        <f t="array" aca="1" ref="H1745" ca="1">SUBSTITUTE(SUBSTITUTE(_xlfn.TEXTJOIN("",TRUE,IF(ISERR(MID(C1745,ROW(INDIRECT("1:100")),1)+0),MID(C1745,ROW(INDIRECT("1:100")),1),"")),")",""),"(","")</f>
        <v>All items less food and shelter</v>
      </c>
    </row>
    <row r="1746" spans="1:8" x14ac:dyDescent="0.25">
      <c r="A1746">
        <v>2020</v>
      </c>
      <c r="B1746">
        <v>4</v>
      </c>
      <c r="C1746" t="s">
        <v>22</v>
      </c>
      <c r="D1746">
        <v>46.579000000000001</v>
      </c>
      <c r="E1746">
        <v>0.6</v>
      </c>
      <c r="F1746">
        <v>0.26900000000000002</v>
      </c>
      <c r="H1746" s="4" t="str">
        <f t="array" aca="1" ref="H1746" ca="1">SUBSTITUTE(SUBSTITUTE(_xlfn.TEXTJOIN("",TRUE,IF(ISERR(MID(C1746,ROW(INDIRECT("1:100")),1)+0),MID(C1746,ROW(INDIRECT("1:100")),1),"")),")",""),"(","")</f>
        <v>All items less food, shelter, and energy</v>
      </c>
    </row>
    <row r="1747" spans="1:8" x14ac:dyDescent="0.25">
      <c r="A1747">
        <v>2020</v>
      </c>
      <c r="B1747">
        <v>4</v>
      </c>
      <c r="C1747" t="s">
        <v>23</v>
      </c>
      <c r="D1747">
        <v>43.991999999999997</v>
      </c>
      <c r="E1747">
        <v>0.7</v>
      </c>
      <c r="F1747">
        <v>0.28299999999999997</v>
      </c>
      <c r="H1747" s="4" t="str">
        <f t="array" aca="1" ref="H1747" ca="1">SUBSTITUTE(SUBSTITUTE(_xlfn.TEXTJOIN("",TRUE,IF(ISERR(MID(C1747,ROW(INDIRECT("1:100")),1)+0),MID(C1747,ROW(INDIRECT("1:100")),1),"")),")",""),"(","")</f>
        <v>All items less food, shelter, energy, and used cars and trucks</v>
      </c>
    </row>
    <row r="1748" spans="1:8" x14ac:dyDescent="0.25">
      <c r="A1748">
        <v>2020</v>
      </c>
      <c r="B1748">
        <v>4</v>
      </c>
      <c r="C1748" t="s">
        <v>24</v>
      </c>
      <c r="D1748">
        <v>91.103999999999999</v>
      </c>
      <c r="E1748">
        <v>-0.1</v>
      </c>
      <c r="F1748">
        <v>-8.5000000000000006E-2</v>
      </c>
      <c r="H1748" s="4" t="str">
        <f t="array" aca="1" ref="H1748" ca="1">SUBSTITUTE(SUBSTITUTE(_xlfn.TEXTJOIN("",TRUE,IF(ISERR(MID(C1748,ROW(INDIRECT("1:100")),1)+0),MID(C1748,ROW(INDIRECT("1:100")),1),"")),")",""),"(","")</f>
        <v>All items less medical care</v>
      </c>
    </row>
    <row r="1749" spans="1:8" x14ac:dyDescent="0.25">
      <c r="A1749">
        <v>2020</v>
      </c>
      <c r="B1749">
        <v>4</v>
      </c>
      <c r="C1749" t="s">
        <v>25</v>
      </c>
      <c r="D1749">
        <v>93.744</v>
      </c>
      <c r="E1749">
        <v>1.7</v>
      </c>
      <c r="F1749">
        <v>1.61</v>
      </c>
      <c r="H1749" s="4" t="str">
        <f t="array" aca="1" ref="H1749" ca="1">SUBSTITUTE(SUBSTITUTE(_xlfn.TEXTJOIN("",TRUE,IF(ISERR(MID(C1749,ROW(INDIRECT("1:100")),1)+0),MID(C1749,ROW(INDIRECT("1:100")),1),"")),")",""),"(","")</f>
        <v>All items less energy</v>
      </c>
    </row>
    <row r="1750" spans="1:8" x14ac:dyDescent="0.25">
      <c r="A1750">
        <v>2020</v>
      </c>
      <c r="B1750">
        <v>4</v>
      </c>
      <c r="C1750" t="s">
        <v>26</v>
      </c>
      <c r="D1750">
        <v>37.335999999999999</v>
      </c>
      <c r="E1750">
        <v>-2.5</v>
      </c>
      <c r="F1750">
        <v>-0.95699999999999996</v>
      </c>
      <c r="H1750" s="4" t="str">
        <f t="array" aca="1" ref="H1750" ca="1">SUBSTITUTE(SUBSTITUTE(_xlfn.TEXTJOIN("",TRUE,IF(ISERR(MID(C1750,ROW(INDIRECT("1:100")),1)+0),MID(C1750,ROW(INDIRECT("1:100")),1),"")),")",""),"(","")</f>
        <v>Commodities</v>
      </c>
    </row>
    <row r="1751" spans="1:8" x14ac:dyDescent="0.25">
      <c r="A1751">
        <v>2020</v>
      </c>
      <c r="B1751">
        <v>4</v>
      </c>
      <c r="C1751" t="s">
        <v>27</v>
      </c>
      <c r="D1751">
        <v>62.664000000000001</v>
      </c>
      <c r="E1751">
        <v>2.1</v>
      </c>
      <c r="F1751">
        <v>1.286</v>
      </c>
      <c r="H1751" s="4" t="str">
        <f t="array" aca="1" ref="H1751" ca="1">SUBSTITUTE(SUBSTITUTE(_xlfn.TEXTJOIN("",TRUE,IF(ISERR(MID(C1751,ROW(INDIRECT("1:100")),1)+0),MID(C1751,ROW(INDIRECT("1:100")),1),"")),")",""),"(","")</f>
        <v>Services</v>
      </c>
    </row>
    <row r="1752" spans="1:8" x14ac:dyDescent="0.25">
      <c r="A1752">
        <v>2020</v>
      </c>
      <c r="B1752">
        <v>4</v>
      </c>
      <c r="C1752" t="s">
        <v>28</v>
      </c>
      <c r="D1752">
        <v>10.734999999999999</v>
      </c>
      <c r="E1752">
        <v>-0.8</v>
      </c>
      <c r="F1752">
        <v>-7.2999999999999995E-2</v>
      </c>
      <c r="H1752" s="4" t="str">
        <f t="array" aca="1" ref="H1752" ca="1">SUBSTITUTE(SUBSTITUTE(_xlfn.TEXTJOIN("",TRUE,IF(ISERR(MID(C1752,ROW(INDIRECT("1:100")),1)+0),MID(C1752,ROW(INDIRECT("1:100")),1),"")),")",""),"(","")</f>
        <v>Durables</v>
      </c>
    </row>
    <row r="1753" spans="1:8" x14ac:dyDescent="0.25">
      <c r="A1753">
        <v>2020</v>
      </c>
      <c r="B1753">
        <v>4</v>
      </c>
      <c r="C1753" t="s">
        <v>29</v>
      </c>
      <c r="D1753">
        <v>26.600999999999999</v>
      </c>
      <c r="E1753">
        <v>-3.2</v>
      </c>
      <c r="F1753">
        <v>-0.88400000000000001</v>
      </c>
      <c r="H1753" s="4" t="str">
        <f t="array" aca="1" ref="H1753" ca="1">SUBSTITUTE(SUBSTITUTE(_xlfn.TEXTJOIN("",TRUE,IF(ISERR(MID(C1753,ROW(INDIRECT("1:100")),1)+0),MID(C1753,ROW(INDIRECT("1:100")),1),"")),")",""),"(","")</f>
        <v>Nondurables</v>
      </c>
    </row>
    <row r="1754" spans="1:8" x14ac:dyDescent="0.25">
      <c r="A1754">
        <v>2020</v>
      </c>
      <c r="B1754">
        <v>4</v>
      </c>
      <c r="C1754" t="s">
        <v>8</v>
      </c>
      <c r="D1754">
        <v>42.238999999999997</v>
      </c>
      <c r="E1754">
        <v>2.2000000000000002</v>
      </c>
      <c r="F1754">
        <v>0.90800000000000003</v>
      </c>
      <c r="H1754" s="4" t="str">
        <f t="array" aca="1" ref="H1754" ca="1">SUBSTITUTE(SUBSTITUTE(_xlfn.TEXTJOIN("",TRUE,IF(ISERR(MID(C1754,ROW(INDIRECT("1:100")),1)+0),MID(C1754,ROW(INDIRECT("1:100")),1),"")),")",""),"(","")</f>
        <v>Housing</v>
      </c>
    </row>
    <row r="1755" spans="1:8" x14ac:dyDescent="0.25">
      <c r="A1755">
        <v>2020</v>
      </c>
      <c r="B1755">
        <v>4</v>
      </c>
      <c r="C1755" t="s">
        <v>30</v>
      </c>
      <c r="D1755">
        <v>6.758</v>
      </c>
      <c r="E1755">
        <v>1.6</v>
      </c>
      <c r="F1755">
        <v>0.105</v>
      </c>
      <c r="H1755" s="4" t="str">
        <f t="array" aca="1" ref="H1755" ca="1">SUBSTITUTE(SUBSTITUTE(_xlfn.TEXTJOIN("",TRUE,IF(ISERR(MID(C1755,ROW(INDIRECT("1:100")),1)+0),MID(C1755,ROW(INDIRECT("1:100")),1),"")),")",""),"(","")</f>
        <v>Education and communication</v>
      </c>
    </row>
    <row r="1756" spans="1:8" x14ac:dyDescent="0.25">
      <c r="A1756">
        <v>2020</v>
      </c>
      <c r="B1756">
        <v>4</v>
      </c>
      <c r="C1756" t="s">
        <v>31</v>
      </c>
      <c r="D1756">
        <v>5.8289999999999997</v>
      </c>
      <c r="E1756">
        <v>0.9</v>
      </c>
      <c r="F1756">
        <v>5.2999999999999999E-2</v>
      </c>
      <c r="H1756" s="4" t="str">
        <f t="array" aca="1" ref="H1756" ca="1">SUBSTITUTE(SUBSTITUTE(_xlfn.TEXTJOIN("",TRUE,IF(ISERR(MID(C1756,ROW(INDIRECT("1:100")),1)+0),MID(C1756,ROW(INDIRECT("1:100")),1),"")),")",""),"(","")</f>
        <v>Recreation</v>
      </c>
    </row>
    <row r="1757" spans="1:8" x14ac:dyDescent="0.25">
      <c r="A1757">
        <v>2020</v>
      </c>
      <c r="B1757">
        <v>4</v>
      </c>
      <c r="C1757" t="s">
        <v>6</v>
      </c>
      <c r="D1757">
        <v>14.894</v>
      </c>
      <c r="E1757">
        <v>3.4</v>
      </c>
      <c r="F1757">
        <v>0.497</v>
      </c>
      <c r="H1757" s="4" t="str">
        <f t="array" aca="1" ref="H1757" ca="1">SUBSTITUTE(SUBSTITUTE(_xlfn.TEXTJOIN("",TRUE,IF(ISERR(MID(C1757,ROW(INDIRECT("1:100")),1)+0),MID(C1757,ROW(INDIRECT("1:100")),1),"")),")",""),"(","")</f>
        <v>Food and beverages</v>
      </c>
    </row>
    <row r="1758" spans="1:8" x14ac:dyDescent="0.25">
      <c r="A1758">
        <v>2020</v>
      </c>
      <c r="B1758">
        <v>4</v>
      </c>
      <c r="C1758" t="s">
        <v>32</v>
      </c>
      <c r="D1758">
        <v>11.702999999999999</v>
      </c>
      <c r="E1758">
        <v>2.2999999999999998</v>
      </c>
      <c r="F1758">
        <v>0.26200000000000001</v>
      </c>
      <c r="H1758" s="4" t="str">
        <f t="array" aca="1" ref="H1758" ca="1">SUBSTITUTE(SUBSTITUTE(_xlfn.TEXTJOIN("",TRUE,IF(ISERR(MID(C1758,ROW(INDIRECT("1:100")),1)+0),MID(C1758,ROW(INDIRECT("1:100")),1),"")),")",""),"(","")</f>
        <v>Other services</v>
      </c>
    </row>
    <row r="1759" spans="1:8" x14ac:dyDescent="0.25">
      <c r="A1759">
        <v>2020</v>
      </c>
      <c r="B1759">
        <v>4</v>
      </c>
      <c r="C1759" t="s">
        <v>33</v>
      </c>
      <c r="D1759">
        <v>2.2370000000000001</v>
      </c>
      <c r="E1759">
        <v>-6.5</v>
      </c>
      <c r="F1759">
        <v>-0.153</v>
      </c>
      <c r="H1759" s="4" t="str">
        <f t="array" aca="1" ref="H1759" ca="1">SUBSTITUTE(SUBSTITUTE(_xlfn.TEXTJOIN("",TRUE,IF(ISERR(MID(C1759,ROW(INDIRECT("1:100")),1)+0),MID(C1759,ROW(INDIRECT("1:100")),1),"")),")",""),"(","")</f>
        <v>Apparel less footwear</v>
      </c>
    </row>
    <row r="1760" spans="1:8" x14ac:dyDescent="0.25">
      <c r="A1760">
        <v>2020</v>
      </c>
      <c r="B1760">
        <v>4</v>
      </c>
      <c r="C1760" t="s">
        <v>34</v>
      </c>
      <c r="D1760">
        <v>4.3179999999999996</v>
      </c>
      <c r="E1760">
        <v>-0.4</v>
      </c>
      <c r="F1760">
        <v>-1.4999999999999999E-2</v>
      </c>
      <c r="H1760" s="4" t="str">
        <f t="array" aca="1" ref="H1760" ca="1">SUBSTITUTE(SUBSTITUTE(_xlfn.TEXTJOIN("",TRUE,IF(ISERR(MID(C1760,ROW(INDIRECT("1:100")),1)+0),MID(C1760,ROW(INDIRECT("1:100")),1),"")),")",""),"(","")</f>
        <v>Fuels and utilities</v>
      </c>
    </row>
    <row r="1761" spans="1:8" x14ac:dyDescent="0.25">
      <c r="A1761">
        <v>2020</v>
      </c>
      <c r="B1761">
        <v>4</v>
      </c>
      <c r="C1761" t="s">
        <v>11</v>
      </c>
      <c r="D1761">
        <v>8.8960000000000008</v>
      </c>
      <c r="E1761">
        <v>4.8</v>
      </c>
      <c r="F1761">
        <v>0.41499999999999998</v>
      </c>
      <c r="H1761" s="4" t="str">
        <f t="array" aca="1" ref="H1761" ca="1">SUBSTITUTE(SUBSTITUTE(_xlfn.TEXTJOIN("",TRUE,IF(ISERR(MID(C1761,ROW(INDIRECT("1:100")),1)+0),MID(C1761,ROW(INDIRECT("1:100")),1),"")),")",""),"(","")</f>
        <v>Medical care</v>
      </c>
    </row>
    <row r="1762" spans="1:8" x14ac:dyDescent="0.25">
      <c r="A1762">
        <v>2020</v>
      </c>
      <c r="B1762">
        <v>4</v>
      </c>
      <c r="C1762" t="s">
        <v>7</v>
      </c>
      <c r="D1762">
        <v>15.321</v>
      </c>
      <c r="E1762">
        <v>-9.5</v>
      </c>
      <c r="F1762">
        <v>-1.5640000000000001</v>
      </c>
      <c r="H1762" s="4" t="str">
        <f t="array" aca="1" ref="H1762" ca="1">SUBSTITUTE(SUBSTITUTE(_xlfn.TEXTJOIN("",TRUE,IF(ISERR(MID(C1762,ROW(INDIRECT("1:100")),1)+0),MID(C1762,ROW(INDIRECT("1:100")),1),"")),")",""),"(","")</f>
        <v>Transportation</v>
      </c>
    </row>
    <row r="1763" spans="1:8" x14ac:dyDescent="0.25">
      <c r="A1763">
        <v>2020</v>
      </c>
      <c r="B1763">
        <v>4</v>
      </c>
      <c r="C1763" t="s">
        <v>35</v>
      </c>
      <c r="D1763">
        <v>8.8409999999999993</v>
      </c>
      <c r="E1763">
        <v>-1</v>
      </c>
      <c r="F1763">
        <v>-8.6999999999999994E-2</v>
      </c>
      <c r="H1763" s="4" t="str">
        <f t="array" aca="1" ref="H1763" ca="1">SUBSTITUTE(SUBSTITUTE(_xlfn.TEXTJOIN("",TRUE,IF(ISERR(MID(C1763,ROW(INDIRECT("1:100")),1)+0),MID(C1763,ROW(INDIRECT("1:100")),1),"")),")",""),"(","")</f>
        <v>Utilities and public transportation</v>
      </c>
    </row>
    <row r="1764" spans="1:8" x14ac:dyDescent="0.25">
      <c r="A1764">
        <v>2020</v>
      </c>
      <c r="B1764">
        <v>4</v>
      </c>
      <c r="C1764" t="s">
        <v>36</v>
      </c>
      <c r="D1764">
        <v>4.617</v>
      </c>
      <c r="E1764">
        <v>1.3</v>
      </c>
      <c r="F1764">
        <v>0.06</v>
      </c>
      <c r="H1764" s="4" t="str">
        <f t="array" aca="1" ref="H1764" ca="1">SUBSTITUTE(SUBSTITUTE(_xlfn.TEXTJOIN("",TRUE,IF(ISERR(MID(C1764,ROW(INDIRECT("1:100")),1)+0),MID(C1764,ROW(INDIRECT("1:100")),1),"")),")",""),"(","")</f>
        <v>Household furnishings and operations</v>
      </c>
    </row>
    <row r="1765" spans="1:8" x14ac:dyDescent="0.25">
      <c r="A1765">
        <v>2020</v>
      </c>
      <c r="B1765">
        <v>4</v>
      </c>
      <c r="C1765" t="s">
        <v>12</v>
      </c>
      <c r="D1765">
        <v>3.1549999999999998</v>
      </c>
      <c r="E1765">
        <v>2.8</v>
      </c>
      <c r="F1765">
        <v>8.7999999999999995E-2</v>
      </c>
      <c r="H1765" s="4" t="str">
        <f t="array" aca="1" ref="H1765" ca="1">SUBSTITUTE(SUBSTITUTE(_xlfn.TEXTJOIN("",TRUE,IF(ISERR(MID(C1765,ROW(INDIRECT("1:100")),1)+0),MID(C1765,ROW(INDIRECT("1:100")),1),"")),")",""),"(","")</f>
        <v>Other goods and services</v>
      </c>
    </row>
    <row r="1766" spans="1:8" x14ac:dyDescent="0.25">
      <c r="A1766">
        <v>2020</v>
      </c>
      <c r="B1766">
        <v>5</v>
      </c>
      <c r="C1766" t="s">
        <v>14</v>
      </c>
      <c r="D1766">
        <v>100</v>
      </c>
      <c r="E1766">
        <v>0.1</v>
      </c>
      <c r="H1766" s="4" t="str">
        <f t="array" aca="1" ref="H1766" ca="1">SUBSTITUTE(SUBSTITUTE(_xlfn.TEXTJOIN("",TRUE,IF(ISERR(MID(C1766,ROW(INDIRECT("1:100")),1)+0),MID(C1766,ROW(INDIRECT("1:100")),1),"")),")",""),"(","")</f>
        <v>All items</v>
      </c>
    </row>
    <row r="1767" spans="1:8" x14ac:dyDescent="0.25">
      <c r="A1767">
        <v>2020</v>
      </c>
      <c r="B1767">
        <v>5</v>
      </c>
      <c r="C1767" t="s">
        <v>15</v>
      </c>
      <c r="D1767">
        <v>14.17</v>
      </c>
      <c r="E1767">
        <v>4</v>
      </c>
      <c r="F1767">
        <v>0.54600000000000004</v>
      </c>
      <c r="H1767" s="4" t="str">
        <f t="array" aca="1" ref="H1767" ca="1">SUBSTITUTE(SUBSTITUTE(_xlfn.TEXTJOIN("",TRUE,IF(ISERR(MID(C1767,ROW(INDIRECT("1:100")),1)+0),MID(C1767,ROW(INDIRECT("1:100")),1),"")),")",""),"(","")</f>
        <v>Food</v>
      </c>
    </row>
    <row r="1768" spans="1:8" x14ac:dyDescent="0.25">
      <c r="A1768">
        <v>2020</v>
      </c>
      <c r="B1768">
        <v>5</v>
      </c>
      <c r="C1768" t="s">
        <v>16</v>
      </c>
      <c r="D1768">
        <v>5.7770000000000001</v>
      </c>
      <c r="E1768">
        <v>-18.899999999999999</v>
      </c>
      <c r="F1768">
        <v>-1.393</v>
      </c>
      <c r="H1768" s="4" t="str">
        <f t="array" aca="1" ref="H1768" ca="1">SUBSTITUTE(SUBSTITUTE(_xlfn.TEXTJOIN("",TRUE,IF(ISERR(MID(C1768,ROW(INDIRECT("1:100")),1)+0),MID(C1768,ROW(INDIRECT("1:100")),1),"")),")",""),"(","")</f>
        <v>Energy</v>
      </c>
    </row>
    <row r="1769" spans="1:8" x14ac:dyDescent="0.25">
      <c r="A1769">
        <v>2020</v>
      </c>
      <c r="B1769">
        <v>5</v>
      </c>
      <c r="C1769" t="s">
        <v>17</v>
      </c>
      <c r="D1769">
        <v>80.052000000000007</v>
      </c>
      <c r="E1769">
        <v>1.2</v>
      </c>
      <c r="F1769">
        <v>0.96499999999999997</v>
      </c>
      <c r="H1769" s="4" t="str">
        <f t="array" aca="1" ref="H1769" ca="1">SUBSTITUTE(SUBSTITUTE(_xlfn.TEXTJOIN("",TRUE,IF(ISERR(MID(C1769,ROW(INDIRECT("1:100")),1)+0),MID(C1769,ROW(INDIRECT("1:100")),1),"")),")",""),"(","")</f>
        <v>All items less food and energy</v>
      </c>
    </row>
    <row r="1770" spans="1:8" x14ac:dyDescent="0.25">
      <c r="A1770">
        <v>2020</v>
      </c>
      <c r="B1770">
        <v>5</v>
      </c>
      <c r="C1770" t="s">
        <v>18</v>
      </c>
      <c r="H1770" s="4" t="str">
        <f t="array" aca="1" ref="H1770" ca="1">SUBSTITUTE(SUBSTITUTE(_xlfn.TEXTJOIN("",TRUE,IF(ISERR(MID(C1770,ROW(INDIRECT("1:100")),1)+0),MID(C1770,ROW(INDIRECT("1:100")),1),"")),")",""),"(","")</f>
        <v>Special aggregate indexes</v>
      </c>
    </row>
    <row r="1771" spans="1:8" x14ac:dyDescent="0.25">
      <c r="A1771">
        <v>2020</v>
      </c>
      <c r="B1771">
        <v>5</v>
      </c>
      <c r="C1771" t="s">
        <v>19</v>
      </c>
      <c r="D1771">
        <v>85.83</v>
      </c>
      <c r="E1771">
        <v>-0.5</v>
      </c>
      <c r="F1771">
        <v>-0.42799999999999999</v>
      </c>
      <c r="H1771" s="4" t="str">
        <f t="array" aca="1" ref="H1771" ca="1">SUBSTITUTE(SUBSTITUTE(_xlfn.TEXTJOIN("",TRUE,IF(ISERR(MID(C1771,ROW(INDIRECT("1:100")),1)+0),MID(C1771,ROW(INDIRECT("1:100")),1),"")),")",""),"(","")</f>
        <v>All items less food</v>
      </c>
    </row>
    <row r="1772" spans="1:8" x14ac:dyDescent="0.25">
      <c r="A1772">
        <v>2020</v>
      </c>
      <c r="B1772">
        <v>5</v>
      </c>
      <c r="C1772" t="s">
        <v>20</v>
      </c>
      <c r="D1772">
        <v>66.481999999999999</v>
      </c>
      <c r="E1772">
        <v>-1.1000000000000001</v>
      </c>
      <c r="F1772">
        <v>-0.72299999999999998</v>
      </c>
      <c r="H1772" s="4" t="str">
        <f t="array" aca="1" ref="H1772" ca="1">SUBSTITUTE(SUBSTITUTE(_xlfn.TEXTJOIN("",TRUE,IF(ISERR(MID(C1772,ROW(INDIRECT("1:100")),1)+0),MID(C1772,ROW(INDIRECT("1:100")),1),"")),")",""),"(","")</f>
        <v>All items less shelter</v>
      </c>
    </row>
    <row r="1773" spans="1:8" x14ac:dyDescent="0.25">
      <c r="A1773">
        <v>2020</v>
      </c>
      <c r="B1773">
        <v>5</v>
      </c>
      <c r="C1773" t="s">
        <v>21</v>
      </c>
      <c r="D1773">
        <v>52.311999999999998</v>
      </c>
      <c r="E1773">
        <v>-2.4</v>
      </c>
      <c r="F1773">
        <v>-1.2689999999999999</v>
      </c>
      <c r="H1773" s="4" t="str">
        <f t="array" aca="1" ref="H1773" ca="1">SUBSTITUTE(SUBSTITUTE(_xlfn.TEXTJOIN("",TRUE,IF(ISERR(MID(C1773,ROW(INDIRECT("1:100")),1)+0),MID(C1773,ROW(INDIRECT("1:100")),1),"")),")",""),"(","")</f>
        <v>All items less food and shelter</v>
      </c>
    </row>
    <row r="1774" spans="1:8" x14ac:dyDescent="0.25">
      <c r="A1774">
        <v>2020</v>
      </c>
      <c r="B1774">
        <v>5</v>
      </c>
      <c r="C1774" t="s">
        <v>22</v>
      </c>
      <c r="D1774">
        <v>46.533999999999999</v>
      </c>
      <c r="E1774">
        <v>0.3</v>
      </c>
      <c r="F1774">
        <v>0.123</v>
      </c>
      <c r="H1774" s="4" t="str">
        <f t="array" aca="1" ref="H1774" ca="1">SUBSTITUTE(SUBSTITUTE(_xlfn.TEXTJOIN("",TRUE,IF(ISERR(MID(C1774,ROW(INDIRECT("1:100")),1)+0),MID(C1774,ROW(INDIRECT("1:100")),1),"")),")",""),"(","")</f>
        <v>All items less food, shelter, and energy</v>
      </c>
    </row>
    <row r="1775" spans="1:8" x14ac:dyDescent="0.25">
      <c r="A1775">
        <v>2020</v>
      </c>
      <c r="B1775">
        <v>5</v>
      </c>
      <c r="C1775" t="s">
        <v>23</v>
      </c>
      <c r="D1775">
        <v>43.953000000000003</v>
      </c>
      <c r="E1775">
        <v>0.3</v>
      </c>
      <c r="F1775">
        <v>0.13</v>
      </c>
      <c r="H1775" s="4" t="str">
        <f t="array" aca="1" ref="H1775" ca="1">SUBSTITUTE(SUBSTITUTE(_xlfn.TEXTJOIN("",TRUE,IF(ISERR(MID(C1775,ROW(INDIRECT("1:100")),1)+0),MID(C1775,ROW(INDIRECT("1:100")),1),"")),")",""),"(","")</f>
        <v>All items less food, shelter, energy, and used cars and trucks</v>
      </c>
    </row>
    <row r="1776" spans="1:8" x14ac:dyDescent="0.25">
      <c r="A1776">
        <v>2020</v>
      </c>
      <c r="B1776">
        <v>5</v>
      </c>
      <c r="C1776" t="s">
        <v>24</v>
      </c>
      <c r="D1776">
        <v>91.019000000000005</v>
      </c>
      <c r="E1776">
        <v>-0.3</v>
      </c>
      <c r="F1776">
        <v>-0.30499999999999999</v>
      </c>
      <c r="H1776" s="4" t="str">
        <f t="array" aca="1" ref="H1776" ca="1">SUBSTITUTE(SUBSTITUTE(_xlfn.TEXTJOIN("",TRUE,IF(ISERR(MID(C1776,ROW(INDIRECT("1:100")),1)+0),MID(C1776,ROW(INDIRECT("1:100")),1),"")),")",""),"(","")</f>
        <v>All items less medical care</v>
      </c>
    </row>
    <row r="1777" spans="1:8" x14ac:dyDescent="0.25">
      <c r="A1777">
        <v>2020</v>
      </c>
      <c r="B1777">
        <v>5</v>
      </c>
      <c r="C1777" t="s">
        <v>25</v>
      </c>
      <c r="D1777">
        <v>94.222999999999999</v>
      </c>
      <c r="E1777">
        <v>1.6</v>
      </c>
      <c r="F1777">
        <v>1.5109999999999999</v>
      </c>
      <c r="H1777" s="4" t="str">
        <f t="array" aca="1" ref="H1777" ca="1">SUBSTITUTE(SUBSTITUTE(_xlfn.TEXTJOIN("",TRUE,IF(ISERR(MID(C1777,ROW(INDIRECT("1:100")),1)+0),MID(C1777,ROW(INDIRECT("1:100")),1),"")),")",""),"(","")</f>
        <v>All items less energy</v>
      </c>
    </row>
    <row r="1778" spans="1:8" x14ac:dyDescent="0.25">
      <c r="A1778">
        <v>2020</v>
      </c>
      <c r="B1778">
        <v>5</v>
      </c>
      <c r="C1778" t="s">
        <v>26</v>
      </c>
      <c r="D1778">
        <v>37.134</v>
      </c>
      <c r="E1778">
        <v>-2.8</v>
      </c>
      <c r="F1778">
        <v>-1.04</v>
      </c>
      <c r="H1778" s="4" t="str">
        <f t="array" aca="1" ref="H1778" ca="1">SUBSTITUTE(SUBSTITUTE(_xlfn.TEXTJOIN("",TRUE,IF(ISERR(MID(C1778,ROW(INDIRECT("1:100")),1)+0),MID(C1778,ROW(INDIRECT("1:100")),1),"")),")",""),"(","")</f>
        <v>Commodities</v>
      </c>
    </row>
    <row r="1779" spans="1:8" x14ac:dyDescent="0.25">
      <c r="A1779">
        <v>2020</v>
      </c>
      <c r="B1779">
        <v>5</v>
      </c>
      <c r="C1779" t="s">
        <v>27</v>
      </c>
      <c r="D1779">
        <v>62.866</v>
      </c>
      <c r="E1779">
        <v>1.9</v>
      </c>
      <c r="F1779">
        <v>1.1579999999999999</v>
      </c>
      <c r="H1779" s="4" t="str">
        <f t="array" aca="1" ref="H1779" ca="1">SUBSTITUTE(SUBSTITUTE(_xlfn.TEXTJOIN("",TRUE,IF(ISERR(MID(C1779,ROW(INDIRECT("1:100")),1)+0),MID(C1779,ROW(INDIRECT("1:100")),1),"")),")",""),"(","")</f>
        <v>Services</v>
      </c>
    </row>
    <row r="1780" spans="1:8" x14ac:dyDescent="0.25">
      <c r="A1780">
        <v>2020</v>
      </c>
      <c r="B1780">
        <v>5</v>
      </c>
      <c r="C1780" t="s">
        <v>28</v>
      </c>
      <c r="D1780">
        <v>10.77</v>
      </c>
      <c r="E1780">
        <v>-0.5</v>
      </c>
      <c r="F1780">
        <v>-4.4999999999999998E-2</v>
      </c>
      <c r="H1780" s="4" t="str">
        <f t="array" aca="1" ref="H1780" ca="1">SUBSTITUTE(SUBSTITUTE(_xlfn.TEXTJOIN("",TRUE,IF(ISERR(MID(C1780,ROW(INDIRECT("1:100")),1)+0),MID(C1780,ROW(INDIRECT("1:100")),1),"")),")",""),"(","")</f>
        <v>Durables</v>
      </c>
    </row>
    <row r="1781" spans="1:8" x14ac:dyDescent="0.25">
      <c r="A1781">
        <v>2020</v>
      </c>
      <c r="B1781">
        <v>5</v>
      </c>
      <c r="C1781" t="s">
        <v>29</v>
      </c>
      <c r="D1781">
        <v>26.364000000000001</v>
      </c>
      <c r="E1781">
        <v>-3.6</v>
      </c>
      <c r="F1781">
        <v>-0.995</v>
      </c>
      <c r="H1781" s="4" t="str">
        <f t="array" aca="1" ref="H1781" ca="1">SUBSTITUTE(SUBSTITUTE(_xlfn.TEXTJOIN("",TRUE,IF(ISERR(MID(C1781,ROW(INDIRECT("1:100")),1)+0),MID(C1781,ROW(INDIRECT("1:100")),1),"")),")",""),"(","")</f>
        <v>Nondurables</v>
      </c>
    </row>
    <row r="1782" spans="1:8" x14ac:dyDescent="0.25">
      <c r="A1782">
        <v>2020</v>
      </c>
      <c r="B1782">
        <v>5</v>
      </c>
      <c r="C1782" t="s">
        <v>8</v>
      </c>
      <c r="D1782">
        <v>42.51</v>
      </c>
      <c r="E1782">
        <v>2.1</v>
      </c>
      <c r="F1782">
        <v>0.89800000000000002</v>
      </c>
      <c r="H1782" s="4" t="str">
        <f t="array" aca="1" ref="H1782" ca="1">SUBSTITUTE(SUBSTITUTE(_xlfn.TEXTJOIN("",TRUE,IF(ISERR(MID(C1782,ROW(INDIRECT("1:100")),1)+0),MID(C1782,ROW(INDIRECT("1:100")),1),"")),")",""),"(","")</f>
        <v>Housing</v>
      </c>
    </row>
    <row r="1783" spans="1:8" x14ac:dyDescent="0.25">
      <c r="A1783">
        <v>2020</v>
      </c>
      <c r="B1783">
        <v>5</v>
      </c>
      <c r="C1783" t="s">
        <v>30</v>
      </c>
      <c r="D1783">
        <v>6.8120000000000003</v>
      </c>
      <c r="E1783">
        <v>1.6</v>
      </c>
      <c r="F1783">
        <v>0.10199999999999999</v>
      </c>
      <c r="H1783" s="4" t="str">
        <f t="array" aca="1" ref="H1783" ca="1">SUBSTITUTE(SUBSTITUTE(_xlfn.TEXTJOIN("",TRUE,IF(ISERR(MID(C1783,ROW(INDIRECT("1:100")),1)+0),MID(C1783,ROW(INDIRECT("1:100")),1),"")),")",""),"(","")</f>
        <v>Education and communication</v>
      </c>
    </row>
    <row r="1784" spans="1:8" x14ac:dyDescent="0.25">
      <c r="A1784">
        <v>2020</v>
      </c>
      <c r="B1784">
        <v>5</v>
      </c>
      <c r="C1784" t="s">
        <v>31</v>
      </c>
      <c r="D1784">
        <v>5.8529999999999998</v>
      </c>
      <c r="E1784">
        <v>2.1</v>
      </c>
      <c r="F1784">
        <v>0.12</v>
      </c>
      <c r="H1784" s="4" t="str">
        <f t="array" aca="1" ref="H1784" ca="1">SUBSTITUTE(SUBSTITUTE(_xlfn.TEXTJOIN("",TRUE,IF(ISERR(MID(C1784,ROW(INDIRECT("1:100")),1)+0),MID(C1784,ROW(INDIRECT("1:100")),1),"")),")",""),"(","")</f>
        <v>Recreation</v>
      </c>
    </row>
    <row r="1785" spans="1:8" x14ac:dyDescent="0.25">
      <c r="A1785">
        <v>2020</v>
      </c>
      <c r="B1785">
        <v>5</v>
      </c>
      <c r="C1785" t="s">
        <v>6</v>
      </c>
      <c r="D1785">
        <v>15.212</v>
      </c>
      <c r="E1785">
        <v>3.9</v>
      </c>
      <c r="F1785">
        <v>0.56899999999999995</v>
      </c>
      <c r="H1785" s="4" t="str">
        <f t="array" aca="1" ref="H1785" ca="1">SUBSTITUTE(SUBSTITUTE(_xlfn.TEXTJOIN("",TRUE,IF(ISERR(MID(C1785,ROW(INDIRECT("1:100")),1)+0),MID(C1785,ROW(INDIRECT("1:100")),1),"")),")",""),"(","")</f>
        <v>Food and beverages</v>
      </c>
    </row>
    <row r="1786" spans="1:8" x14ac:dyDescent="0.25">
      <c r="A1786">
        <v>2020</v>
      </c>
      <c r="B1786">
        <v>5</v>
      </c>
      <c r="C1786" t="s">
        <v>32</v>
      </c>
      <c r="D1786">
        <v>11.79</v>
      </c>
      <c r="E1786">
        <v>2.8</v>
      </c>
      <c r="F1786">
        <v>0.32400000000000001</v>
      </c>
      <c r="H1786" s="4" t="str">
        <f t="array" aca="1" ref="H1786" ca="1">SUBSTITUTE(SUBSTITUTE(_xlfn.TEXTJOIN("",TRUE,IF(ISERR(MID(C1786,ROW(INDIRECT("1:100")),1)+0),MID(C1786,ROW(INDIRECT("1:100")),1),"")),")",""),"(","")</f>
        <v>Other services</v>
      </c>
    </row>
    <row r="1787" spans="1:8" x14ac:dyDescent="0.25">
      <c r="A1787">
        <v>2020</v>
      </c>
      <c r="B1787">
        <v>5</v>
      </c>
      <c r="C1787" t="s">
        <v>33</v>
      </c>
      <c r="D1787">
        <v>2.145</v>
      </c>
      <c r="E1787">
        <v>-8.8000000000000007</v>
      </c>
      <c r="F1787">
        <v>-0.20499999999999999</v>
      </c>
      <c r="H1787" s="4" t="str">
        <f t="array" aca="1" ref="H1787" ca="1">SUBSTITUTE(SUBSTITUTE(_xlfn.TEXTJOIN("",TRUE,IF(ISERR(MID(C1787,ROW(INDIRECT("1:100")),1)+0),MID(C1787,ROW(INDIRECT("1:100")),1),"")),")",""),"(","")</f>
        <v>Apparel less footwear</v>
      </c>
    </row>
    <row r="1788" spans="1:8" x14ac:dyDescent="0.25">
      <c r="A1788">
        <v>2020</v>
      </c>
      <c r="B1788">
        <v>5</v>
      </c>
      <c r="C1788" t="s">
        <v>34</v>
      </c>
      <c r="D1788">
        <v>4.3250000000000002</v>
      </c>
      <c r="E1788">
        <v>-0.4</v>
      </c>
      <c r="F1788">
        <v>-1.7999999999999999E-2</v>
      </c>
      <c r="H1788" s="4" t="str">
        <f t="array" aca="1" ref="H1788" ca="1">SUBSTITUTE(SUBSTITUTE(_xlfn.TEXTJOIN("",TRUE,IF(ISERR(MID(C1788,ROW(INDIRECT("1:100")),1)+0),MID(C1788,ROW(INDIRECT("1:100")),1),"")),")",""),"(","")</f>
        <v>Fuels and utilities</v>
      </c>
    </row>
    <row r="1789" spans="1:8" x14ac:dyDescent="0.25">
      <c r="A1789">
        <v>2020</v>
      </c>
      <c r="B1789">
        <v>5</v>
      </c>
      <c r="C1789" t="s">
        <v>11</v>
      </c>
      <c r="D1789">
        <v>8.9809999999999999</v>
      </c>
      <c r="E1789">
        <v>4.9000000000000004</v>
      </c>
      <c r="F1789">
        <v>0.42299999999999999</v>
      </c>
      <c r="H1789" s="4" t="str">
        <f t="array" aca="1" ref="H1789" ca="1">SUBSTITUTE(SUBSTITUTE(_xlfn.TEXTJOIN("",TRUE,IF(ISERR(MID(C1789,ROW(INDIRECT("1:100")),1)+0),MID(C1789,ROW(INDIRECT("1:100")),1),"")),")",""),"(","")</f>
        <v>Medical care</v>
      </c>
    </row>
    <row r="1790" spans="1:8" x14ac:dyDescent="0.25">
      <c r="A1790">
        <v>2020</v>
      </c>
      <c r="B1790">
        <v>5</v>
      </c>
      <c r="C1790" t="s">
        <v>7</v>
      </c>
      <c r="D1790">
        <v>14.657999999999999</v>
      </c>
      <c r="E1790">
        <v>-11.1</v>
      </c>
      <c r="F1790">
        <v>-1.8340000000000001</v>
      </c>
      <c r="H1790" s="4" t="str">
        <f t="array" aca="1" ref="H1790" ca="1">SUBSTITUTE(SUBSTITUTE(_xlfn.TEXTJOIN("",TRUE,IF(ISERR(MID(C1790,ROW(INDIRECT("1:100")),1)+0),MID(C1790,ROW(INDIRECT("1:100")),1),"")),")",""),"(","")</f>
        <v>Transportation</v>
      </c>
    </row>
    <row r="1791" spans="1:8" x14ac:dyDescent="0.25">
      <c r="A1791">
        <v>2020</v>
      </c>
      <c r="B1791">
        <v>5</v>
      </c>
      <c r="C1791" t="s">
        <v>35</v>
      </c>
      <c r="D1791">
        <v>8.8119999999999994</v>
      </c>
      <c r="E1791">
        <v>-1.5</v>
      </c>
      <c r="F1791">
        <v>-0.13500000000000001</v>
      </c>
      <c r="H1791" s="4" t="str">
        <f t="array" aca="1" ref="H1791" ca="1">SUBSTITUTE(SUBSTITUTE(_xlfn.TEXTJOIN("",TRUE,IF(ISERR(MID(C1791,ROW(INDIRECT("1:100")),1)+0),MID(C1791,ROW(INDIRECT("1:100")),1),"")),")",""),"(","")</f>
        <v>Utilities and public transportation</v>
      </c>
    </row>
    <row r="1792" spans="1:8" x14ac:dyDescent="0.25">
      <c r="A1792">
        <v>2020</v>
      </c>
      <c r="B1792">
        <v>5</v>
      </c>
      <c r="C1792" t="s">
        <v>36</v>
      </c>
      <c r="D1792">
        <v>4.6669999999999998</v>
      </c>
      <c r="E1792">
        <v>1.6</v>
      </c>
      <c r="F1792">
        <v>7.4999999999999997E-2</v>
      </c>
      <c r="H1792" s="4" t="str">
        <f t="array" aca="1" ref="H1792" ca="1">SUBSTITUTE(SUBSTITUTE(_xlfn.TEXTJOIN("",TRUE,IF(ISERR(MID(C1792,ROW(INDIRECT("1:100")),1)+0),MID(C1792,ROW(INDIRECT("1:100")),1),"")),")",""),"(","")</f>
        <v>Household furnishings and operations</v>
      </c>
    </row>
    <row r="1793" spans="1:8" x14ac:dyDescent="0.25">
      <c r="A1793">
        <v>2020</v>
      </c>
      <c r="B1793">
        <v>5</v>
      </c>
      <c r="C1793" t="s">
        <v>12</v>
      </c>
      <c r="D1793">
        <v>3.1739999999999999</v>
      </c>
      <c r="E1793">
        <v>2.4</v>
      </c>
      <c r="F1793">
        <v>7.5999999999999998E-2</v>
      </c>
      <c r="H1793" s="4" t="str">
        <f t="array" aca="1" ref="H1793" ca="1">SUBSTITUTE(SUBSTITUTE(_xlfn.TEXTJOIN("",TRUE,IF(ISERR(MID(C1793,ROW(INDIRECT("1:100")),1)+0),MID(C1793,ROW(INDIRECT("1:100")),1),"")),")",""),"(","")</f>
        <v>Other goods and services</v>
      </c>
    </row>
    <row r="1794" spans="1:8" x14ac:dyDescent="0.25">
      <c r="A1794">
        <v>2020</v>
      </c>
      <c r="B1794">
        <v>6</v>
      </c>
      <c r="C1794" t="s">
        <v>14</v>
      </c>
      <c r="D1794">
        <v>100</v>
      </c>
      <c r="E1794">
        <v>0.6</v>
      </c>
      <c r="H1794" s="4" t="str">
        <f t="array" aca="1" ref="H1794" ca="1">SUBSTITUTE(SUBSTITUTE(_xlfn.TEXTJOIN("",TRUE,IF(ISERR(MID(C1794,ROW(INDIRECT("1:100")),1)+0),MID(C1794,ROW(INDIRECT("1:100")),1),"")),")",""),"(","")</f>
        <v>All items</v>
      </c>
    </row>
    <row r="1795" spans="1:8" x14ac:dyDescent="0.25">
      <c r="A1795">
        <v>2020</v>
      </c>
      <c r="B1795">
        <v>6</v>
      </c>
      <c r="C1795" t="s">
        <v>15</v>
      </c>
      <c r="D1795">
        <v>14.259</v>
      </c>
      <c r="E1795">
        <v>4.5</v>
      </c>
      <c r="F1795">
        <v>0.61899999999999999</v>
      </c>
      <c r="H1795" s="4" t="str">
        <f t="array" aca="1" ref="H1795" ca="1">SUBSTITUTE(SUBSTITUTE(_xlfn.TEXTJOIN("",TRUE,IF(ISERR(MID(C1795,ROW(INDIRECT("1:100")),1)+0),MID(C1795,ROW(INDIRECT("1:100")),1),"")),")",""),"(","")</f>
        <v>Food</v>
      </c>
    </row>
    <row r="1796" spans="1:8" x14ac:dyDescent="0.25">
      <c r="A1796">
        <v>2020</v>
      </c>
      <c r="B1796">
        <v>6</v>
      </c>
      <c r="C1796" t="s">
        <v>16</v>
      </c>
      <c r="D1796">
        <v>5.7770000000000001</v>
      </c>
      <c r="E1796">
        <v>-12.6</v>
      </c>
      <c r="F1796">
        <v>-0.91300000000000003</v>
      </c>
      <c r="H1796" s="4" t="str">
        <f t="array" aca="1" ref="H1796" ca="1">SUBSTITUTE(SUBSTITUTE(_xlfn.TEXTJOIN("",TRUE,IF(ISERR(MID(C1796,ROW(INDIRECT("1:100")),1)+0),MID(C1796,ROW(INDIRECT("1:100")),1),"")),")",""),"(","")</f>
        <v>Energy</v>
      </c>
    </row>
    <row r="1797" spans="1:8" x14ac:dyDescent="0.25">
      <c r="A1797">
        <v>2020</v>
      </c>
      <c r="B1797">
        <v>6</v>
      </c>
      <c r="C1797" t="s">
        <v>17</v>
      </c>
      <c r="D1797">
        <v>79.962999999999994</v>
      </c>
      <c r="E1797">
        <v>1.2</v>
      </c>
      <c r="F1797">
        <v>0.93899999999999995</v>
      </c>
      <c r="H1797" s="4" t="str">
        <f t="array" aca="1" ref="H1797" ca="1">SUBSTITUTE(SUBSTITUTE(_xlfn.TEXTJOIN("",TRUE,IF(ISERR(MID(C1797,ROW(INDIRECT("1:100")),1)+0),MID(C1797,ROW(INDIRECT("1:100")),1),"")),")",""),"(","")</f>
        <v>All items less food and energy</v>
      </c>
    </row>
    <row r="1798" spans="1:8" x14ac:dyDescent="0.25">
      <c r="A1798">
        <v>2020</v>
      </c>
      <c r="B1798">
        <v>6</v>
      </c>
      <c r="C1798" t="s">
        <v>18</v>
      </c>
      <c r="H1798" s="4" t="str">
        <f t="array" aca="1" ref="H1798" ca="1">SUBSTITUTE(SUBSTITUTE(_xlfn.TEXTJOIN("",TRUE,IF(ISERR(MID(C1798,ROW(INDIRECT("1:100")),1)+0),MID(C1798,ROW(INDIRECT("1:100")),1),"")),")",""),"(","")</f>
        <v>Special aggregate indexes</v>
      </c>
    </row>
    <row r="1799" spans="1:8" x14ac:dyDescent="0.25">
      <c r="A1799">
        <v>2020</v>
      </c>
      <c r="B1799">
        <v>6</v>
      </c>
      <c r="C1799" t="s">
        <v>19</v>
      </c>
      <c r="D1799">
        <v>85.741</v>
      </c>
      <c r="E1799">
        <v>0</v>
      </c>
      <c r="F1799">
        <v>2.7E-2</v>
      </c>
      <c r="H1799" s="4" t="str">
        <f t="array" aca="1" ref="H1799" ca="1">SUBSTITUTE(SUBSTITUTE(_xlfn.TEXTJOIN("",TRUE,IF(ISERR(MID(C1799,ROW(INDIRECT("1:100")),1)+0),MID(C1799,ROW(INDIRECT("1:100")),1),"")),")",""),"(","")</f>
        <v>All items less food</v>
      </c>
    </row>
    <row r="1800" spans="1:8" x14ac:dyDescent="0.25">
      <c r="A1800">
        <v>2020</v>
      </c>
      <c r="B1800">
        <v>6</v>
      </c>
      <c r="C1800" t="s">
        <v>20</v>
      </c>
      <c r="D1800">
        <v>66.406000000000006</v>
      </c>
      <c r="E1800">
        <v>-0.2</v>
      </c>
      <c r="F1800">
        <v>-0.13600000000000001</v>
      </c>
      <c r="H1800" s="4" t="str">
        <f t="array" aca="1" ref="H1800" ca="1">SUBSTITUTE(SUBSTITUTE(_xlfn.TEXTJOIN("",TRUE,IF(ISERR(MID(C1800,ROW(INDIRECT("1:100")),1)+0),MID(C1800,ROW(INDIRECT("1:100")),1),"")),")",""),"(","")</f>
        <v>All items less shelter</v>
      </c>
    </row>
    <row r="1801" spans="1:8" x14ac:dyDescent="0.25">
      <c r="A1801">
        <v>2020</v>
      </c>
      <c r="B1801">
        <v>6</v>
      </c>
      <c r="C1801" t="s">
        <v>21</v>
      </c>
      <c r="D1801">
        <v>52.146000000000001</v>
      </c>
      <c r="E1801">
        <v>-1.4</v>
      </c>
      <c r="F1801">
        <v>-0.755</v>
      </c>
      <c r="H1801" s="4" t="str">
        <f t="array" aca="1" ref="H1801" ca="1">SUBSTITUTE(SUBSTITUTE(_xlfn.TEXTJOIN("",TRUE,IF(ISERR(MID(C1801,ROW(INDIRECT("1:100")),1)+0),MID(C1801,ROW(INDIRECT("1:100")),1),"")),")",""),"(","")</f>
        <v>All items less food and shelter</v>
      </c>
    </row>
    <row r="1802" spans="1:8" x14ac:dyDescent="0.25">
      <c r="A1802">
        <v>2020</v>
      </c>
      <c r="B1802">
        <v>6</v>
      </c>
      <c r="C1802" t="s">
        <v>22</v>
      </c>
      <c r="D1802">
        <v>46.369</v>
      </c>
      <c r="E1802">
        <v>0.3</v>
      </c>
      <c r="F1802">
        <v>0.158</v>
      </c>
      <c r="H1802" s="4" t="str">
        <f t="array" aca="1" ref="H1802" ca="1">SUBSTITUTE(SUBSTITUTE(_xlfn.TEXTJOIN("",TRUE,IF(ISERR(MID(C1802,ROW(INDIRECT("1:100")),1)+0),MID(C1802,ROW(INDIRECT("1:100")),1),"")),")",""),"(","")</f>
        <v>All items less food, shelter, and energy</v>
      </c>
    </row>
    <row r="1803" spans="1:8" x14ac:dyDescent="0.25">
      <c r="A1803">
        <v>2020</v>
      </c>
      <c r="B1803">
        <v>6</v>
      </c>
      <c r="C1803" t="s">
        <v>23</v>
      </c>
      <c r="D1803">
        <v>43.807000000000002</v>
      </c>
      <c r="E1803">
        <v>0.5</v>
      </c>
      <c r="F1803">
        <v>0.22500000000000001</v>
      </c>
      <c r="H1803" s="4" t="str">
        <f t="array" aca="1" ref="H1803" ca="1">SUBSTITUTE(SUBSTITUTE(_xlfn.TEXTJOIN("",TRUE,IF(ISERR(MID(C1803,ROW(INDIRECT("1:100")),1)+0),MID(C1803,ROW(INDIRECT("1:100")),1),"")),")",""),"(","")</f>
        <v>All items less food, shelter, energy, and used cars and trucks</v>
      </c>
    </row>
    <row r="1804" spans="1:8" x14ac:dyDescent="0.25">
      <c r="A1804">
        <v>2020</v>
      </c>
      <c r="B1804">
        <v>6</v>
      </c>
      <c r="C1804" t="s">
        <v>24</v>
      </c>
      <c r="D1804">
        <v>90.981999999999999</v>
      </c>
      <c r="E1804">
        <v>0.2</v>
      </c>
      <c r="F1804">
        <v>0.20699999999999999</v>
      </c>
      <c r="H1804" s="4" t="str">
        <f t="array" aca="1" ref="H1804" ca="1">SUBSTITUTE(SUBSTITUTE(_xlfn.TEXTJOIN("",TRUE,IF(ISERR(MID(C1804,ROW(INDIRECT("1:100")),1)+0),MID(C1804,ROW(INDIRECT("1:100")),1),"")),")",""),"(","")</f>
        <v>All items less medical care</v>
      </c>
    </row>
    <row r="1805" spans="1:8" x14ac:dyDescent="0.25">
      <c r="A1805">
        <v>2020</v>
      </c>
      <c r="B1805">
        <v>6</v>
      </c>
      <c r="C1805" t="s">
        <v>25</v>
      </c>
      <c r="D1805">
        <v>94.222999999999999</v>
      </c>
      <c r="E1805">
        <v>1.7</v>
      </c>
      <c r="F1805">
        <v>1.5589999999999999</v>
      </c>
      <c r="H1805" s="4" t="str">
        <f t="array" aca="1" ref="H1805" ca="1">SUBSTITUTE(SUBSTITUTE(_xlfn.TEXTJOIN("",TRUE,IF(ISERR(MID(C1805,ROW(INDIRECT("1:100")),1)+0),MID(C1805,ROW(INDIRECT("1:100")),1),"")),")",""),"(","")</f>
        <v>All items less energy</v>
      </c>
    </row>
    <row r="1806" spans="1:8" x14ac:dyDescent="0.25">
      <c r="A1806">
        <v>2020</v>
      </c>
      <c r="B1806">
        <v>6</v>
      </c>
      <c r="C1806" t="s">
        <v>26</v>
      </c>
      <c r="D1806">
        <v>37.118000000000002</v>
      </c>
      <c r="E1806">
        <v>-1.3</v>
      </c>
      <c r="F1806">
        <v>-0.5</v>
      </c>
      <c r="H1806" s="4" t="str">
        <f t="array" aca="1" ref="H1806" ca="1">SUBSTITUTE(SUBSTITUTE(_xlfn.TEXTJOIN("",TRUE,IF(ISERR(MID(C1806,ROW(INDIRECT("1:100")),1)+0),MID(C1806,ROW(INDIRECT("1:100")),1),"")),")",""),"(","")</f>
        <v>Commodities</v>
      </c>
    </row>
    <row r="1807" spans="1:8" x14ac:dyDescent="0.25">
      <c r="A1807">
        <v>2020</v>
      </c>
      <c r="B1807">
        <v>6</v>
      </c>
      <c r="C1807" t="s">
        <v>27</v>
      </c>
      <c r="D1807">
        <v>62.881999999999998</v>
      </c>
      <c r="E1807">
        <v>1.8</v>
      </c>
      <c r="F1807">
        <v>1.145</v>
      </c>
      <c r="H1807" s="4" t="str">
        <f t="array" aca="1" ref="H1807" ca="1">SUBSTITUTE(SUBSTITUTE(_xlfn.TEXTJOIN("",TRUE,IF(ISERR(MID(C1807,ROW(INDIRECT("1:100")),1)+0),MID(C1807,ROW(INDIRECT("1:100")),1),"")),")",""),"(","")</f>
        <v>Services</v>
      </c>
    </row>
    <row r="1808" spans="1:8" x14ac:dyDescent="0.25">
      <c r="A1808">
        <v>2020</v>
      </c>
      <c r="B1808">
        <v>6</v>
      </c>
      <c r="C1808" t="s">
        <v>28</v>
      </c>
      <c r="D1808">
        <v>10.766999999999999</v>
      </c>
      <c r="E1808">
        <v>-0.9</v>
      </c>
      <c r="F1808">
        <v>-8.6999999999999994E-2</v>
      </c>
      <c r="H1808" s="4" t="str">
        <f t="array" aca="1" ref="H1808" ca="1">SUBSTITUTE(SUBSTITUTE(_xlfn.TEXTJOIN("",TRUE,IF(ISERR(MID(C1808,ROW(INDIRECT("1:100")),1)+0),MID(C1808,ROW(INDIRECT("1:100")),1),"")),")",""),"(","")</f>
        <v>Durables</v>
      </c>
    </row>
    <row r="1809" spans="1:8" x14ac:dyDescent="0.25">
      <c r="A1809">
        <v>2020</v>
      </c>
      <c r="B1809">
        <v>6</v>
      </c>
      <c r="C1809" t="s">
        <v>29</v>
      </c>
      <c r="D1809">
        <v>26.350999999999999</v>
      </c>
      <c r="E1809">
        <v>-1.5</v>
      </c>
      <c r="F1809">
        <v>-0.41199999999999998</v>
      </c>
      <c r="H1809" s="4" t="str">
        <f t="array" aca="1" ref="H1809" ca="1">SUBSTITUTE(SUBSTITUTE(_xlfn.TEXTJOIN("",TRUE,IF(ISERR(MID(C1809,ROW(INDIRECT("1:100")),1)+0),MID(C1809,ROW(INDIRECT("1:100")),1),"")),")",""),"(","")</f>
        <v>Nondurables</v>
      </c>
    </row>
    <row r="1810" spans="1:8" x14ac:dyDescent="0.25">
      <c r="A1810">
        <v>2020</v>
      </c>
      <c r="B1810">
        <v>6</v>
      </c>
      <c r="C1810" t="s">
        <v>8</v>
      </c>
      <c r="D1810">
        <v>42.609000000000002</v>
      </c>
      <c r="E1810">
        <v>2</v>
      </c>
      <c r="F1810">
        <v>0.84699999999999998</v>
      </c>
      <c r="H1810" s="4" t="str">
        <f t="array" aca="1" ref="H1810" ca="1">SUBSTITUTE(SUBSTITUTE(_xlfn.TEXTJOIN("",TRUE,IF(ISERR(MID(C1810,ROW(INDIRECT("1:100")),1)+0),MID(C1810,ROW(INDIRECT("1:100")),1),"")),")",""),"(","")</f>
        <v>Housing</v>
      </c>
    </row>
    <row r="1811" spans="1:8" x14ac:dyDescent="0.25">
      <c r="A1811">
        <v>2020</v>
      </c>
      <c r="B1811">
        <v>6</v>
      </c>
      <c r="C1811" t="s">
        <v>30</v>
      </c>
      <c r="D1811">
        <v>6.81</v>
      </c>
      <c r="E1811">
        <v>1.4</v>
      </c>
      <c r="F1811">
        <v>9.0999999999999998E-2</v>
      </c>
      <c r="H1811" s="4" t="str">
        <f t="array" aca="1" ref="H1811" ca="1">SUBSTITUTE(SUBSTITUTE(_xlfn.TEXTJOIN("",TRUE,IF(ISERR(MID(C1811,ROW(INDIRECT("1:100")),1)+0),MID(C1811,ROW(INDIRECT("1:100")),1),"")),")",""),"(","")</f>
        <v>Education and communication</v>
      </c>
    </row>
    <row r="1812" spans="1:8" x14ac:dyDescent="0.25">
      <c r="A1812">
        <v>2020</v>
      </c>
      <c r="B1812">
        <v>6</v>
      </c>
      <c r="C1812" t="s">
        <v>31</v>
      </c>
      <c r="D1812">
        <v>5.8929999999999998</v>
      </c>
      <c r="E1812">
        <v>1.6</v>
      </c>
      <c r="F1812">
        <v>8.7999999999999995E-2</v>
      </c>
      <c r="H1812" s="4" t="str">
        <f t="array" aca="1" ref="H1812" ca="1">SUBSTITUTE(SUBSTITUTE(_xlfn.TEXTJOIN("",TRUE,IF(ISERR(MID(C1812,ROW(INDIRECT("1:100")),1)+0),MID(C1812,ROW(INDIRECT("1:100")),1),"")),")",""),"(","")</f>
        <v>Recreation</v>
      </c>
    </row>
    <row r="1813" spans="1:8" x14ac:dyDescent="0.25">
      <c r="A1813">
        <v>2020</v>
      </c>
      <c r="B1813">
        <v>6</v>
      </c>
      <c r="C1813" t="s">
        <v>6</v>
      </c>
      <c r="D1813">
        <v>15.307</v>
      </c>
      <c r="E1813">
        <v>4.4000000000000004</v>
      </c>
      <c r="F1813">
        <v>0.64200000000000002</v>
      </c>
      <c r="H1813" s="4" t="str">
        <f t="array" aca="1" ref="H1813" ca="1">SUBSTITUTE(SUBSTITUTE(_xlfn.TEXTJOIN("",TRUE,IF(ISERR(MID(C1813,ROW(INDIRECT("1:100")),1)+0),MID(C1813,ROW(INDIRECT("1:100")),1),"")),")",""),"(","")</f>
        <v>Food and beverages</v>
      </c>
    </row>
    <row r="1814" spans="1:8" x14ac:dyDescent="0.25">
      <c r="A1814">
        <v>2020</v>
      </c>
      <c r="B1814">
        <v>6</v>
      </c>
      <c r="C1814" t="s">
        <v>32</v>
      </c>
      <c r="D1814">
        <v>11.837999999999999</v>
      </c>
      <c r="E1814">
        <v>2.5</v>
      </c>
      <c r="F1814">
        <v>0.28499999999999998</v>
      </c>
      <c r="H1814" s="4" t="str">
        <f t="array" aca="1" ref="H1814" ca="1">SUBSTITUTE(SUBSTITUTE(_xlfn.TEXTJOIN("",TRUE,IF(ISERR(MID(C1814,ROW(INDIRECT("1:100")),1)+0),MID(C1814,ROW(INDIRECT("1:100")),1),"")),")",""),"(","")</f>
        <v>Other services</v>
      </c>
    </row>
    <row r="1815" spans="1:8" x14ac:dyDescent="0.25">
      <c r="A1815">
        <v>2020</v>
      </c>
      <c r="B1815">
        <v>6</v>
      </c>
      <c r="C1815" t="s">
        <v>33</v>
      </c>
      <c r="D1815">
        <v>2.0699999999999998</v>
      </c>
      <c r="E1815">
        <v>-8.1</v>
      </c>
      <c r="F1815">
        <v>-0.186</v>
      </c>
      <c r="H1815" s="4" t="str">
        <f t="array" aca="1" ref="H1815" ca="1">SUBSTITUTE(SUBSTITUTE(_xlfn.TEXTJOIN("",TRUE,IF(ISERR(MID(C1815,ROW(INDIRECT("1:100")),1)+0),MID(C1815,ROW(INDIRECT("1:100")),1),"")),")",""),"(","")</f>
        <v>Apparel less footwear</v>
      </c>
    </row>
    <row r="1816" spans="1:8" x14ac:dyDescent="0.25">
      <c r="A1816">
        <v>2020</v>
      </c>
      <c r="B1816">
        <v>6</v>
      </c>
      <c r="C1816" t="s">
        <v>34</v>
      </c>
      <c r="D1816">
        <v>4.3330000000000002</v>
      </c>
      <c r="E1816">
        <v>0</v>
      </c>
      <c r="F1816">
        <v>-2E-3</v>
      </c>
      <c r="H1816" s="4" t="str">
        <f t="array" aca="1" ref="H1816" ca="1">SUBSTITUTE(SUBSTITUTE(_xlfn.TEXTJOIN("",TRUE,IF(ISERR(MID(C1816,ROW(INDIRECT("1:100")),1)+0),MID(C1816,ROW(INDIRECT("1:100")),1),"")),")",""),"(","")</f>
        <v>Fuels and utilities</v>
      </c>
    </row>
    <row r="1817" spans="1:8" x14ac:dyDescent="0.25">
      <c r="A1817">
        <v>2020</v>
      </c>
      <c r="B1817">
        <v>6</v>
      </c>
      <c r="C1817" t="s">
        <v>11</v>
      </c>
      <c r="D1817">
        <v>9.0180000000000007</v>
      </c>
      <c r="E1817">
        <v>5.0999999999999996</v>
      </c>
      <c r="F1817">
        <v>0.439</v>
      </c>
      <c r="H1817" s="4" t="str">
        <f t="array" aca="1" ref="H1817" ca="1">SUBSTITUTE(SUBSTITUTE(_xlfn.TEXTJOIN("",TRUE,IF(ISERR(MID(C1817,ROW(INDIRECT("1:100")),1)+0),MID(C1817,ROW(INDIRECT("1:100")),1),"")),")",""),"(","")</f>
        <v>Medical care</v>
      </c>
    </row>
    <row r="1818" spans="1:8" x14ac:dyDescent="0.25">
      <c r="A1818">
        <v>2020</v>
      </c>
      <c r="B1818">
        <v>6</v>
      </c>
      <c r="C1818" t="s">
        <v>7</v>
      </c>
      <c r="D1818">
        <v>14.483000000000001</v>
      </c>
      <c r="E1818">
        <v>-8.1999999999999993</v>
      </c>
      <c r="F1818">
        <v>-1.335</v>
      </c>
      <c r="H1818" s="4" t="str">
        <f t="array" aca="1" ref="H1818" ca="1">SUBSTITUTE(SUBSTITUTE(_xlfn.TEXTJOIN("",TRUE,IF(ISERR(MID(C1818,ROW(INDIRECT("1:100")),1)+0),MID(C1818,ROW(INDIRECT("1:100")),1),"")),")",""),"(","")</f>
        <v>Transportation</v>
      </c>
    </row>
    <row r="1819" spans="1:8" x14ac:dyDescent="0.25">
      <c r="A1819">
        <v>2020</v>
      </c>
      <c r="B1819">
        <v>6</v>
      </c>
      <c r="C1819" t="s">
        <v>35</v>
      </c>
      <c r="D1819">
        <v>8.8170000000000002</v>
      </c>
      <c r="E1819">
        <v>-1.3</v>
      </c>
      <c r="F1819">
        <v>-0.123</v>
      </c>
      <c r="H1819" s="4" t="str">
        <f t="array" aca="1" ref="H1819" ca="1">SUBSTITUTE(SUBSTITUTE(_xlfn.TEXTJOIN("",TRUE,IF(ISERR(MID(C1819,ROW(INDIRECT("1:100")),1)+0),MID(C1819,ROW(INDIRECT("1:100")),1),"")),")",""),"(","")</f>
        <v>Utilities and public transportation</v>
      </c>
    </row>
    <row r="1820" spans="1:8" x14ac:dyDescent="0.25">
      <c r="A1820">
        <v>2020</v>
      </c>
      <c r="B1820">
        <v>6</v>
      </c>
      <c r="C1820" t="s">
        <v>36</v>
      </c>
      <c r="D1820">
        <v>4.6820000000000004</v>
      </c>
      <c r="E1820">
        <v>1.4</v>
      </c>
      <c r="F1820">
        <v>6.8000000000000005E-2</v>
      </c>
      <c r="H1820" s="4" t="str">
        <f t="array" aca="1" ref="H1820" ca="1">SUBSTITUTE(SUBSTITUTE(_xlfn.TEXTJOIN("",TRUE,IF(ISERR(MID(C1820,ROW(INDIRECT("1:100")),1)+0),MID(C1820,ROW(INDIRECT("1:100")),1),"")),")",""),"(","")</f>
        <v>Household furnishings and operations</v>
      </c>
    </row>
    <row r="1821" spans="1:8" x14ac:dyDescent="0.25">
      <c r="A1821">
        <v>2020</v>
      </c>
      <c r="B1821">
        <v>6</v>
      </c>
      <c r="C1821" t="s">
        <v>12</v>
      </c>
      <c r="D1821">
        <v>3.1709999999999998</v>
      </c>
      <c r="E1821">
        <v>2.8</v>
      </c>
      <c r="F1821">
        <v>8.8999999999999996E-2</v>
      </c>
      <c r="H1821" s="4" t="str">
        <f t="array" aca="1" ref="H1821" ca="1">SUBSTITUTE(SUBSTITUTE(_xlfn.TEXTJOIN("",TRUE,IF(ISERR(MID(C1821,ROW(INDIRECT("1:100")),1)+0),MID(C1821,ROW(INDIRECT("1:100")),1),"")),")",""),"(","")</f>
        <v>Other goods and services</v>
      </c>
    </row>
    <row r="1822" spans="1:8" x14ac:dyDescent="0.25">
      <c r="A1822">
        <v>2020</v>
      </c>
      <c r="B1822">
        <v>7</v>
      </c>
      <c r="C1822" t="s">
        <v>14</v>
      </c>
      <c r="D1822">
        <v>100</v>
      </c>
      <c r="E1822">
        <v>1</v>
      </c>
      <c r="H1822" s="4" t="str">
        <f t="array" aca="1" ref="H1822" ca="1">SUBSTITUTE(SUBSTITUTE(_xlfn.TEXTJOIN("",TRUE,IF(ISERR(MID(C1822,ROW(INDIRECT("1:100")),1)+0),MID(C1822,ROW(INDIRECT("1:100")),1),"")),")",""),"(","")</f>
        <v>All items</v>
      </c>
    </row>
    <row r="1823" spans="1:8" x14ac:dyDescent="0.25">
      <c r="A1823">
        <v>2020</v>
      </c>
      <c r="B1823">
        <v>7</v>
      </c>
      <c r="C1823" t="s">
        <v>15</v>
      </c>
      <c r="D1823">
        <v>14.252000000000001</v>
      </c>
      <c r="E1823">
        <v>4.0999999999999996</v>
      </c>
      <c r="F1823">
        <v>0.55900000000000005</v>
      </c>
      <c r="H1823" s="4" t="str">
        <f t="array" aca="1" ref="H1823" ca="1">SUBSTITUTE(SUBSTITUTE(_xlfn.TEXTJOIN("",TRUE,IF(ISERR(MID(C1823,ROW(INDIRECT("1:100")),1)+0),MID(C1823,ROW(INDIRECT("1:100")),1),"")),")",""),"(","")</f>
        <v>Food</v>
      </c>
    </row>
    <row r="1824" spans="1:8" x14ac:dyDescent="0.25">
      <c r="A1824">
        <v>2020</v>
      </c>
      <c r="B1824">
        <v>7</v>
      </c>
      <c r="C1824" t="s">
        <v>16</v>
      </c>
      <c r="D1824">
        <v>6.069</v>
      </c>
      <c r="E1824">
        <v>-11.2</v>
      </c>
      <c r="F1824">
        <v>-0.81499999999999995</v>
      </c>
      <c r="H1824" s="4" t="str">
        <f t="array" aca="1" ref="H1824" ca="1">SUBSTITUTE(SUBSTITUTE(_xlfn.TEXTJOIN("",TRUE,IF(ISERR(MID(C1824,ROW(INDIRECT("1:100")),1)+0),MID(C1824,ROW(INDIRECT("1:100")),1),"")),")",""),"(","")</f>
        <v>Energy</v>
      </c>
    </row>
    <row r="1825" spans="1:8" x14ac:dyDescent="0.25">
      <c r="A1825">
        <v>2020</v>
      </c>
      <c r="B1825">
        <v>7</v>
      </c>
      <c r="C1825" t="s">
        <v>17</v>
      </c>
      <c r="D1825">
        <v>79.679000000000002</v>
      </c>
      <c r="E1825">
        <v>1.6</v>
      </c>
      <c r="F1825">
        <v>1.242</v>
      </c>
      <c r="H1825" s="4" t="str">
        <f t="array" aca="1" ref="H1825" ca="1">SUBSTITUTE(SUBSTITUTE(_xlfn.TEXTJOIN("",TRUE,IF(ISERR(MID(C1825,ROW(INDIRECT("1:100")),1)+0),MID(C1825,ROW(INDIRECT("1:100")),1),"")),")",""),"(","")</f>
        <v>All items less food and energy</v>
      </c>
    </row>
    <row r="1826" spans="1:8" x14ac:dyDescent="0.25">
      <c r="A1826">
        <v>2020</v>
      </c>
      <c r="B1826">
        <v>7</v>
      </c>
      <c r="C1826" t="s">
        <v>18</v>
      </c>
      <c r="H1826" s="4" t="str">
        <f t="array" aca="1" ref="H1826" ca="1">SUBSTITUTE(SUBSTITUTE(_xlfn.TEXTJOIN("",TRUE,IF(ISERR(MID(C1826,ROW(INDIRECT("1:100")),1)+0),MID(C1826,ROW(INDIRECT("1:100")),1),"")),")",""),"(","")</f>
        <v>Special aggregate indexes</v>
      </c>
    </row>
    <row r="1827" spans="1:8" x14ac:dyDescent="0.25">
      <c r="A1827">
        <v>2020</v>
      </c>
      <c r="B1827">
        <v>7</v>
      </c>
      <c r="C1827" t="s">
        <v>19</v>
      </c>
      <c r="D1827">
        <v>85.748000000000005</v>
      </c>
      <c r="E1827">
        <v>0.5</v>
      </c>
      <c r="F1827">
        <v>0.42699999999999999</v>
      </c>
      <c r="H1827" s="4" t="str">
        <f t="array" aca="1" ref="H1827" ca="1">SUBSTITUTE(SUBSTITUTE(_xlfn.TEXTJOIN("",TRUE,IF(ISERR(MID(C1827,ROW(INDIRECT("1:100")),1)+0),MID(C1827,ROW(INDIRECT("1:100")),1),"")),")",""),"(","")</f>
        <v>All items less food</v>
      </c>
    </row>
    <row r="1828" spans="1:8" x14ac:dyDescent="0.25">
      <c r="A1828">
        <v>2020</v>
      </c>
      <c r="B1828">
        <v>7</v>
      </c>
      <c r="C1828" t="s">
        <v>20</v>
      </c>
      <c r="D1828">
        <v>66.531999999999996</v>
      </c>
      <c r="E1828">
        <v>0.3</v>
      </c>
      <c r="F1828">
        <v>0.215</v>
      </c>
      <c r="H1828" s="4" t="str">
        <f t="array" aca="1" ref="H1828" ca="1">SUBSTITUTE(SUBSTITUTE(_xlfn.TEXTJOIN("",TRUE,IF(ISERR(MID(C1828,ROW(INDIRECT("1:100")),1)+0),MID(C1828,ROW(INDIRECT("1:100")),1),"")),")",""),"(","")</f>
        <v>All items less shelter</v>
      </c>
    </row>
    <row r="1829" spans="1:8" x14ac:dyDescent="0.25">
      <c r="A1829">
        <v>2020</v>
      </c>
      <c r="B1829">
        <v>7</v>
      </c>
      <c r="C1829" t="s">
        <v>21</v>
      </c>
      <c r="D1829">
        <v>52.28</v>
      </c>
      <c r="E1829">
        <v>-0.6</v>
      </c>
      <c r="F1829">
        <v>-0.34499999999999997</v>
      </c>
      <c r="H1829" s="4" t="str">
        <f t="array" aca="1" ref="H1829" ca="1">SUBSTITUTE(SUBSTITUTE(_xlfn.TEXTJOIN("",TRUE,IF(ISERR(MID(C1829,ROW(INDIRECT("1:100")),1)+0),MID(C1829,ROW(INDIRECT("1:100")),1),"")),")",""),"(","")</f>
        <v>All items less food and shelter</v>
      </c>
    </row>
    <row r="1830" spans="1:8" x14ac:dyDescent="0.25">
      <c r="A1830">
        <v>2020</v>
      </c>
      <c r="B1830">
        <v>7</v>
      </c>
      <c r="C1830" t="s">
        <v>22</v>
      </c>
      <c r="D1830">
        <v>46.210999999999999</v>
      </c>
      <c r="E1830">
        <v>1</v>
      </c>
      <c r="F1830">
        <v>0.47099999999999997</v>
      </c>
      <c r="H1830" s="4" t="str">
        <f t="array" aca="1" ref="H1830" ca="1">SUBSTITUTE(SUBSTITUTE(_xlfn.TEXTJOIN("",TRUE,IF(ISERR(MID(C1830,ROW(INDIRECT("1:100")),1)+0),MID(C1830,ROW(INDIRECT("1:100")),1),"")),")",""),"(","")</f>
        <v>All items less food, shelter, and energy</v>
      </c>
    </row>
    <row r="1831" spans="1:8" x14ac:dyDescent="0.25">
      <c r="A1831">
        <v>2020</v>
      </c>
      <c r="B1831">
        <v>7</v>
      </c>
      <c r="C1831" t="s">
        <v>23</v>
      </c>
      <c r="D1831">
        <v>43.69</v>
      </c>
      <c r="E1831">
        <v>1.1000000000000001</v>
      </c>
      <c r="F1831">
        <v>0.48499999999999999</v>
      </c>
      <c r="H1831" s="4" t="str">
        <f t="array" aca="1" ref="H1831" ca="1">SUBSTITUTE(SUBSTITUTE(_xlfn.TEXTJOIN("",TRUE,IF(ISERR(MID(C1831,ROW(INDIRECT("1:100")),1)+0),MID(C1831,ROW(INDIRECT("1:100")),1),"")),")",""),"(","")</f>
        <v>All items less food, shelter, energy, and used cars and trucks</v>
      </c>
    </row>
    <row r="1832" spans="1:8" x14ac:dyDescent="0.25">
      <c r="A1832">
        <v>2020</v>
      </c>
      <c r="B1832">
        <v>7</v>
      </c>
      <c r="C1832" t="s">
        <v>24</v>
      </c>
      <c r="D1832">
        <v>91.004000000000005</v>
      </c>
      <c r="E1832">
        <v>0.6</v>
      </c>
      <c r="F1832">
        <v>0.55100000000000005</v>
      </c>
      <c r="H1832" s="4" t="str">
        <f t="array" aca="1" ref="H1832" ca="1">SUBSTITUTE(SUBSTITUTE(_xlfn.TEXTJOIN("",TRUE,IF(ISERR(MID(C1832,ROW(INDIRECT("1:100")),1)+0),MID(C1832,ROW(INDIRECT("1:100")),1),"")),")",""),"(","")</f>
        <v>All items less medical care</v>
      </c>
    </row>
    <row r="1833" spans="1:8" x14ac:dyDescent="0.25">
      <c r="A1833">
        <v>2020</v>
      </c>
      <c r="B1833">
        <v>7</v>
      </c>
      <c r="C1833" t="s">
        <v>25</v>
      </c>
      <c r="D1833">
        <v>93.930999999999997</v>
      </c>
      <c r="E1833">
        <v>1.9</v>
      </c>
      <c r="F1833">
        <v>1.802</v>
      </c>
      <c r="H1833" s="4" t="str">
        <f t="array" aca="1" ref="H1833" ca="1">SUBSTITUTE(SUBSTITUTE(_xlfn.TEXTJOIN("",TRUE,IF(ISERR(MID(C1833,ROW(INDIRECT("1:100")),1)+0),MID(C1833,ROW(INDIRECT("1:100")),1),"")),")",""),"(","")</f>
        <v>All items less energy</v>
      </c>
    </row>
    <row r="1834" spans="1:8" x14ac:dyDescent="0.25">
      <c r="A1834">
        <v>2020</v>
      </c>
      <c r="B1834">
        <v>7</v>
      </c>
      <c r="C1834" t="s">
        <v>26</v>
      </c>
      <c r="D1834">
        <v>37.231000000000002</v>
      </c>
      <c r="E1834">
        <v>-0.9</v>
      </c>
      <c r="F1834">
        <v>-0.34200000000000003</v>
      </c>
      <c r="H1834" s="4" t="str">
        <f t="array" aca="1" ref="H1834" ca="1">SUBSTITUTE(SUBSTITUTE(_xlfn.TEXTJOIN("",TRUE,IF(ISERR(MID(C1834,ROW(INDIRECT("1:100")),1)+0),MID(C1834,ROW(INDIRECT("1:100")),1),"")),")",""),"(","")</f>
        <v>Commodities</v>
      </c>
    </row>
    <row r="1835" spans="1:8" x14ac:dyDescent="0.25">
      <c r="A1835">
        <v>2020</v>
      </c>
      <c r="B1835">
        <v>7</v>
      </c>
      <c r="C1835" t="s">
        <v>27</v>
      </c>
      <c r="D1835">
        <v>62.768999999999998</v>
      </c>
      <c r="E1835">
        <v>2.1</v>
      </c>
      <c r="F1835">
        <v>1.3280000000000001</v>
      </c>
      <c r="H1835" s="4" t="str">
        <f t="array" aca="1" ref="H1835" ca="1">SUBSTITUTE(SUBSTITUTE(_xlfn.TEXTJOIN("",TRUE,IF(ISERR(MID(C1835,ROW(INDIRECT("1:100")),1)+0),MID(C1835,ROW(INDIRECT("1:100")),1),"")),")",""),"(","")</f>
        <v>Services</v>
      </c>
    </row>
    <row r="1836" spans="1:8" x14ac:dyDescent="0.25">
      <c r="A1836">
        <v>2020</v>
      </c>
      <c r="B1836">
        <v>7</v>
      </c>
      <c r="C1836" t="s">
        <v>28</v>
      </c>
      <c r="D1836">
        <v>10.696</v>
      </c>
      <c r="E1836">
        <v>-0.1</v>
      </c>
      <c r="F1836">
        <v>4.0000000000000001E-3</v>
      </c>
      <c r="H1836" s="4" t="str">
        <f t="array" aca="1" ref="H1836" ca="1">SUBSTITUTE(SUBSTITUTE(_xlfn.TEXTJOIN("",TRUE,IF(ISERR(MID(C1836,ROW(INDIRECT("1:100")),1)+0),MID(C1836,ROW(INDIRECT("1:100")),1),"")),")",""),"(","")</f>
        <v>Durables</v>
      </c>
    </row>
    <row r="1837" spans="1:8" x14ac:dyDescent="0.25">
      <c r="A1837">
        <v>2020</v>
      </c>
      <c r="B1837">
        <v>7</v>
      </c>
      <c r="C1837" t="s">
        <v>29</v>
      </c>
      <c r="D1837">
        <v>26.535</v>
      </c>
      <c r="E1837">
        <v>-1.3</v>
      </c>
      <c r="F1837">
        <v>-0.34599999999999997</v>
      </c>
      <c r="H1837" s="4" t="str">
        <f t="array" aca="1" ref="H1837" ca="1">SUBSTITUTE(SUBSTITUTE(_xlfn.TEXTJOIN("",TRUE,IF(ISERR(MID(C1837,ROW(INDIRECT("1:100")),1)+0),MID(C1837,ROW(INDIRECT("1:100")),1),"")),")",""),"(","")</f>
        <v>Nondurables</v>
      </c>
    </row>
    <row r="1838" spans="1:8" x14ac:dyDescent="0.25">
      <c r="A1838">
        <v>2020</v>
      </c>
      <c r="B1838">
        <v>7</v>
      </c>
      <c r="C1838" t="s">
        <v>8</v>
      </c>
      <c r="D1838">
        <v>42.534999999999997</v>
      </c>
      <c r="E1838">
        <v>2</v>
      </c>
      <c r="F1838">
        <v>0.84099999999999997</v>
      </c>
      <c r="H1838" s="4" t="str">
        <f t="array" aca="1" ref="H1838" ca="1">SUBSTITUTE(SUBSTITUTE(_xlfn.TEXTJOIN("",TRUE,IF(ISERR(MID(C1838,ROW(INDIRECT("1:100")),1)+0),MID(C1838,ROW(INDIRECT("1:100")),1),"")),")",""),"(","")</f>
        <v>Housing</v>
      </c>
    </row>
    <row r="1839" spans="1:8" x14ac:dyDescent="0.25">
      <c r="A1839">
        <v>2020</v>
      </c>
      <c r="B1839">
        <v>7</v>
      </c>
      <c r="C1839" t="s">
        <v>30</v>
      </c>
      <c r="D1839">
        <v>6.7690000000000001</v>
      </c>
      <c r="E1839">
        <v>2.2999999999999998</v>
      </c>
      <c r="F1839">
        <v>0.154</v>
      </c>
      <c r="H1839" s="4" t="str">
        <f t="array" aca="1" ref="H1839" ca="1">SUBSTITUTE(SUBSTITUTE(_xlfn.TEXTJOIN("",TRUE,IF(ISERR(MID(C1839,ROW(INDIRECT("1:100")),1)+0),MID(C1839,ROW(INDIRECT("1:100")),1),"")),")",""),"(","")</f>
        <v>Education and communication</v>
      </c>
    </row>
    <row r="1840" spans="1:8" x14ac:dyDescent="0.25">
      <c r="A1840">
        <v>2020</v>
      </c>
      <c r="B1840">
        <v>7</v>
      </c>
      <c r="C1840" t="s">
        <v>31</v>
      </c>
      <c r="D1840">
        <v>5.8250000000000002</v>
      </c>
      <c r="E1840">
        <v>1</v>
      </c>
      <c r="F1840">
        <v>5.3999999999999999E-2</v>
      </c>
      <c r="H1840" s="4" t="str">
        <f t="array" aca="1" ref="H1840" ca="1">SUBSTITUTE(SUBSTITUTE(_xlfn.TEXTJOIN("",TRUE,IF(ISERR(MID(C1840,ROW(INDIRECT("1:100")),1)+0),MID(C1840,ROW(INDIRECT("1:100")),1),"")),")",""),"(","")</f>
        <v>Recreation</v>
      </c>
    </row>
    <row r="1841" spans="1:8" x14ac:dyDescent="0.25">
      <c r="A1841">
        <v>2020</v>
      </c>
      <c r="B1841">
        <v>7</v>
      </c>
      <c r="C1841" t="s">
        <v>6</v>
      </c>
      <c r="D1841">
        <v>15.295</v>
      </c>
      <c r="E1841">
        <v>3.9</v>
      </c>
      <c r="F1841">
        <v>0.57499999999999996</v>
      </c>
      <c r="H1841" s="4" t="str">
        <f t="array" aca="1" ref="H1841" ca="1">SUBSTITUTE(SUBSTITUTE(_xlfn.TEXTJOIN("",TRUE,IF(ISERR(MID(C1841,ROW(INDIRECT("1:100")),1)+0),MID(C1841,ROW(INDIRECT("1:100")),1),"")),")",""),"(","")</f>
        <v>Food and beverages</v>
      </c>
    </row>
    <row r="1842" spans="1:8" x14ac:dyDescent="0.25">
      <c r="A1842">
        <v>2020</v>
      </c>
      <c r="B1842">
        <v>7</v>
      </c>
      <c r="C1842" t="s">
        <v>32</v>
      </c>
      <c r="D1842">
        <v>11.744999999999999</v>
      </c>
      <c r="E1842">
        <v>2.7</v>
      </c>
      <c r="F1842">
        <v>0.307</v>
      </c>
      <c r="H1842" s="4" t="str">
        <f t="array" aca="1" ref="H1842" ca="1">SUBSTITUTE(SUBSTITUTE(_xlfn.TEXTJOIN("",TRUE,IF(ISERR(MID(C1842,ROW(INDIRECT("1:100")),1)+0),MID(C1842,ROW(INDIRECT("1:100")),1),"")),")",""),"(","")</f>
        <v>Other services</v>
      </c>
    </row>
    <row r="1843" spans="1:8" x14ac:dyDescent="0.25">
      <c r="A1843">
        <v>2020</v>
      </c>
      <c r="B1843">
        <v>7</v>
      </c>
      <c r="C1843" t="s">
        <v>33</v>
      </c>
      <c r="D1843">
        <v>2.0609999999999999</v>
      </c>
      <c r="E1843">
        <v>-7.4</v>
      </c>
      <c r="F1843">
        <v>-0.16600000000000001</v>
      </c>
      <c r="H1843" s="4" t="str">
        <f t="array" aca="1" ref="H1843" ca="1">SUBSTITUTE(SUBSTITUTE(_xlfn.TEXTJOIN("",TRUE,IF(ISERR(MID(C1843,ROW(INDIRECT("1:100")),1)+0),MID(C1843,ROW(INDIRECT("1:100")),1),"")),")",""),"(","")</f>
        <v>Apparel less footwear</v>
      </c>
    </row>
    <row r="1844" spans="1:8" x14ac:dyDescent="0.25">
      <c r="A1844">
        <v>2020</v>
      </c>
      <c r="B1844">
        <v>7</v>
      </c>
      <c r="C1844" t="s">
        <v>34</v>
      </c>
      <c r="D1844">
        <v>4.3879999999999999</v>
      </c>
      <c r="E1844">
        <v>0</v>
      </c>
      <c r="F1844">
        <v>-5.0000000000000001E-3</v>
      </c>
      <c r="H1844" s="4" t="str">
        <f t="array" aca="1" ref="H1844" ca="1">SUBSTITUTE(SUBSTITUTE(_xlfn.TEXTJOIN("",TRUE,IF(ISERR(MID(C1844,ROW(INDIRECT("1:100")),1)+0),MID(C1844,ROW(INDIRECT("1:100")),1),"")),")",""),"(","")</f>
        <v>Fuels and utilities</v>
      </c>
    </row>
    <row r="1845" spans="1:8" x14ac:dyDescent="0.25">
      <c r="A1845">
        <v>2020</v>
      </c>
      <c r="B1845">
        <v>7</v>
      </c>
      <c r="C1845" t="s">
        <v>11</v>
      </c>
      <c r="D1845">
        <v>8.9960000000000004</v>
      </c>
      <c r="E1845">
        <v>5</v>
      </c>
      <c r="F1845">
        <v>0.435</v>
      </c>
      <c r="H1845" s="4" t="str">
        <f t="array" aca="1" ref="H1845" ca="1">SUBSTITUTE(SUBSTITUTE(_xlfn.TEXTJOIN("",TRUE,IF(ISERR(MID(C1845,ROW(INDIRECT("1:100")),1)+0),MID(C1845,ROW(INDIRECT("1:100")),1),"")),")",""),"(","")</f>
        <v>Medical care</v>
      </c>
    </row>
    <row r="1846" spans="1:8" x14ac:dyDescent="0.25">
      <c r="A1846">
        <v>2020</v>
      </c>
      <c r="B1846">
        <v>7</v>
      </c>
      <c r="C1846" t="s">
        <v>7</v>
      </c>
      <c r="D1846">
        <v>14.72</v>
      </c>
      <c r="E1846">
        <v>-5.9</v>
      </c>
      <c r="F1846">
        <v>-0.96899999999999997</v>
      </c>
      <c r="H1846" s="4" t="str">
        <f t="array" aca="1" ref="H1846" ca="1">SUBSTITUTE(SUBSTITUTE(_xlfn.TEXTJOIN("",TRUE,IF(ISERR(MID(C1846,ROW(INDIRECT("1:100")),1)+0),MID(C1846,ROW(INDIRECT("1:100")),1),"")),")",""),"(","")</f>
        <v>Transportation</v>
      </c>
    </row>
    <row r="1847" spans="1:8" x14ac:dyDescent="0.25">
      <c r="A1847">
        <v>2020</v>
      </c>
      <c r="B1847">
        <v>7</v>
      </c>
      <c r="C1847" t="s">
        <v>35</v>
      </c>
      <c r="D1847">
        <v>8.8439999999999994</v>
      </c>
      <c r="E1847">
        <v>-0.2</v>
      </c>
      <c r="F1847">
        <v>-1.6E-2</v>
      </c>
      <c r="H1847" s="4" t="str">
        <f t="array" aca="1" ref="H1847" ca="1">SUBSTITUTE(SUBSTITUTE(_xlfn.TEXTJOIN("",TRUE,IF(ISERR(MID(C1847,ROW(INDIRECT("1:100")),1)+0),MID(C1847,ROW(INDIRECT("1:100")),1),"")),")",""),"(","")</f>
        <v>Utilities and public transportation</v>
      </c>
    </row>
    <row r="1848" spans="1:8" x14ac:dyDescent="0.25">
      <c r="A1848">
        <v>2020</v>
      </c>
      <c r="B1848">
        <v>7</v>
      </c>
      <c r="C1848" t="s">
        <v>36</v>
      </c>
      <c r="D1848">
        <v>4.68</v>
      </c>
      <c r="E1848">
        <v>1.5</v>
      </c>
      <c r="F1848">
        <v>7.3999999999999996E-2</v>
      </c>
      <c r="H1848" s="4" t="str">
        <f t="array" aca="1" ref="H1848" ca="1">SUBSTITUTE(SUBSTITUTE(_xlfn.TEXTJOIN("",TRUE,IF(ISERR(MID(C1848,ROW(INDIRECT("1:100")),1)+0),MID(C1848,ROW(INDIRECT("1:100")),1),"")),")",""),"(","")</f>
        <v>Household furnishings and operations</v>
      </c>
    </row>
    <row r="1849" spans="1:8" x14ac:dyDescent="0.25">
      <c r="A1849">
        <v>2020</v>
      </c>
      <c r="B1849">
        <v>7</v>
      </c>
      <c r="C1849" t="s">
        <v>12</v>
      </c>
      <c r="D1849">
        <v>3.1629999999999998</v>
      </c>
      <c r="E1849">
        <v>2.7</v>
      </c>
      <c r="F1849">
        <v>8.3000000000000004E-2</v>
      </c>
      <c r="H1849" s="4" t="str">
        <f t="array" aca="1" ref="H1849" ca="1">SUBSTITUTE(SUBSTITUTE(_xlfn.TEXTJOIN("",TRUE,IF(ISERR(MID(C1849,ROW(INDIRECT("1:100")),1)+0),MID(C1849,ROW(INDIRECT("1:100")),1),"")),")",""),"(","")</f>
        <v>Other goods and services</v>
      </c>
    </row>
    <row r="1850" spans="1:8" x14ac:dyDescent="0.25">
      <c r="A1850">
        <v>2020</v>
      </c>
      <c r="B1850">
        <v>8</v>
      </c>
      <c r="C1850" t="s">
        <v>14</v>
      </c>
      <c r="D1850">
        <v>100</v>
      </c>
      <c r="E1850">
        <v>1.3</v>
      </c>
      <c r="H1850" s="4" t="str">
        <f t="array" aca="1" ref="H1850" ca="1">SUBSTITUTE(SUBSTITUTE(_xlfn.TEXTJOIN("",TRUE,IF(ISERR(MID(C1850,ROW(INDIRECT("1:100")),1)+0),MID(C1850,ROW(INDIRECT("1:100")),1),"")),")",""),"(","")</f>
        <v>All items</v>
      </c>
    </row>
    <row r="1851" spans="1:8" x14ac:dyDescent="0.25">
      <c r="A1851">
        <v>2020</v>
      </c>
      <c r="B1851">
        <v>8</v>
      </c>
      <c r="C1851" t="s">
        <v>15</v>
      </c>
      <c r="D1851">
        <v>14.132999999999999</v>
      </c>
      <c r="E1851">
        <v>4.0999999999999996</v>
      </c>
      <c r="F1851">
        <v>0.56399999999999995</v>
      </c>
      <c r="H1851" s="4" t="str">
        <f t="array" aca="1" ref="H1851" ca="1">SUBSTITUTE(SUBSTITUTE(_xlfn.TEXTJOIN("",TRUE,IF(ISERR(MID(C1851,ROW(INDIRECT("1:100")),1)+0),MID(C1851,ROW(INDIRECT("1:100")),1),"")),")",""),"(","")</f>
        <v>Food</v>
      </c>
    </row>
    <row r="1852" spans="1:8" x14ac:dyDescent="0.25">
      <c r="A1852">
        <v>2020</v>
      </c>
      <c r="B1852">
        <v>8</v>
      </c>
      <c r="C1852" t="s">
        <v>16</v>
      </c>
      <c r="D1852">
        <v>6.1719999999999997</v>
      </c>
      <c r="E1852">
        <v>-9</v>
      </c>
      <c r="F1852">
        <v>-0.63200000000000001</v>
      </c>
      <c r="H1852" s="4" t="str">
        <f t="array" aca="1" ref="H1852" ca="1">SUBSTITUTE(SUBSTITUTE(_xlfn.TEXTJOIN("",TRUE,IF(ISERR(MID(C1852,ROW(INDIRECT("1:100")),1)+0),MID(C1852,ROW(INDIRECT("1:100")),1),"")),")",""),"(","")</f>
        <v>Energy</v>
      </c>
    </row>
    <row r="1853" spans="1:8" x14ac:dyDescent="0.25">
      <c r="A1853">
        <v>2020</v>
      </c>
      <c r="B1853">
        <v>8</v>
      </c>
      <c r="C1853" t="s">
        <v>17</v>
      </c>
      <c r="D1853">
        <v>79.694999999999993</v>
      </c>
      <c r="E1853">
        <v>1.7</v>
      </c>
      <c r="F1853">
        <v>1.3779999999999999</v>
      </c>
      <c r="H1853" s="4" t="str">
        <f t="array" aca="1" ref="H1853" ca="1">SUBSTITUTE(SUBSTITUTE(_xlfn.TEXTJOIN("",TRUE,IF(ISERR(MID(C1853,ROW(INDIRECT("1:100")),1)+0),MID(C1853,ROW(INDIRECT("1:100")),1),"")),")",""),"(","")</f>
        <v>All items less food and energy</v>
      </c>
    </row>
    <row r="1854" spans="1:8" x14ac:dyDescent="0.25">
      <c r="A1854">
        <v>2020</v>
      </c>
      <c r="B1854">
        <v>8</v>
      </c>
      <c r="C1854" t="s">
        <v>18</v>
      </c>
      <c r="H1854" s="4" t="str">
        <f t="array" aca="1" ref="H1854" ca="1">SUBSTITUTE(SUBSTITUTE(_xlfn.TEXTJOIN("",TRUE,IF(ISERR(MID(C1854,ROW(INDIRECT("1:100")),1)+0),MID(C1854,ROW(INDIRECT("1:100")),1),"")),")",""),"(","")</f>
        <v>Special aggregate indexes</v>
      </c>
    </row>
    <row r="1855" spans="1:8" x14ac:dyDescent="0.25">
      <c r="A1855">
        <v>2020</v>
      </c>
      <c r="B1855">
        <v>8</v>
      </c>
      <c r="C1855" t="s">
        <v>19</v>
      </c>
      <c r="D1855">
        <v>85.867000000000004</v>
      </c>
      <c r="E1855">
        <v>0.9</v>
      </c>
      <c r="F1855">
        <v>0.746</v>
      </c>
      <c r="H1855" s="4" t="str">
        <f t="array" aca="1" ref="H1855" ca="1">SUBSTITUTE(SUBSTITUTE(_xlfn.TEXTJOIN("",TRUE,IF(ISERR(MID(C1855,ROW(INDIRECT("1:100")),1)+0),MID(C1855,ROW(INDIRECT("1:100")),1),"")),")",""),"(","")</f>
        <v>All items less food</v>
      </c>
    </row>
    <row r="1856" spans="1:8" x14ac:dyDescent="0.25">
      <c r="A1856">
        <v>2020</v>
      </c>
      <c r="B1856">
        <v>8</v>
      </c>
      <c r="C1856" t="s">
        <v>20</v>
      </c>
      <c r="D1856">
        <v>66.622</v>
      </c>
      <c r="E1856">
        <v>0.8</v>
      </c>
      <c r="F1856">
        <v>0.55200000000000005</v>
      </c>
      <c r="H1856" s="4" t="str">
        <f t="array" aca="1" ref="H1856" ca="1">SUBSTITUTE(SUBSTITUTE(_xlfn.TEXTJOIN("",TRUE,IF(ISERR(MID(C1856,ROW(INDIRECT("1:100")),1)+0),MID(C1856,ROW(INDIRECT("1:100")),1),"")),")",""),"(","")</f>
        <v>All items less shelter</v>
      </c>
    </row>
    <row r="1857" spans="1:8" x14ac:dyDescent="0.25">
      <c r="A1857">
        <v>2020</v>
      </c>
      <c r="B1857">
        <v>8</v>
      </c>
      <c r="C1857" t="s">
        <v>21</v>
      </c>
      <c r="D1857">
        <v>52.49</v>
      </c>
      <c r="E1857">
        <v>0</v>
      </c>
      <c r="F1857">
        <v>-1.2E-2</v>
      </c>
      <c r="H1857" s="4" t="str">
        <f t="array" aca="1" ref="H1857" ca="1">SUBSTITUTE(SUBSTITUTE(_xlfn.TEXTJOIN("",TRUE,IF(ISERR(MID(C1857,ROW(INDIRECT("1:100")),1)+0),MID(C1857,ROW(INDIRECT("1:100")),1),"")),")",""),"(","")</f>
        <v>All items less food and shelter</v>
      </c>
    </row>
    <row r="1858" spans="1:8" x14ac:dyDescent="0.25">
      <c r="A1858">
        <v>2020</v>
      </c>
      <c r="B1858">
        <v>8</v>
      </c>
      <c r="C1858" t="s">
        <v>22</v>
      </c>
      <c r="D1858">
        <v>46.317</v>
      </c>
      <c r="E1858">
        <v>1.3</v>
      </c>
      <c r="F1858">
        <v>0.62</v>
      </c>
      <c r="H1858" s="4" t="str">
        <f t="array" aca="1" ref="H1858" ca="1">SUBSTITUTE(SUBSTITUTE(_xlfn.TEXTJOIN("",TRUE,IF(ISERR(MID(C1858,ROW(INDIRECT("1:100")),1)+0),MID(C1858,ROW(INDIRECT("1:100")),1),"")),")",""),"(","")</f>
        <v>All items less food, shelter, and energy</v>
      </c>
    </row>
    <row r="1859" spans="1:8" x14ac:dyDescent="0.25">
      <c r="A1859">
        <v>2020</v>
      </c>
      <c r="B1859">
        <v>8</v>
      </c>
      <c r="C1859" t="s">
        <v>23</v>
      </c>
      <c r="D1859">
        <v>43.725000000000001</v>
      </c>
      <c r="E1859">
        <v>1.2</v>
      </c>
      <c r="F1859">
        <v>0.504</v>
      </c>
      <c r="H1859" s="4" t="str">
        <f t="array" aca="1" ref="H1859" ca="1">SUBSTITUTE(SUBSTITUTE(_xlfn.TEXTJOIN("",TRUE,IF(ISERR(MID(C1859,ROW(INDIRECT("1:100")),1)+0),MID(C1859,ROW(INDIRECT("1:100")),1),"")),")",""),"(","")</f>
        <v>All items less food, shelter, energy, and used cars and trucks</v>
      </c>
    </row>
    <row r="1860" spans="1:8" x14ac:dyDescent="0.25">
      <c r="A1860">
        <v>2020</v>
      </c>
      <c r="B1860">
        <v>8</v>
      </c>
      <c r="C1860" t="s">
        <v>24</v>
      </c>
      <c r="D1860">
        <v>91.016000000000005</v>
      </c>
      <c r="E1860">
        <v>1</v>
      </c>
      <c r="F1860">
        <v>0.92100000000000004</v>
      </c>
      <c r="H1860" s="4" t="str">
        <f t="array" aca="1" ref="H1860" ca="1">SUBSTITUTE(SUBSTITUTE(_xlfn.TEXTJOIN("",TRUE,IF(ISERR(MID(C1860,ROW(INDIRECT("1:100")),1)+0),MID(C1860,ROW(INDIRECT("1:100")),1),"")),")",""),"(","")</f>
        <v>All items less medical care</v>
      </c>
    </row>
    <row r="1861" spans="1:8" x14ac:dyDescent="0.25">
      <c r="A1861">
        <v>2020</v>
      </c>
      <c r="B1861">
        <v>8</v>
      </c>
      <c r="C1861" t="s">
        <v>25</v>
      </c>
      <c r="D1861">
        <v>93.828000000000003</v>
      </c>
      <c r="E1861">
        <v>2.1</v>
      </c>
      <c r="F1861">
        <v>1.9419999999999999</v>
      </c>
      <c r="H1861" s="4" t="str">
        <f t="array" aca="1" ref="H1861" ca="1">SUBSTITUTE(SUBSTITUTE(_xlfn.TEXTJOIN("",TRUE,IF(ISERR(MID(C1861,ROW(INDIRECT("1:100")),1)+0),MID(C1861,ROW(INDIRECT("1:100")),1),"")),")",""),"(","")</f>
        <v>All items less energy</v>
      </c>
    </row>
    <row r="1862" spans="1:8" x14ac:dyDescent="0.25">
      <c r="A1862">
        <v>2020</v>
      </c>
      <c r="B1862">
        <v>8</v>
      </c>
      <c r="C1862" t="s">
        <v>26</v>
      </c>
      <c r="D1862">
        <v>37.24</v>
      </c>
      <c r="E1862">
        <v>0.1</v>
      </c>
      <c r="F1862">
        <v>3.5999999999999997E-2</v>
      </c>
      <c r="H1862" s="4" t="str">
        <f t="array" aca="1" ref="H1862" ca="1">SUBSTITUTE(SUBSTITUTE(_xlfn.TEXTJOIN("",TRUE,IF(ISERR(MID(C1862,ROW(INDIRECT("1:100")),1)+0),MID(C1862,ROW(INDIRECT("1:100")),1),"")),")",""),"(","")</f>
        <v>Commodities</v>
      </c>
    </row>
    <row r="1863" spans="1:8" x14ac:dyDescent="0.25">
      <c r="A1863">
        <v>2020</v>
      </c>
      <c r="B1863">
        <v>8</v>
      </c>
      <c r="C1863" t="s">
        <v>27</v>
      </c>
      <c r="D1863">
        <v>62.76</v>
      </c>
      <c r="E1863">
        <v>2</v>
      </c>
      <c r="F1863">
        <v>1.274</v>
      </c>
      <c r="H1863" s="4" t="str">
        <f t="array" aca="1" ref="H1863" ca="1">SUBSTITUTE(SUBSTITUTE(_xlfn.TEXTJOIN("",TRUE,IF(ISERR(MID(C1863,ROW(INDIRECT("1:100")),1)+0),MID(C1863,ROW(INDIRECT("1:100")),1),"")),")",""),"(","")</f>
        <v>Services</v>
      </c>
    </row>
    <row r="1864" spans="1:8" x14ac:dyDescent="0.25">
      <c r="A1864">
        <v>2020</v>
      </c>
      <c r="B1864">
        <v>8</v>
      </c>
      <c r="C1864" t="s">
        <v>28</v>
      </c>
      <c r="D1864">
        <v>10.750999999999999</v>
      </c>
      <c r="E1864">
        <v>1.6</v>
      </c>
      <c r="F1864">
        <v>0.185</v>
      </c>
      <c r="H1864" s="4" t="str">
        <f t="array" aca="1" ref="H1864" ca="1">SUBSTITUTE(SUBSTITUTE(_xlfn.TEXTJOIN("",TRUE,IF(ISERR(MID(C1864,ROW(INDIRECT("1:100")),1)+0),MID(C1864,ROW(INDIRECT("1:100")),1),"")),")",""),"(","")</f>
        <v>Durables</v>
      </c>
    </row>
    <row r="1865" spans="1:8" x14ac:dyDescent="0.25">
      <c r="A1865">
        <v>2020</v>
      </c>
      <c r="B1865">
        <v>8</v>
      </c>
      <c r="C1865" t="s">
        <v>29</v>
      </c>
      <c r="D1865">
        <v>26.489000000000001</v>
      </c>
      <c r="E1865">
        <v>-0.6</v>
      </c>
      <c r="F1865">
        <v>-0.14799999999999999</v>
      </c>
      <c r="H1865" s="4" t="str">
        <f t="array" aca="1" ref="H1865" ca="1">SUBSTITUTE(SUBSTITUTE(_xlfn.TEXTJOIN("",TRUE,IF(ISERR(MID(C1865,ROW(INDIRECT("1:100")),1)+0),MID(C1865,ROW(INDIRECT("1:100")),1),"")),")",""),"(","")</f>
        <v>Nondurables</v>
      </c>
    </row>
    <row r="1866" spans="1:8" x14ac:dyDescent="0.25">
      <c r="A1866">
        <v>2020</v>
      </c>
      <c r="B1866">
        <v>8</v>
      </c>
      <c r="C1866" t="s">
        <v>8</v>
      </c>
      <c r="D1866">
        <v>42.417000000000002</v>
      </c>
      <c r="E1866">
        <v>2.1</v>
      </c>
      <c r="F1866">
        <v>0.88200000000000001</v>
      </c>
      <c r="H1866" s="4" t="str">
        <f t="array" aca="1" ref="H1866" ca="1">SUBSTITUTE(SUBSTITUTE(_xlfn.TEXTJOIN("",TRUE,IF(ISERR(MID(C1866,ROW(INDIRECT("1:100")),1)+0),MID(C1866,ROW(INDIRECT("1:100")),1),"")),")",""),"(","")</f>
        <v>Housing</v>
      </c>
    </row>
    <row r="1867" spans="1:8" x14ac:dyDescent="0.25">
      <c r="A1867">
        <v>2020</v>
      </c>
      <c r="B1867">
        <v>8</v>
      </c>
      <c r="C1867" t="s">
        <v>30</v>
      </c>
      <c r="D1867">
        <v>6.8090000000000002</v>
      </c>
      <c r="E1867">
        <v>2.2999999999999998</v>
      </c>
      <c r="F1867">
        <v>0.153</v>
      </c>
      <c r="H1867" s="4" t="str">
        <f t="array" aca="1" ref="H1867" ca="1">SUBSTITUTE(SUBSTITUTE(_xlfn.TEXTJOIN("",TRUE,IF(ISERR(MID(C1867,ROW(INDIRECT("1:100")),1)+0),MID(C1867,ROW(INDIRECT("1:100")),1),"")),")",""),"(","")</f>
        <v>Education and communication</v>
      </c>
    </row>
    <row r="1868" spans="1:8" x14ac:dyDescent="0.25">
      <c r="A1868">
        <v>2020</v>
      </c>
      <c r="B1868">
        <v>8</v>
      </c>
      <c r="C1868" t="s">
        <v>31</v>
      </c>
      <c r="D1868">
        <v>5.7619999999999996</v>
      </c>
      <c r="E1868">
        <v>1.3</v>
      </c>
      <c r="F1868">
        <v>7.5999999999999998E-2</v>
      </c>
      <c r="H1868" s="4" t="str">
        <f t="array" aca="1" ref="H1868" ca="1">SUBSTITUTE(SUBSTITUTE(_xlfn.TEXTJOIN("",TRUE,IF(ISERR(MID(C1868,ROW(INDIRECT("1:100")),1)+0),MID(C1868,ROW(INDIRECT("1:100")),1),"")),")",""),"(","")</f>
        <v>Recreation</v>
      </c>
    </row>
    <row r="1869" spans="1:8" x14ac:dyDescent="0.25">
      <c r="A1869">
        <v>2020</v>
      </c>
      <c r="B1869">
        <v>8</v>
      </c>
      <c r="C1869" t="s">
        <v>6</v>
      </c>
      <c r="D1869">
        <v>15.166</v>
      </c>
      <c r="E1869">
        <v>4</v>
      </c>
      <c r="F1869">
        <v>0.58199999999999996</v>
      </c>
      <c r="H1869" s="4" t="str">
        <f t="array" aca="1" ref="H1869" ca="1">SUBSTITUTE(SUBSTITUTE(_xlfn.TEXTJOIN("",TRUE,IF(ISERR(MID(C1869,ROW(INDIRECT("1:100")),1)+0),MID(C1869,ROW(INDIRECT("1:100")),1),"")),")",""),"(","")</f>
        <v>Food and beverages</v>
      </c>
    </row>
    <row r="1870" spans="1:8" x14ac:dyDescent="0.25">
      <c r="A1870">
        <v>2020</v>
      </c>
      <c r="B1870">
        <v>8</v>
      </c>
      <c r="C1870" t="s">
        <v>32</v>
      </c>
      <c r="D1870">
        <v>11.726000000000001</v>
      </c>
      <c r="E1870">
        <v>2.7</v>
      </c>
      <c r="F1870">
        <v>0.309</v>
      </c>
      <c r="H1870" s="4" t="str">
        <f t="array" aca="1" ref="H1870" ca="1">SUBSTITUTE(SUBSTITUTE(_xlfn.TEXTJOIN("",TRUE,IF(ISERR(MID(C1870,ROW(INDIRECT("1:100")),1)+0),MID(C1870,ROW(INDIRECT("1:100")),1),"")),")",""),"(","")</f>
        <v>Other services</v>
      </c>
    </row>
    <row r="1871" spans="1:8" x14ac:dyDescent="0.25">
      <c r="A1871">
        <v>2020</v>
      </c>
      <c r="B1871">
        <v>8</v>
      </c>
      <c r="C1871" t="s">
        <v>33</v>
      </c>
      <c r="D1871">
        <v>2.0339999999999998</v>
      </c>
      <c r="E1871">
        <v>-6.5</v>
      </c>
      <c r="F1871">
        <v>-0.14899999999999999</v>
      </c>
      <c r="H1871" s="4" t="str">
        <f t="array" aca="1" ref="H1871" ca="1">SUBSTITUTE(SUBSTITUTE(_xlfn.TEXTJOIN("",TRUE,IF(ISERR(MID(C1871,ROW(INDIRECT("1:100")),1)+0),MID(C1871,ROW(INDIRECT("1:100")),1),"")),")",""),"(","")</f>
        <v>Apparel less footwear</v>
      </c>
    </row>
    <row r="1872" spans="1:8" x14ac:dyDescent="0.25">
      <c r="A1872">
        <v>2020</v>
      </c>
      <c r="B1872">
        <v>8</v>
      </c>
      <c r="C1872" t="s">
        <v>34</v>
      </c>
      <c r="D1872">
        <v>4.3730000000000002</v>
      </c>
      <c r="E1872">
        <v>0.2</v>
      </c>
      <c r="F1872">
        <v>5.0000000000000001E-3</v>
      </c>
      <c r="H1872" s="4" t="str">
        <f t="array" aca="1" ref="H1872" ca="1">SUBSTITUTE(SUBSTITUTE(_xlfn.TEXTJOIN("",TRUE,IF(ISERR(MID(C1872,ROW(INDIRECT("1:100")),1)+0),MID(C1872,ROW(INDIRECT("1:100")),1),"")),")",""),"(","")</f>
        <v>Fuels and utilities</v>
      </c>
    </row>
    <row r="1873" spans="1:8" x14ac:dyDescent="0.25">
      <c r="A1873">
        <v>2020</v>
      </c>
      <c r="B1873">
        <v>8</v>
      </c>
      <c r="C1873" t="s">
        <v>11</v>
      </c>
      <c r="D1873">
        <v>8.984</v>
      </c>
      <c r="E1873">
        <v>4.5</v>
      </c>
      <c r="F1873">
        <v>0.38900000000000001</v>
      </c>
      <c r="H1873" s="4" t="str">
        <f t="array" aca="1" ref="H1873" ca="1">SUBSTITUTE(SUBSTITUTE(_xlfn.TEXTJOIN("",TRUE,IF(ISERR(MID(C1873,ROW(INDIRECT("1:100")),1)+0),MID(C1873,ROW(INDIRECT("1:100")),1),"")),")",""),"(","")</f>
        <v>Medical care</v>
      </c>
    </row>
    <row r="1874" spans="1:8" x14ac:dyDescent="0.25">
      <c r="A1874">
        <v>2020</v>
      </c>
      <c r="B1874">
        <v>8</v>
      </c>
      <c r="C1874" t="s">
        <v>7</v>
      </c>
      <c r="D1874">
        <v>15.032</v>
      </c>
      <c r="E1874">
        <v>-4.0999999999999996</v>
      </c>
      <c r="F1874">
        <v>-0.66500000000000004</v>
      </c>
      <c r="H1874" s="4" t="str">
        <f t="array" aca="1" ref="H1874" ca="1">SUBSTITUTE(SUBSTITUTE(_xlfn.TEXTJOIN("",TRUE,IF(ISERR(MID(C1874,ROW(INDIRECT("1:100")),1)+0),MID(C1874,ROW(INDIRECT("1:100")),1),"")),")",""),"(","")</f>
        <v>Transportation</v>
      </c>
    </row>
    <row r="1875" spans="1:8" x14ac:dyDescent="0.25">
      <c r="A1875">
        <v>2020</v>
      </c>
      <c r="B1875">
        <v>8</v>
      </c>
      <c r="C1875" t="s">
        <v>35</v>
      </c>
      <c r="D1875">
        <v>8.8819999999999997</v>
      </c>
      <c r="E1875">
        <v>-0.2</v>
      </c>
      <c r="F1875">
        <v>-1.6E-2</v>
      </c>
      <c r="H1875" s="4" t="str">
        <f t="array" aca="1" ref="H1875" ca="1">SUBSTITUTE(SUBSTITUTE(_xlfn.TEXTJOIN("",TRUE,IF(ISERR(MID(C1875,ROW(INDIRECT("1:100")),1)+0),MID(C1875,ROW(INDIRECT("1:100")),1),"")),")",""),"(","")</f>
        <v>Utilities and public transportation</v>
      </c>
    </row>
    <row r="1876" spans="1:8" x14ac:dyDescent="0.25">
      <c r="A1876">
        <v>2020</v>
      </c>
      <c r="B1876">
        <v>8</v>
      </c>
      <c r="C1876" t="s">
        <v>36</v>
      </c>
      <c r="D1876">
        <v>4.6660000000000004</v>
      </c>
      <c r="E1876">
        <v>2.5</v>
      </c>
      <c r="F1876">
        <v>0.11899999999999999</v>
      </c>
      <c r="H1876" s="4" t="str">
        <f t="array" aca="1" ref="H1876" ca="1">SUBSTITUTE(SUBSTITUTE(_xlfn.TEXTJOIN("",TRUE,IF(ISERR(MID(C1876,ROW(INDIRECT("1:100")),1)+0),MID(C1876,ROW(INDIRECT("1:100")),1),"")),")",""),"(","")</f>
        <v>Household furnishings and operations</v>
      </c>
    </row>
    <row r="1877" spans="1:8" x14ac:dyDescent="0.25">
      <c r="A1877">
        <v>2020</v>
      </c>
      <c r="B1877">
        <v>8</v>
      </c>
      <c r="C1877" t="s">
        <v>12</v>
      </c>
      <c r="D1877">
        <v>3.1579999999999999</v>
      </c>
      <c r="E1877">
        <v>2.2000000000000002</v>
      </c>
      <c r="F1877">
        <v>6.8000000000000005E-2</v>
      </c>
      <c r="H1877" s="4" t="str">
        <f t="array" aca="1" ref="H1877" ca="1">SUBSTITUTE(SUBSTITUTE(_xlfn.TEXTJOIN("",TRUE,IF(ISERR(MID(C1877,ROW(INDIRECT("1:100")),1)+0),MID(C1877,ROW(INDIRECT("1:100")),1),"")),")",""),"(","")</f>
        <v>Other goods and services</v>
      </c>
    </row>
    <row r="1878" spans="1:8" x14ac:dyDescent="0.25">
      <c r="A1878">
        <v>2020</v>
      </c>
      <c r="B1878">
        <v>9</v>
      </c>
      <c r="C1878" t="s">
        <v>14</v>
      </c>
      <c r="D1878">
        <v>100</v>
      </c>
      <c r="E1878">
        <v>1.4</v>
      </c>
      <c r="H1878" s="4" t="str">
        <f t="array" aca="1" ref="H1878" ca="1">SUBSTITUTE(SUBSTITUTE(_xlfn.TEXTJOIN("",TRUE,IF(ISERR(MID(C1878,ROW(INDIRECT("1:100")),1)+0),MID(C1878,ROW(INDIRECT("1:100")),1),"")),")",""),"(","")</f>
        <v>All items</v>
      </c>
    </row>
    <row r="1879" spans="1:8" x14ac:dyDescent="0.25">
      <c r="A1879">
        <v>2020</v>
      </c>
      <c r="B1879">
        <v>9</v>
      </c>
      <c r="C1879" t="s">
        <v>15</v>
      </c>
      <c r="D1879">
        <v>14.1</v>
      </c>
      <c r="E1879">
        <v>3.9</v>
      </c>
      <c r="F1879">
        <v>0.54</v>
      </c>
      <c r="H1879" s="4" t="str">
        <f t="array" aca="1" ref="H1879" ca="1">SUBSTITUTE(SUBSTITUTE(_xlfn.TEXTJOIN("",TRUE,IF(ISERR(MID(C1879,ROW(INDIRECT("1:100")),1)+0),MID(C1879,ROW(INDIRECT("1:100")),1),"")),")",""),"(","")</f>
        <v>Food</v>
      </c>
    </row>
    <row r="1880" spans="1:8" x14ac:dyDescent="0.25">
      <c r="A1880">
        <v>2020</v>
      </c>
      <c r="B1880">
        <v>9</v>
      </c>
      <c r="C1880" t="s">
        <v>16</v>
      </c>
      <c r="D1880">
        <v>6.1440000000000001</v>
      </c>
      <c r="E1880">
        <v>-7.7</v>
      </c>
      <c r="F1880">
        <v>-0.53</v>
      </c>
      <c r="H1880" s="4" t="str">
        <f t="array" aca="1" ref="H1880" ca="1">SUBSTITUTE(SUBSTITUTE(_xlfn.TEXTJOIN("",TRUE,IF(ISERR(MID(C1880,ROW(INDIRECT("1:100")),1)+0),MID(C1880,ROW(INDIRECT("1:100")),1),"")),")",""),"(","")</f>
        <v>Energy</v>
      </c>
    </row>
    <row r="1881" spans="1:8" x14ac:dyDescent="0.25">
      <c r="A1881">
        <v>2020</v>
      </c>
      <c r="B1881">
        <v>9</v>
      </c>
      <c r="C1881" t="s">
        <v>17</v>
      </c>
      <c r="D1881">
        <v>79.757000000000005</v>
      </c>
      <c r="E1881">
        <v>1.7</v>
      </c>
      <c r="F1881">
        <v>1.361</v>
      </c>
      <c r="H1881" s="4" t="str">
        <f t="array" aca="1" ref="H1881" ca="1">SUBSTITUTE(SUBSTITUTE(_xlfn.TEXTJOIN("",TRUE,IF(ISERR(MID(C1881,ROW(INDIRECT("1:100")),1)+0),MID(C1881,ROW(INDIRECT("1:100")),1),"")),")",""),"(","")</f>
        <v>All items less food and energy</v>
      </c>
    </row>
    <row r="1882" spans="1:8" x14ac:dyDescent="0.25">
      <c r="A1882">
        <v>2020</v>
      </c>
      <c r="B1882">
        <v>9</v>
      </c>
      <c r="C1882" t="s">
        <v>18</v>
      </c>
      <c r="H1882" s="4" t="str">
        <f t="array" aca="1" ref="H1882" ca="1">SUBSTITUTE(SUBSTITUTE(_xlfn.TEXTJOIN("",TRUE,IF(ISERR(MID(C1882,ROW(INDIRECT("1:100")),1)+0),MID(C1882,ROW(INDIRECT("1:100")),1),"")),")",""),"(","")</f>
        <v>Special aggregate indexes</v>
      </c>
    </row>
    <row r="1883" spans="1:8" x14ac:dyDescent="0.25">
      <c r="A1883">
        <v>2020</v>
      </c>
      <c r="B1883">
        <v>9</v>
      </c>
      <c r="C1883" t="s">
        <v>19</v>
      </c>
      <c r="D1883">
        <v>85.9</v>
      </c>
      <c r="E1883">
        <v>1</v>
      </c>
      <c r="F1883">
        <v>0.83099999999999996</v>
      </c>
      <c r="H1883" s="4" t="str">
        <f t="array" aca="1" ref="H1883" ca="1">SUBSTITUTE(SUBSTITUTE(_xlfn.TEXTJOIN("",TRUE,IF(ISERR(MID(C1883,ROW(INDIRECT("1:100")),1)+0),MID(C1883,ROW(INDIRECT("1:100")),1),"")),")",""),"(","")</f>
        <v>All items less food</v>
      </c>
    </row>
    <row r="1884" spans="1:8" x14ac:dyDescent="0.25">
      <c r="A1884">
        <v>2020</v>
      </c>
      <c r="B1884">
        <v>9</v>
      </c>
      <c r="C1884" t="s">
        <v>20</v>
      </c>
      <c r="D1884">
        <v>66.685000000000002</v>
      </c>
      <c r="E1884">
        <v>1</v>
      </c>
      <c r="F1884">
        <v>0.69499999999999995</v>
      </c>
      <c r="H1884" s="4" t="str">
        <f t="array" aca="1" ref="H1884" ca="1">SUBSTITUTE(SUBSTITUTE(_xlfn.TEXTJOIN("",TRUE,IF(ISERR(MID(C1884,ROW(INDIRECT("1:100")),1)+0),MID(C1884,ROW(INDIRECT("1:100")),1),"")),")",""),"(","")</f>
        <v>All items less shelter</v>
      </c>
    </row>
    <row r="1885" spans="1:8" x14ac:dyDescent="0.25">
      <c r="A1885">
        <v>2020</v>
      </c>
      <c r="B1885">
        <v>9</v>
      </c>
      <c r="C1885" t="s">
        <v>21</v>
      </c>
      <c r="D1885">
        <v>52.585000000000001</v>
      </c>
      <c r="E1885">
        <v>0.3</v>
      </c>
      <c r="F1885">
        <v>0.154</v>
      </c>
      <c r="H1885" s="4" t="str">
        <f t="array" aca="1" ref="H1885" ca="1">SUBSTITUTE(SUBSTITUTE(_xlfn.TEXTJOIN("",TRUE,IF(ISERR(MID(C1885,ROW(INDIRECT("1:100")),1)+0),MID(C1885,ROW(INDIRECT("1:100")),1),"")),")",""),"(","")</f>
        <v>All items less food and shelter</v>
      </c>
    </row>
    <row r="1886" spans="1:8" x14ac:dyDescent="0.25">
      <c r="A1886">
        <v>2020</v>
      </c>
      <c r="B1886">
        <v>9</v>
      </c>
      <c r="C1886" t="s">
        <v>22</v>
      </c>
      <c r="D1886">
        <v>46.442</v>
      </c>
      <c r="E1886">
        <v>1.5</v>
      </c>
      <c r="F1886">
        <v>0.68400000000000005</v>
      </c>
      <c r="H1886" s="4" t="str">
        <f t="array" aca="1" ref="H1886" ca="1">SUBSTITUTE(SUBSTITUTE(_xlfn.TEXTJOIN("",TRUE,IF(ISERR(MID(C1886,ROW(INDIRECT("1:100")),1)+0),MID(C1886,ROW(INDIRECT("1:100")),1),"")),")",""),"(","")</f>
        <v>All items less food, shelter, and energy</v>
      </c>
    </row>
    <row r="1887" spans="1:8" x14ac:dyDescent="0.25">
      <c r="A1887">
        <v>2020</v>
      </c>
      <c r="B1887">
        <v>9</v>
      </c>
      <c r="C1887" t="s">
        <v>23</v>
      </c>
      <c r="D1887">
        <v>43.707000000000001</v>
      </c>
      <c r="E1887">
        <v>1</v>
      </c>
      <c r="F1887">
        <v>0.41899999999999998</v>
      </c>
      <c r="H1887" s="4" t="str">
        <f t="array" aca="1" ref="H1887" ca="1">SUBSTITUTE(SUBSTITUTE(_xlfn.TEXTJOIN("",TRUE,IF(ISERR(MID(C1887,ROW(INDIRECT("1:100")),1)+0),MID(C1887,ROW(INDIRECT("1:100")),1),"")),")",""),"(","")</f>
        <v>All items less food, shelter, energy, and used cars and trucks</v>
      </c>
    </row>
    <row r="1888" spans="1:8" x14ac:dyDescent="0.25">
      <c r="A1888">
        <v>2020</v>
      </c>
      <c r="B1888">
        <v>9</v>
      </c>
      <c r="C1888" t="s">
        <v>24</v>
      </c>
      <c r="D1888">
        <v>91.034000000000006</v>
      </c>
      <c r="E1888">
        <v>1.1000000000000001</v>
      </c>
      <c r="F1888">
        <v>1.006</v>
      </c>
      <c r="H1888" s="4" t="str">
        <f t="array" aca="1" ref="H1888" ca="1">SUBSTITUTE(SUBSTITUTE(_xlfn.TEXTJOIN("",TRUE,IF(ISERR(MID(C1888,ROW(INDIRECT("1:100")),1)+0),MID(C1888,ROW(INDIRECT("1:100")),1),"")),")",""),"(","")</f>
        <v>All items less medical care</v>
      </c>
    </row>
    <row r="1889" spans="1:8" x14ac:dyDescent="0.25">
      <c r="A1889">
        <v>2020</v>
      </c>
      <c r="B1889">
        <v>9</v>
      </c>
      <c r="C1889" t="s">
        <v>25</v>
      </c>
      <c r="D1889">
        <v>93.855999999999995</v>
      </c>
      <c r="E1889">
        <v>2</v>
      </c>
      <c r="F1889">
        <v>1.9019999999999999</v>
      </c>
      <c r="H1889" s="4" t="str">
        <f t="array" aca="1" ref="H1889" ca="1">SUBSTITUTE(SUBSTITUTE(_xlfn.TEXTJOIN("",TRUE,IF(ISERR(MID(C1889,ROW(INDIRECT("1:100")),1)+0),MID(C1889,ROW(INDIRECT("1:100")),1),"")),")",""),"(","")</f>
        <v>All items less energy</v>
      </c>
    </row>
    <row r="1890" spans="1:8" x14ac:dyDescent="0.25">
      <c r="A1890">
        <v>2020</v>
      </c>
      <c r="B1890">
        <v>9</v>
      </c>
      <c r="C1890" t="s">
        <v>26</v>
      </c>
      <c r="D1890">
        <v>37.372</v>
      </c>
      <c r="E1890">
        <v>0.5</v>
      </c>
      <c r="F1890">
        <v>0.19400000000000001</v>
      </c>
      <c r="H1890" s="4" t="str">
        <f t="array" aca="1" ref="H1890" ca="1">SUBSTITUTE(SUBSTITUTE(_xlfn.TEXTJOIN("",TRUE,IF(ISERR(MID(C1890,ROW(INDIRECT("1:100")),1)+0),MID(C1890,ROW(INDIRECT("1:100")),1),"")),")",""),"(","")</f>
        <v>Commodities</v>
      </c>
    </row>
    <row r="1891" spans="1:8" x14ac:dyDescent="0.25">
      <c r="A1891">
        <v>2020</v>
      </c>
      <c r="B1891">
        <v>9</v>
      </c>
      <c r="C1891" t="s">
        <v>27</v>
      </c>
      <c r="D1891">
        <v>62.628</v>
      </c>
      <c r="E1891">
        <v>1.9</v>
      </c>
      <c r="F1891">
        <v>1.177</v>
      </c>
      <c r="H1891" s="4" t="str">
        <f t="array" aca="1" ref="H1891" ca="1">SUBSTITUTE(SUBSTITUTE(_xlfn.TEXTJOIN("",TRUE,IF(ISERR(MID(C1891,ROW(INDIRECT("1:100")),1)+0),MID(C1891,ROW(INDIRECT("1:100")),1),"")),")",""),"(","")</f>
        <v>Services</v>
      </c>
    </row>
    <row r="1892" spans="1:8" x14ac:dyDescent="0.25">
      <c r="A1892">
        <v>2020</v>
      </c>
      <c r="B1892">
        <v>9</v>
      </c>
      <c r="C1892" t="s">
        <v>28</v>
      </c>
      <c r="D1892">
        <v>10.891999999999999</v>
      </c>
      <c r="E1892">
        <v>3</v>
      </c>
      <c r="F1892">
        <v>0.32500000000000001</v>
      </c>
      <c r="H1892" s="4" t="str">
        <f t="array" aca="1" ref="H1892" ca="1">SUBSTITUTE(SUBSTITUTE(_xlfn.TEXTJOIN("",TRUE,IF(ISERR(MID(C1892,ROW(INDIRECT("1:100")),1)+0),MID(C1892,ROW(INDIRECT("1:100")),1),"")),")",""),"(","")</f>
        <v>Durables</v>
      </c>
    </row>
    <row r="1893" spans="1:8" x14ac:dyDescent="0.25">
      <c r="A1893">
        <v>2020</v>
      </c>
      <c r="B1893">
        <v>9</v>
      </c>
      <c r="C1893" t="s">
        <v>29</v>
      </c>
      <c r="D1893">
        <v>26.48</v>
      </c>
      <c r="E1893">
        <v>-0.5</v>
      </c>
      <c r="F1893">
        <v>-0.13100000000000001</v>
      </c>
      <c r="H1893" s="4" t="str">
        <f t="array" aca="1" ref="H1893" ca="1">SUBSTITUTE(SUBSTITUTE(_xlfn.TEXTJOIN("",TRUE,IF(ISERR(MID(C1893,ROW(INDIRECT("1:100")),1)+0),MID(C1893,ROW(INDIRECT("1:100")),1),"")),")",""),"(","")</f>
        <v>Nondurables</v>
      </c>
    </row>
    <row r="1894" spans="1:8" x14ac:dyDescent="0.25">
      <c r="A1894">
        <v>2020</v>
      </c>
      <c r="B1894">
        <v>9</v>
      </c>
      <c r="C1894" t="s">
        <v>8</v>
      </c>
      <c r="D1894">
        <v>42.348999999999997</v>
      </c>
      <c r="E1894">
        <v>2</v>
      </c>
      <c r="F1894">
        <v>0.83199999999999996</v>
      </c>
      <c r="H1894" s="4" t="str">
        <f t="array" aca="1" ref="H1894" ca="1">SUBSTITUTE(SUBSTITUTE(_xlfn.TEXTJOIN("",TRUE,IF(ISERR(MID(C1894,ROW(INDIRECT("1:100")),1)+0),MID(C1894,ROW(INDIRECT("1:100")),1),"")),")",""),"(","")</f>
        <v>Housing</v>
      </c>
    </row>
    <row r="1895" spans="1:8" x14ac:dyDescent="0.25">
      <c r="A1895">
        <v>2020</v>
      </c>
      <c r="B1895">
        <v>9</v>
      </c>
      <c r="C1895" t="s">
        <v>30</v>
      </c>
      <c r="D1895">
        <v>6.8129999999999997</v>
      </c>
      <c r="E1895">
        <v>2.1</v>
      </c>
      <c r="F1895">
        <v>0.14399999999999999</v>
      </c>
      <c r="H1895" s="4" t="str">
        <f t="array" aca="1" ref="H1895" ca="1">SUBSTITUTE(SUBSTITUTE(_xlfn.TEXTJOIN("",TRUE,IF(ISERR(MID(C1895,ROW(INDIRECT("1:100")),1)+0),MID(C1895,ROW(INDIRECT("1:100")),1),"")),")",""),"(","")</f>
        <v>Education and communication</v>
      </c>
    </row>
    <row r="1896" spans="1:8" x14ac:dyDescent="0.25">
      <c r="A1896">
        <v>2020</v>
      </c>
      <c r="B1896">
        <v>9</v>
      </c>
      <c r="C1896" t="s">
        <v>31</v>
      </c>
      <c r="D1896">
        <v>5.78</v>
      </c>
      <c r="E1896">
        <v>1.5</v>
      </c>
      <c r="F1896">
        <v>8.5999999999999993E-2</v>
      </c>
      <c r="H1896" s="4" t="str">
        <f t="array" aca="1" ref="H1896" ca="1">SUBSTITUTE(SUBSTITUTE(_xlfn.TEXTJOIN("",TRUE,IF(ISERR(MID(C1896,ROW(INDIRECT("1:100")),1)+0),MID(C1896,ROW(INDIRECT("1:100")),1),"")),")",""),"(","")</f>
        <v>Recreation</v>
      </c>
    </row>
    <row r="1897" spans="1:8" x14ac:dyDescent="0.25">
      <c r="A1897">
        <v>2020</v>
      </c>
      <c r="B1897">
        <v>9</v>
      </c>
      <c r="C1897" t="s">
        <v>6</v>
      </c>
      <c r="D1897">
        <v>15.132999999999999</v>
      </c>
      <c r="E1897">
        <v>3.8</v>
      </c>
      <c r="F1897">
        <v>0.55900000000000005</v>
      </c>
      <c r="H1897" s="4" t="str">
        <f t="array" aca="1" ref="H1897" ca="1">SUBSTITUTE(SUBSTITUTE(_xlfn.TEXTJOIN("",TRUE,IF(ISERR(MID(C1897,ROW(INDIRECT("1:100")),1)+0),MID(C1897,ROW(INDIRECT("1:100")),1),"")),")",""),"(","")</f>
        <v>Food and beverages</v>
      </c>
    </row>
    <row r="1898" spans="1:8" x14ac:dyDescent="0.25">
      <c r="A1898">
        <v>2020</v>
      </c>
      <c r="B1898">
        <v>9</v>
      </c>
      <c r="C1898" t="s">
        <v>32</v>
      </c>
      <c r="D1898">
        <v>11.73</v>
      </c>
      <c r="E1898">
        <v>2.8</v>
      </c>
      <c r="F1898">
        <v>0.32700000000000001</v>
      </c>
      <c r="H1898" s="4" t="str">
        <f t="array" aca="1" ref="H1898" ca="1">SUBSTITUTE(SUBSTITUTE(_xlfn.TEXTJOIN("",TRUE,IF(ISERR(MID(C1898,ROW(INDIRECT("1:100")),1)+0),MID(C1898,ROW(INDIRECT("1:100")),1),"")),")",""),"(","")</f>
        <v>Other services</v>
      </c>
    </row>
    <row r="1899" spans="1:8" x14ac:dyDescent="0.25">
      <c r="A1899">
        <v>2020</v>
      </c>
      <c r="B1899">
        <v>9</v>
      </c>
      <c r="C1899" t="s">
        <v>33</v>
      </c>
      <c r="D1899">
        <v>2.0670000000000002</v>
      </c>
      <c r="E1899">
        <v>-6.3</v>
      </c>
      <c r="F1899">
        <v>-0.151</v>
      </c>
      <c r="H1899" s="4" t="str">
        <f t="array" aca="1" ref="H1899" ca="1">SUBSTITUTE(SUBSTITUTE(_xlfn.TEXTJOIN("",TRUE,IF(ISERR(MID(C1899,ROW(INDIRECT("1:100")),1)+0),MID(C1899,ROW(INDIRECT("1:100")),1),"")),")",""),"(","")</f>
        <v>Apparel less footwear</v>
      </c>
    </row>
    <row r="1900" spans="1:8" x14ac:dyDescent="0.25">
      <c r="A1900">
        <v>2020</v>
      </c>
      <c r="B1900">
        <v>9</v>
      </c>
      <c r="C1900" t="s">
        <v>34</v>
      </c>
      <c r="D1900">
        <v>4.3559999999999999</v>
      </c>
      <c r="E1900">
        <v>1.2</v>
      </c>
      <c r="F1900">
        <v>4.9000000000000002E-2</v>
      </c>
      <c r="H1900" s="4" t="str">
        <f t="array" aca="1" ref="H1900" ca="1">SUBSTITUTE(SUBSTITUTE(_xlfn.TEXTJOIN("",TRUE,IF(ISERR(MID(C1900,ROW(INDIRECT("1:100")),1)+0),MID(C1900,ROW(INDIRECT("1:100")),1),"")),")",""),"(","")</f>
        <v>Fuels and utilities</v>
      </c>
    </row>
    <row r="1901" spans="1:8" x14ac:dyDescent="0.25">
      <c r="A1901">
        <v>2020</v>
      </c>
      <c r="B1901">
        <v>9</v>
      </c>
      <c r="C1901" t="s">
        <v>11</v>
      </c>
      <c r="D1901">
        <v>8.9659999999999993</v>
      </c>
      <c r="E1901">
        <v>4.2</v>
      </c>
      <c r="F1901">
        <v>0.36599999999999999</v>
      </c>
      <c r="H1901" s="4" t="str">
        <f t="array" aca="1" ref="H1901" ca="1">SUBSTITUTE(SUBSTITUTE(_xlfn.TEXTJOIN("",TRUE,IF(ISERR(MID(C1901,ROW(INDIRECT("1:100")),1)+0),MID(C1901,ROW(INDIRECT("1:100")),1),"")),")",""),"(","")</f>
        <v>Medical care</v>
      </c>
    </row>
    <row r="1902" spans="1:8" x14ac:dyDescent="0.25">
      <c r="A1902">
        <v>2020</v>
      </c>
      <c r="B1902">
        <v>9</v>
      </c>
      <c r="C1902" t="s">
        <v>7</v>
      </c>
      <c r="D1902">
        <v>15.105</v>
      </c>
      <c r="E1902">
        <v>-3.2</v>
      </c>
      <c r="F1902">
        <v>-0.504</v>
      </c>
      <c r="H1902" s="4" t="str">
        <f t="array" aca="1" ref="H1902" ca="1">SUBSTITUTE(SUBSTITUTE(_xlfn.TEXTJOIN("",TRUE,IF(ISERR(MID(C1902,ROW(INDIRECT("1:100")),1)+0),MID(C1902,ROW(INDIRECT("1:100")),1),"")),")",""),"(","")</f>
        <v>Transportation</v>
      </c>
    </row>
    <row r="1903" spans="1:8" x14ac:dyDescent="0.25">
      <c r="A1903">
        <v>2020</v>
      </c>
      <c r="B1903">
        <v>9</v>
      </c>
      <c r="C1903" t="s">
        <v>35</v>
      </c>
      <c r="D1903">
        <v>8.8350000000000009</v>
      </c>
      <c r="E1903">
        <v>0.5</v>
      </c>
      <c r="F1903">
        <v>4.1000000000000002E-2</v>
      </c>
      <c r="H1903" s="4" t="str">
        <f t="array" aca="1" ref="H1903" ca="1">SUBSTITUTE(SUBSTITUTE(_xlfn.TEXTJOIN("",TRUE,IF(ISERR(MID(C1903,ROW(INDIRECT("1:100")),1)+0),MID(C1903,ROW(INDIRECT("1:100")),1),"")),")",""),"(","")</f>
        <v>Utilities and public transportation</v>
      </c>
    </row>
    <row r="1904" spans="1:8" x14ac:dyDescent="0.25">
      <c r="A1904">
        <v>2020</v>
      </c>
      <c r="B1904">
        <v>9</v>
      </c>
      <c r="C1904" t="s">
        <v>36</v>
      </c>
      <c r="D1904">
        <v>4.6779999999999999</v>
      </c>
      <c r="E1904">
        <v>2.2000000000000002</v>
      </c>
      <c r="F1904">
        <v>0.106</v>
      </c>
      <c r="H1904" s="4" t="str">
        <f t="array" aca="1" ref="H1904" ca="1">SUBSTITUTE(SUBSTITUTE(_xlfn.TEXTJOIN("",TRUE,IF(ISERR(MID(C1904,ROW(INDIRECT("1:100")),1)+0),MID(C1904,ROW(INDIRECT("1:100")),1),"")),")",""),"(","")</f>
        <v>Household furnishings and operations</v>
      </c>
    </row>
    <row r="1905" spans="1:8" x14ac:dyDescent="0.25">
      <c r="A1905">
        <v>2020</v>
      </c>
      <c r="B1905">
        <v>9</v>
      </c>
      <c r="C1905" t="s">
        <v>12</v>
      </c>
      <c r="D1905">
        <v>3.1419999999999999</v>
      </c>
      <c r="E1905">
        <v>2.2999999999999998</v>
      </c>
      <c r="F1905">
        <v>7.1999999999999995E-2</v>
      </c>
      <c r="H1905" s="4" t="str">
        <f t="array" aca="1" ref="H1905" ca="1">SUBSTITUTE(SUBSTITUTE(_xlfn.TEXTJOIN("",TRUE,IF(ISERR(MID(C1905,ROW(INDIRECT("1:100")),1)+0),MID(C1905,ROW(INDIRECT("1:100")),1),"")),")",""),"(","")</f>
        <v>Other goods and services</v>
      </c>
    </row>
    <row r="1906" spans="1:8" x14ac:dyDescent="0.25">
      <c r="A1906">
        <v>2020</v>
      </c>
      <c r="B1906">
        <v>10</v>
      </c>
      <c r="C1906" t="s">
        <v>14</v>
      </c>
      <c r="D1906">
        <v>100</v>
      </c>
      <c r="E1906">
        <v>1.2</v>
      </c>
      <c r="H1906" s="4" t="str">
        <f t="array" aca="1" ref="H1906" ca="1">SUBSTITUTE(SUBSTITUTE(_xlfn.TEXTJOIN("",TRUE,IF(ISERR(MID(C1906,ROW(INDIRECT("1:100")),1)+0),MID(C1906,ROW(INDIRECT("1:100")),1),"")),")",""),"(","")</f>
        <v>All items</v>
      </c>
    </row>
    <row r="1907" spans="1:8" x14ac:dyDescent="0.25">
      <c r="A1907">
        <v>2020</v>
      </c>
      <c r="B1907">
        <v>10</v>
      </c>
      <c r="C1907" t="s">
        <v>15</v>
      </c>
      <c r="D1907">
        <v>14.084</v>
      </c>
      <c r="E1907">
        <v>3.9</v>
      </c>
      <c r="F1907">
        <v>0.53900000000000003</v>
      </c>
      <c r="H1907" s="4" t="str">
        <f t="array" aca="1" ref="H1907" ca="1">SUBSTITUTE(SUBSTITUTE(_xlfn.TEXTJOIN("",TRUE,IF(ISERR(MID(C1907,ROW(INDIRECT("1:100")),1)+0),MID(C1907,ROW(INDIRECT("1:100")),1),"")),")",""),"(","")</f>
        <v>Food</v>
      </c>
    </row>
    <row r="1908" spans="1:8" x14ac:dyDescent="0.25">
      <c r="A1908">
        <v>2020</v>
      </c>
      <c r="B1908">
        <v>10</v>
      </c>
      <c r="C1908" t="s">
        <v>16</v>
      </c>
      <c r="D1908">
        <v>6.1820000000000004</v>
      </c>
      <c r="E1908">
        <v>-9.1999999999999993</v>
      </c>
      <c r="F1908">
        <v>-0.63700000000000001</v>
      </c>
      <c r="H1908" s="4" t="str">
        <f t="array" aca="1" ref="H1908" ca="1">SUBSTITUTE(SUBSTITUTE(_xlfn.TEXTJOIN("",TRUE,IF(ISERR(MID(C1908,ROW(INDIRECT("1:100")),1)+0),MID(C1908,ROW(INDIRECT("1:100")),1),"")),")",""),"(","")</f>
        <v>Energy</v>
      </c>
    </row>
    <row r="1909" spans="1:8" x14ac:dyDescent="0.25">
      <c r="A1909">
        <v>2020</v>
      </c>
      <c r="B1909">
        <v>10</v>
      </c>
      <c r="C1909" t="s">
        <v>17</v>
      </c>
      <c r="D1909">
        <v>79.733999999999995</v>
      </c>
      <c r="E1909">
        <v>1.6</v>
      </c>
      <c r="F1909">
        <v>1.28</v>
      </c>
      <c r="H1909" s="4" t="str">
        <f t="array" aca="1" ref="H1909" ca="1">SUBSTITUTE(SUBSTITUTE(_xlfn.TEXTJOIN("",TRUE,IF(ISERR(MID(C1909,ROW(INDIRECT("1:100")),1)+0),MID(C1909,ROW(INDIRECT("1:100")),1),"")),")",""),"(","")</f>
        <v>All items less food and energy</v>
      </c>
    </row>
    <row r="1910" spans="1:8" x14ac:dyDescent="0.25">
      <c r="A1910">
        <v>2020</v>
      </c>
      <c r="B1910">
        <v>10</v>
      </c>
      <c r="C1910" t="s">
        <v>18</v>
      </c>
      <c r="H1910" s="4" t="str">
        <f t="array" aca="1" ref="H1910" ca="1">SUBSTITUTE(SUBSTITUTE(_xlfn.TEXTJOIN("",TRUE,IF(ISERR(MID(C1910,ROW(INDIRECT("1:100")),1)+0),MID(C1910,ROW(INDIRECT("1:100")),1),"")),")",""),"(","")</f>
        <v>Special aggregate indexes</v>
      </c>
    </row>
    <row r="1911" spans="1:8" x14ac:dyDescent="0.25">
      <c r="A1911">
        <v>2020</v>
      </c>
      <c r="B1911">
        <v>10</v>
      </c>
      <c r="C1911" t="s">
        <v>19</v>
      </c>
      <c r="D1911">
        <v>85.915999999999997</v>
      </c>
      <c r="E1911">
        <v>0.7</v>
      </c>
      <c r="F1911">
        <v>0.64300000000000002</v>
      </c>
      <c r="H1911" s="4" t="str">
        <f t="array" aca="1" ref="H1911" ca="1">SUBSTITUTE(SUBSTITUTE(_xlfn.TEXTJOIN("",TRUE,IF(ISERR(MID(C1911,ROW(INDIRECT("1:100")),1)+0),MID(C1911,ROW(INDIRECT("1:100")),1),"")),")",""),"(","")</f>
        <v>All items less food</v>
      </c>
    </row>
    <row r="1912" spans="1:8" x14ac:dyDescent="0.25">
      <c r="A1912">
        <v>2020</v>
      </c>
      <c r="B1912">
        <v>10</v>
      </c>
      <c r="C1912" t="s">
        <v>20</v>
      </c>
      <c r="D1912">
        <v>66.718999999999994</v>
      </c>
      <c r="E1912">
        <v>0.8</v>
      </c>
      <c r="F1912">
        <v>0.51100000000000001</v>
      </c>
      <c r="H1912" s="4" t="str">
        <f t="array" aca="1" ref="H1912" ca="1">SUBSTITUTE(SUBSTITUTE(_xlfn.TEXTJOIN("",TRUE,IF(ISERR(MID(C1912,ROW(INDIRECT("1:100")),1)+0),MID(C1912,ROW(INDIRECT("1:100")),1),"")),")",""),"(","")</f>
        <v>All items less shelter</v>
      </c>
    </row>
    <row r="1913" spans="1:8" x14ac:dyDescent="0.25">
      <c r="A1913">
        <v>2020</v>
      </c>
      <c r="B1913">
        <v>10</v>
      </c>
      <c r="C1913" t="s">
        <v>21</v>
      </c>
      <c r="D1913">
        <v>52.634999999999998</v>
      </c>
      <c r="E1913">
        <v>-0.1</v>
      </c>
      <c r="F1913">
        <v>-2.8000000000000001E-2</v>
      </c>
      <c r="H1913" s="4" t="str">
        <f t="array" aca="1" ref="H1913" ca="1">SUBSTITUTE(SUBSTITUTE(_xlfn.TEXTJOIN("",TRUE,IF(ISERR(MID(C1913,ROW(INDIRECT("1:100")),1)+0),MID(C1913,ROW(INDIRECT("1:100")),1),"")),")",""),"(","")</f>
        <v>All items less food and shelter</v>
      </c>
    </row>
    <row r="1914" spans="1:8" x14ac:dyDescent="0.25">
      <c r="A1914">
        <v>2020</v>
      </c>
      <c r="B1914">
        <v>10</v>
      </c>
      <c r="C1914" t="s">
        <v>22</v>
      </c>
      <c r="D1914">
        <v>46.453000000000003</v>
      </c>
      <c r="E1914">
        <v>1.3</v>
      </c>
      <c r="F1914">
        <v>0.60799999999999998</v>
      </c>
      <c r="H1914" s="4" t="str">
        <f t="array" aca="1" ref="H1914" ca="1">SUBSTITUTE(SUBSTITUTE(_xlfn.TEXTJOIN("",TRUE,IF(ISERR(MID(C1914,ROW(INDIRECT("1:100")),1)+0),MID(C1914,ROW(INDIRECT("1:100")),1),"")),")",""),"(","")</f>
        <v>All items less food, shelter, and energy</v>
      </c>
    </row>
    <row r="1915" spans="1:8" x14ac:dyDescent="0.25">
      <c r="A1915">
        <v>2020</v>
      </c>
      <c r="B1915">
        <v>10</v>
      </c>
      <c r="C1915" t="s">
        <v>23</v>
      </c>
      <c r="D1915">
        <v>43.664999999999999</v>
      </c>
      <c r="E1915">
        <v>0.7</v>
      </c>
      <c r="F1915">
        <v>0.312</v>
      </c>
      <c r="H1915" s="4" t="str">
        <f t="array" aca="1" ref="H1915" ca="1">SUBSTITUTE(SUBSTITUTE(_xlfn.TEXTJOIN("",TRUE,IF(ISERR(MID(C1915,ROW(INDIRECT("1:100")),1)+0),MID(C1915,ROW(INDIRECT("1:100")),1),"")),")",""),"(","")</f>
        <v>All items less food, shelter, energy, and used cars and trucks</v>
      </c>
    </row>
    <row r="1916" spans="1:8" x14ac:dyDescent="0.25">
      <c r="A1916">
        <v>2020</v>
      </c>
      <c r="B1916">
        <v>10</v>
      </c>
      <c r="C1916" t="s">
        <v>24</v>
      </c>
      <c r="D1916">
        <v>91.06</v>
      </c>
      <c r="E1916">
        <v>1</v>
      </c>
      <c r="F1916">
        <v>0.92900000000000005</v>
      </c>
      <c r="H1916" s="4" t="str">
        <f t="array" aca="1" ref="H1916" ca="1">SUBSTITUTE(SUBSTITUTE(_xlfn.TEXTJOIN("",TRUE,IF(ISERR(MID(C1916,ROW(INDIRECT("1:100")),1)+0),MID(C1916,ROW(INDIRECT("1:100")),1),"")),")",""),"(","")</f>
        <v>All items less medical care</v>
      </c>
    </row>
    <row r="1917" spans="1:8" x14ac:dyDescent="0.25">
      <c r="A1917">
        <v>2020</v>
      </c>
      <c r="B1917">
        <v>10</v>
      </c>
      <c r="C1917" t="s">
        <v>25</v>
      </c>
      <c r="D1917">
        <v>93.817999999999998</v>
      </c>
      <c r="E1917">
        <v>2</v>
      </c>
      <c r="F1917">
        <v>1.819</v>
      </c>
      <c r="H1917" s="4" t="str">
        <f t="array" aca="1" ref="H1917" ca="1">SUBSTITUTE(SUBSTITUTE(_xlfn.TEXTJOIN("",TRUE,IF(ISERR(MID(C1917,ROW(INDIRECT("1:100")),1)+0),MID(C1917,ROW(INDIRECT("1:100")),1),"")),")",""),"(","")</f>
        <v>All items less energy</v>
      </c>
    </row>
    <row r="1918" spans="1:8" x14ac:dyDescent="0.25">
      <c r="A1918">
        <v>2020</v>
      </c>
      <c r="B1918">
        <v>10</v>
      </c>
      <c r="C1918" t="s">
        <v>26</v>
      </c>
      <c r="D1918">
        <v>37.441000000000003</v>
      </c>
      <c r="E1918">
        <v>0.3</v>
      </c>
      <c r="F1918">
        <v>0.108</v>
      </c>
      <c r="H1918" s="4" t="str">
        <f t="array" aca="1" ref="H1918" ca="1">SUBSTITUTE(SUBSTITUTE(_xlfn.TEXTJOIN("",TRUE,IF(ISERR(MID(C1918,ROW(INDIRECT("1:100")),1)+0),MID(C1918,ROW(INDIRECT("1:100")),1),"")),")",""),"(","")</f>
        <v>Commodities</v>
      </c>
    </row>
    <row r="1919" spans="1:8" x14ac:dyDescent="0.25">
      <c r="A1919">
        <v>2020</v>
      </c>
      <c r="B1919">
        <v>10</v>
      </c>
      <c r="C1919" t="s">
        <v>27</v>
      </c>
      <c r="D1919">
        <v>62.558999999999997</v>
      </c>
      <c r="E1919">
        <v>1.7</v>
      </c>
      <c r="F1919">
        <v>1.0740000000000001</v>
      </c>
      <c r="H1919" s="4" t="str">
        <f t="array" aca="1" ref="H1919" ca="1">SUBSTITUTE(SUBSTITUTE(_xlfn.TEXTJOIN("",TRUE,IF(ISERR(MID(C1919,ROW(INDIRECT("1:100")),1)+0),MID(C1919,ROW(INDIRECT("1:100")),1),"")),")",""),"(","")</f>
        <v>Services</v>
      </c>
    </row>
    <row r="1920" spans="1:8" x14ac:dyDescent="0.25">
      <c r="A1920">
        <v>2020</v>
      </c>
      <c r="B1920">
        <v>10</v>
      </c>
      <c r="C1920" t="s">
        <v>28</v>
      </c>
      <c r="D1920">
        <v>10.928000000000001</v>
      </c>
      <c r="E1920">
        <v>3.4</v>
      </c>
      <c r="F1920">
        <v>0.371</v>
      </c>
      <c r="H1920" s="4" t="str">
        <f t="array" aca="1" ref="H1920" ca="1">SUBSTITUTE(SUBSTITUTE(_xlfn.TEXTJOIN("",TRUE,IF(ISERR(MID(C1920,ROW(INDIRECT("1:100")),1)+0),MID(C1920,ROW(INDIRECT("1:100")),1),"")),")",""),"(","")</f>
        <v>Durables</v>
      </c>
    </row>
    <row r="1921" spans="1:8" x14ac:dyDescent="0.25">
      <c r="A1921">
        <v>2020</v>
      </c>
      <c r="B1921">
        <v>10</v>
      </c>
      <c r="C1921" t="s">
        <v>29</v>
      </c>
      <c r="D1921">
        <v>26.513999999999999</v>
      </c>
      <c r="E1921">
        <v>-1</v>
      </c>
      <c r="F1921">
        <v>-0.26300000000000001</v>
      </c>
      <c r="H1921" s="4" t="str">
        <f t="array" aca="1" ref="H1921" ca="1">SUBSTITUTE(SUBSTITUTE(_xlfn.TEXTJOIN("",TRUE,IF(ISERR(MID(C1921,ROW(INDIRECT("1:100")),1)+0),MID(C1921,ROW(INDIRECT("1:100")),1),"")),")",""),"(","")</f>
        <v>Nondurables</v>
      </c>
    </row>
    <row r="1922" spans="1:8" x14ac:dyDescent="0.25">
      <c r="A1922">
        <v>2020</v>
      </c>
      <c r="B1922">
        <v>10</v>
      </c>
      <c r="C1922" t="s">
        <v>8</v>
      </c>
      <c r="D1922">
        <v>42.328000000000003</v>
      </c>
      <c r="E1922">
        <v>1.9</v>
      </c>
      <c r="F1922">
        <v>0.81899999999999995</v>
      </c>
      <c r="H1922" s="4" t="str">
        <f t="array" aca="1" ref="H1922" ca="1">SUBSTITUTE(SUBSTITUTE(_xlfn.TEXTJOIN("",TRUE,IF(ISERR(MID(C1922,ROW(INDIRECT("1:100")),1)+0),MID(C1922,ROW(INDIRECT("1:100")),1),"")),")",""),"(","")</f>
        <v>Housing</v>
      </c>
    </row>
    <row r="1923" spans="1:8" x14ac:dyDescent="0.25">
      <c r="A1923">
        <v>2020</v>
      </c>
      <c r="B1923">
        <v>10</v>
      </c>
      <c r="C1923" t="s">
        <v>30</v>
      </c>
      <c r="D1923">
        <v>6.806</v>
      </c>
      <c r="E1923">
        <v>2.1</v>
      </c>
      <c r="F1923">
        <v>0.14299999999999999</v>
      </c>
      <c r="H1923" s="4" t="str">
        <f t="array" aca="1" ref="H1923" ca="1">SUBSTITUTE(SUBSTITUTE(_xlfn.TEXTJOIN("",TRUE,IF(ISERR(MID(C1923,ROW(INDIRECT("1:100")),1)+0),MID(C1923,ROW(INDIRECT("1:100")),1),"")),")",""),"(","")</f>
        <v>Education and communication</v>
      </c>
    </row>
    <row r="1924" spans="1:8" x14ac:dyDescent="0.25">
      <c r="A1924">
        <v>2020</v>
      </c>
      <c r="B1924">
        <v>10</v>
      </c>
      <c r="C1924" t="s">
        <v>31</v>
      </c>
      <c r="D1924">
        <v>5.7770000000000001</v>
      </c>
      <c r="E1924">
        <v>1.3</v>
      </c>
      <c r="F1924">
        <v>7.5999999999999998E-2</v>
      </c>
      <c r="H1924" s="4" t="str">
        <f t="array" aca="1" ref="H1924" ca="1">SUBSTITUTE(SUBSTITUTE(_xlfn.TEXTJOIN("",TRUE,IF(ISERR(MID(C1924,ROW(INDIRECT("1:100")),1)+0),MID(C1924,ROW(INDIRECT("1:100")),1),"")),")",""),"(","")</f>
        <v>Recreation</v>
      </c>
    </row>
    <row r="1925" spans="1:8" x14ac:dyDescent="0.25">
      <c r="A1925">
        <v>2020</v>
      </c>
      <c r="B1925">
        <v>10</v>
      </c>
      <c r="C1925" t="s">
        <v>6</v>
      </c>
      <c r="D1925">
        <v>15.116</v>
      </c>
      <c r="E1925">
        <v>3.8</v>
      </c>
      <c r="F1925">
        <v>0.56299999999999994</v>
      </c>
      <c r="H1925" s="4" t="str">
        <f t="array" aca="1" ref="H1925" ca="1">SUBSTITUTE(SUBSTITUTE(_xlfn.TEXTJOIN("",TRUE,IF(ISERR(MID(C1925,ROW(INDIRECT("1:100")),1)+0),MID(C1925,ROW(INDIRECT("1:100")),1),"")),")",""),"(","")</f>
        <v>Food and beverages</v>
      </c>
    </row>
    <row r="1926" spans="1:8" x14ac:dyDescent="0.25">
      <c r="A1926">
        <v>2020</v>
      </c>
      <c r="B1926">
        <v>10</v>
      </c>
      <c r="C1926" t="s">
        <v>32</v>
      </c>
      <c r="D1926">
        <v>11.744999999999999</v>
      </c>
      <c r="E1926">
        <v>2.7</v>
      </c>
      <c r="F1926">
        <v>0.314</v>
      </c>
      <c r="H1926" s="4" t="str">
        <f t="array" aca="1" ref="H1926" ca="1">SUBSTITUTE(SUBSTITUTE(_xlfn.TEXTJOIN("",TRUE,IF(ISERR(MID(C1926,ROW(INDIRECT("1:100")),1)+0),MID(C1926,ROW(INDIRECT("1:100")),1),"")),")",""),"(","")</f>
        <v>Other services</v>
      </c>
    </row>
    <row r="1927" spans="1:8" x14ac:dyDescent="0.25">
      <c r="A1927">
        <v>2020</v>
      </c>
      <c r="B1927">
        <v>10</v>
      </c>
      <c r="C1927" t="s">
        <v>33</v>
      </c>
      <c r="D1927">
        <v>2.1339999999999999</v>
      </c>
      <c r="E1927">
        <v>-6.1</v>
      </c>
      <c r="F1927">
        <v>-0.14399999999999999</v>
      </c>
      <c r="H1927" s="4" t="str">
        <f t="array" aca="1" ref="H1927" ca="1">SUBSTITUTE(SUBSTITUTE(_xlfn.TEXTJOIN("",TRUE,IF(ISERR(MID(C1927,ROW(INDIRECT("1:100")),1)+0),MID(C1927,ROW(INDIRECT("1:100")),1),"")),")",""),"(","")</f>
        <v>Apparel less footwear</v>
      </c>
    </row>
    <row r="1928" spans="1:8" x14ac:dyDescent="0.25">
      <c r="A1928">
        <v>2020</v>
      </c>
      <c r="B1928">
        <v>10</v>
      </c>
      <c r="C1928" t="s">
        <v>34</v>
      </c>
      <c r="D1928">
        <v>4.3769999999999998</v>
      </c>
      <c r="E1928">
        <v>1.1000000000000001</v>
      </c>
      <c r="F1928">
        <v>4.9000000000000002E-2</v>
      </c>
      <c r="H1928" s="4" t="str">
        <f t="array" aca="1" ref="H1928" ca="1">SUBSTITUTE(SUBSTITUTE(_xlfn.TEXTJOIN("",TRUE,IF(ISERR(MID(C1928,ROW(INDIRECT("1:100")),1)+0),MID(C1928,ROW(INDIRECT("1:100")),1),"")),")",""),"(","")</f>
        <v>Fuels and utilities</v>
      </c>
    </row>
    <row r="1929" spans="1:8" x14ac:dyDescent="0.25">
      <c r="A1929">
        <v>2020</v>
      </c>
      <c r="B1929">
        <v>10</v>
      </c>
      <c r="C1929" t="s">
        <v>11</v>
      </c>
      <c r="D1929">
        <v>8.94</v>
      </c>
      <c r="E1929">
        <v>2.9</v>
      </c>
      <c r="F1929">
        <v>0.253</v>
      </c>
      <c r="H1929" s="4" t="str">
        <f t="array" aca="1" ref="H1929" ca="1">SUBSTITUTE(SUBSTITUTE(_xlfn.TEXTJOIN("",TRUE,IF(ISERR(MID(C1929,ROW(INDIRECT("1:100")),1)+0),MID(C1929,ROW(INDIRECT("1:100")),1),"")),")",""),"(","")</f>
        <v>Medical care</v>
      </c>
    </row>
    <row r="1930" spans="1:8" x14ac:dyDescent="0.25">
      <c r="A1930">
        <v>2020</v>
      </c>
      <c r="B1930">
        <v>10</v>
      </c>
      <c r="C1930" t="s">
        <v>7</v>
      </c>
      <c r="D1930">
        <v>15.109</v>
      </c>
      <c r="E1930">
        <v>-3.5</v>
      </c>
      <c r="F1930">
        <v>-0.56299999999999994</v>
      </c>
      <c r="H1930" s="4" t="str">
        <f t="array" aca="1" ref="H1930" ca="1">SUBSTITUTE(SUBSTITUTE(_xlfn.TEXTJOIN("",TRUE,IF(ISERR(MID(C1930,ROW(INDIRECT("1:100")),1)+0),MID(C1930,ROW(INDIRECT("1:100")),1),"")),")",""),"(","")</f>
        <v>Transportation</v>
      </c>
    </row>
    <row r="1931" spans="1:8" x14ac:dyDescent="0.25">
      <c r="A1931">
        <v>2020</v>
      </c>
      <c r="B1931">
        <v>10</v>
      </c>
      <c r="C1931" t="s">
        <v>35</v>
      </c>
      <c r="D1931">
        <v>8.8770000000000007</v>
      </c>
      <c r="E1931">
        <v>0.8</v>
      </c>
      <c r="F1931">
        <v>7.1999999999999995E-2</v>
      </c>
      <c r="H1931" s="4" t="str">
        <f t="array" aca="1" ref="H1931" ca="1">SUBSTITUTE(SUBSTITUTE(_xlfn.TEXTJOIN("",TRUE,IF(ISERR(MID(C1931,ROW(INDIRECT("1:100")),1)+0),MID(C1931,ROW(INDIRECT("1:100")),1),"")),")",""),"(","")</f>
        <v>Utilities and public transportation</v>
      </c>
    </row>
    <row r="1932" spans="1:8" x14ac:dyDescent="0.25">
      <c r="A1932">
        <v>2020</v>
      </c>
      <c r="B1932">
        <v>10</v>
      </c>
      <c r="C1932" t="s">
        <v>36</v>
      </c>
      <c r="D1932">
        <v>4.6710000000000003</v>
      </c>
      <c r="E1932">
        <v>2.1</v>
      </c>
      <c r="F1932">
        <v>9.8000000000000004E-2</v>
      </c>
      <c r="H1932" s="4" t="str">
        <f t="array" aca="1" ref="H1932" ca="1">SUBSTITUTE(SUBSTITUTE(_xlfn.TEXTJOIN("",TRUE,IF(ISERR(MID(C1932,ROW(INDIRECT("1:100")),1)+0),MID(C1932,ROW(INDIRECT("1:100")),1),"")),")",""),"(","")</f>
        <v>Household furnishings and operations</v>
      </c>
    </row>
    <row r="1933" spans="1:8" x14ac:dyDescent="0.25">
      <c r="A1933">
        <v>2020</v>
      </c>
      <c r="B1933">
        <v>10</v>
      </c>
      <c r="C1933" t="s">
        <v>12</v>
      </c>
      <c r="D1933">
        <v>3.1429999999999998</v>
      </c>
      <c r="E1933">
        <v>1.9</v>
      </c>
      <c r="F1933">
        <v>0.06</v>
      </c>
      <c r="H1933" s="4" t="str">
        <f t="array" aca="1" ref="H1933" ca="1">SUBSTITUTE(SUBSTITUTE(_xlfn.TEXTJOIN("",TRUE,IF(ISERR(MID(C1933,ROW(INDIRECT("1:100")),1)+0),MID(C1933,ROW(INDIRECT("1:100")),1),"")),")",""),"(","")</f>
        <v>Other goods and services</v>
      </c>
    </row>
    <row r="1934" spans="1:8" x14ac:dyDescent="0.25">
      <c r="A1934">
        <v>2020</v>
      </c>
      <c r="B1934">
        <v>11</v>
      </c>
      <c r="C1934" t="s">
        <v>14</v>
      </c>
      <c r="D1934">
        <v>100</v>
      </c>
      <c r="E1934">
        <v>1.2</v>
      </c>
      <c r="H1934" s="4" t="str">
        <f t="array" aca="1" ref="H1934" ca="1">SUBSTITUTE(SUBSTITUTE(_xlfn.TEXTJOIN("",TRUE,IF(ISERR(MID(C1934,ROW(INDIRECT("1:100")),1)+0),MID(C1934,ROW(INDIRECT("1:100")),1),"")),")",""),"(","")</f>
        <v>All items</v>
      </c>
    </row>
    <row r="1935" spans="1:8" x14ac:dyDescent="0.25">
      <c r="A1935">
        <v>2020</v>
      </c>
      <c r="B1935">
        <v>11</v>
      </c>
      <c r="C1935" t="s">
        <v>15</v>
      </c>
      <c r="D1935">
        <v>14.113</v>
      </c>
      <c r="E1935">
        <v>3.7</v>
      </c>
      <c r="F1935">
        <v>0.50800000000000001</v>
      </c>
      <c r="H1935" s="4" t="str">
        <f t="array" aca="1" ref="H1935" ca="1">SUBSTITUTE(SUBSTITUTE(_xlfn.TEXTJOIN("",TRUE,IF(ISERR(MID(C1935,ROW(INDIRECT("1:100")),1)+0),MID(C1935,ROW(INDIRECT("1:100")),1),"")),")",""),"(","")</f>
        <v>Food</v>
      </c>
    </row>
    <row r="1936" spans="1:8" x14ac:dyDescent="0.25">
      <c r="A1936">
        <v>2020</v>
      </c>
      <c r="B1936">
        <v>11</v>
      </c>
      <c r="C1936" t="s">
        <v>16</v>
      </c>
      <c r="D1936">
        <v>6.1040000000000001</v>
      </c>
      <c r="E1936">
        <v>-9.4</v>
      </c>
      <c r="F1936">
        <v>-0.64300000000000002</v>
      </c>
      <c r="H1936" s="4" t="str">
        <f t="array" aca="1" ref="H1936" ca="1">SUBSTITUTE(SUBSTITUTE(_xlfn.TEXTJOIN("",TRUE,IF(ISERR(MID(C1936,ROW(INDIRECT("1:100")),1)+0),MID(C1936,ROW(INDIRECT("1:100")),1),"")),")",""),"(","")</f>
        <v>Energy</v>
      </c>
    </row>
    <row r="1937" spans="1:8" x14ac:dyDescent="0.25">
      <c r="A1937">
        <v>2020</v>
      </c>
      <c r="B1937">
        <v>11</v>
      </c>
      <c r="C1937" t="s">
        <v>17</v>
      </c>
      <c r="D1937">
        <v>79.781999999999996</v>
      </c>
      <c r="E1937">
        <v>1.6</v>
      </c>
      <c r="F1937">
        <v>1.3089999999999999</v>
      </c>
      <c r="H1937" s="4" t="str">
        <f t="array" aca="1" ref="H1937" ca="1">SUBSTITUTE(SUBSTITUTE(_xlfn.TEXTJOIN("",TRUE,IF(ISERR(MID(C1937,ROW(INDIRECT("1:100")),1)+0),MID(C1937,ROW(INDIRECT("1:100")),1),"")),")",""),"(","")</f>
        <v>All items less food and energy</v>
      </c>
    </row>
    <row r="1938" spans="1:8" x14ac:dyDescent="0.25">
      <c r="A1938">
        <v>2020</v>
      </c>
      <c r="B1938">
        <v>11</v>
      </c>
      <c r="C1938" t="s">
        <v>18</v>
      </c>
      <c r="H1938" s="4" t="str">
        <f t="array" aca="1" ref="H1938" ca="1">SUBSTITUTE(SUBSTITUTE(_xlfn.TEXTJOIN("",TRUE,IF(ISERR(MID(C1938,ROW(INDIRECT("1:100")),1)+0),MID(C1938,ROW(INDIRECT("1:100")),1),"")),")",""),"(","")</f>
        <v>Special aggregate indexes</v>
      </c>
    </row>
    <row r="1939" spans="1:8" x14ac:dyDescent="0.25">
      <c r="A1939">
        <v>2020</v>
      </c>
      <c r="B1939">
        <v>11</v>
      </c>
      <c r="C1939" t="s">
        <v>19</v>
      </c>
      <c r="D1939">
        <v>85.887</v>
      </c>
      <c r="E1939">
        <v>0.8</v>
      </c>
      <c r="F1939">
        <v>0.66700000000000004</v>
      </c>
      <c r="H1939" s="4" t="str">
        <f t="array" aca="1" ref="H1939" ca="1">SUBSTITUTE(SUBSTITUTE(_xlfn.TEXTJOIN("",TRUE,IF(ISERR(MID(C1939,ROW(INDIRECT("1:100")),1)+0),MID(C1939,ROW(INDIRECT("1:100")),1),"")),")",""),"(","")</f>
        <v>All items less food</v>
      </c>
    </row>
    <row r="1940" spans="1:8" x14ac:dyDescent="0.25">
      <c r="A1940">
        <v>2020</v>
      </c>
      <c r="B1940">
        <v>11</v>
      </c>
      <c r="C1940" t="s">
        <v>20</v>
      </c>
      <c r="D1940">
        <v>66.716999999999999</v>
      </c>
      <c r="E1940">
        <v>0.8</v>
      </c>
      <c r="F1940">
        <v>0.53900000000000003</v>
      </c>
      <c r="H1940" s="4" t="str">
        <f t="array" aca="1" ref="H1940" ca="1">SUBSTITUTE(SUBSTITUTE(_xlfn.TEXTJOIN("",TRUE,IF(ISERR(MID(C1940,ROW(INDIRECT("1:100")),1)+0),MID(C1940,ROW(INDIRECT("1:100")),1),"")),")",""),"(","")</f>
        <v>All items less shelter</v>
      </c>
    </row>
    <row r="1941" spans="1:8" x14ac:dyDescent="0.25">
      <c r="A1941">
        <v>2020</v>
      </c>
      <c r="B1941">
        <v>11</v>
      </c>
      <c r="C1941" t="s">
        <v>21</v>
      </c>
      <c r="D1941">
        <v>52.603999999999999</v>
      </c>
      <c r="E1941">
        <v>0.1</v>
      </c>
      <c r="F1941">
        <v>3.1E-2</v>
      </c>
      <c r="H1941" s="4" t="str">
        <f t="array" aca="1" ref="H1941" ca="1">SUBSTITUTE(SUBSTITUTE(_xlfn.TEXTJOIN("",TRUE,IF(ISERR(MID(C1941,ROW(INDIRECT("1:100")),1)+0),MID(C1941,ROW(INDIRECT("1:100")),1),"")),")",""),"(","")</f>
        <v>All items less food and shelter</v>
      </c>
    </row>
    <row r="1942" spans="1:8" x14ac:dyDescent="0.25">
      <c r="A1942">
        <v>2020</v>
      </c>
      <c r="B1942">
        <v>11</v>
      </c>
      <c r="C1942" t="s">
        <v>22</v>
      </c>
      <c r="D1942">
        <v>46.499000000000002</v>
      </c>
      <c r="E1942">
        <v>1.4</v>
      </c>
      <c r="F1942">
        <v>0.67400000000000004</v>
      </c>
      <c r="H1942" s="4" t="str">
        <f t="array" aca="1" ref="H1942" ca="1">SUBSTITUTE(SUBSTITUTE(_xlfn.TEXTJOIN("",TRUE,IF(ISERR(MID(C1942,ROW(INDIRECT("1:100")),1)+0),MID(C1942,ROW(INDIRECT("1:100")),1),"")),")",""),"(","")</f>
        <v>All items less food, shelter, and energy</v>
      </c>
    </row>
    <row r="1943" spans="1:8" x14ac:dyDescent="0.25">
      <c r="A1943">
        <v>2020</v>
      </c>
      <c r="B1943">
        <v>11</v>
      </c>
      <c r="C1943" t="s">
        <v>23</v>
      </c>
      <c r="D1943">
        <v>43.685000000000002</v>
      </c>
      <c r="E1943">
        <v>0.9</v>
      </c>
      <c r="F1943">
        <v>0.39800000000000002</v>
      </c>
      <c r="H1943" s="4" t="str">
        <f t="array" aca="1" ref="H1943" ca="1">SUBSTITUTE(SUBSTITUTE(_xlfn.TEXTJOIN("",TRUE,IF(ISERR(MID(C1943,ROW(INDIRECT("1:100")),1)+0),MID(C1943,ROW(INDIRECT("1:100")),1),"")),")",""),"(","")</f>
        <v>All items less food, shelter, energy, and used cars and trucks</v>
      </c>
    </row>
    <row r="1944" spans="1:8" x14ac:dyDescent="0.25">
      <c r="A1944">
        <v>2020</v>
      </c>
      <c r="B1944">
        <v>11</v>
      </c>
      <c r="C1944" t="s">
        <v>24</v>
      </c>
      <c r="D1944">
        <v>91.093999999999994</v>
      </c>
      <c r="E1944">
        <v>1.1000000000000001</v>
      </c>
      <c r="F1944">
        <v>0.96099999999999997</v>
      </c>
      <c r="H1944" s="4" t="str">
        <f t="array" aca="1" ref="H1944" ca="1">SUBSTITUTE(SUBSTITUTE(_xlfn.TEXTJOIN("",TRUE,IF(ISERR(MID(C1944,ROW(INDIRECT("1:100")),1)+0),MID(C1944,ROW(INDIRECT("1:100")),1),"")),")",""),"(","")</f>
        <v>All items less medical care</v>
      </c>
    </row>
    <row r="1945" spans="1:8" x14ac:dyDescent="0.25">
      <c r="A1945">
        <v>2020</v>
      </c>
      <c r="B1945">
        <v>11</v>
      </c>
      <c r="C1945" t="s">
        <v>25</v>
      </c>
      <c r="D1945">
        <v>93.896000000000001</v>
      </c>
      <c r="E1945">
        <v>1.9</v>
      </c>
      <c r="F1945">
        <v>1.8169999999999999</v>
      </c>
      <c r="H1945" s="4" t="str">
        <f t="array" aca="1" ref="H1945" ca="1">SUBSTITUTE(SUBSTITUTE(_xlfn.TEXTJOIN("",TRUE,IF(ISERR(MID(C1945,ROW(INDIRECT("1:100")),1)+0),MID(C1945,ROW(INDIRECT("1:100")),1),"")),")",""),"(","")</f>
        <v>All items less energy</v>
      </c>
    </row>
    <row r="1946" spans="1:8" x14ac:dyDescent="0.25">
      <c r="A1946">
        <v>2020</v>
      </c>
      <c r="B1946">
        <v>11</v>
      </c>
      <c r="C1946" t="s">
        <v>26</v>
      </c>
      <c r="D1946">
        <v>37.439</v>
      </c>
      <c r="E1946">
        <v>0.2</v>
      </c>
      <c r="F1946">
        <v>8.6999999999999994E-2</v>
      </c>
      <c r="H1946" s="4" t="str">
        <f t="array" aca="1" ref="H1946" ca="1">SUBSTITUTE(SUBSTITUTE(_xlfn.TEXTJOIN("",TRUE,IF(ISERR(MID(C1946,ROW(INDIRECT("1:100")),1)+0),MID(C1946,ROW(INDIRECT("1:100")),1),"")),")",""),"(","")</f>
        <v>Commodities</v>
      </c>
    </row>
    <row r="1947" spans="1:8" x14ac:dyDescent="0.25">
      <c r="A1947">
        <v>2020</v>
      </c>
      <c r="B1947">
        <v>11</v>
      </c>
      <c r="C1947" t="s">
        <v>27</v>
      </c>
      <c r="D1947">
        <v>62.561</v>
      </c>
      <c r="E1947">
        <v>1.7</v>
      </c>
      <c r="F1947">
        <v>1.0880000000000001</v>
      </c>
      <c r="H1947" s="4" t="str">
        <f t="array" aca="1" ref="H1947" ca="1">SUBSTITUTE(SUBSTITUTE(_xlfn.TEXTJOIN("",TRUE,IF(ISERR(MID(C1947,ROW(INDIRECT("1:100")),1)+0),MID(C1947,ROW(INDIRECT("1:100")),1),"")),")",""),"(","")</f>
        <v>Services</v>
      </c>
    </row>
    <row r="1948" spans="1:8" x14ac:dyDescent="0.25">
      <c r="A1948">
        <v>2020</v>
      </c>
      <c r="B1948">
        <v>11</v>
      </c>
      <c r="C1948" t="s">
        <v>28</v>
      </c>
      <c r="D1948">
        <v>10.958</v>
      </c>
      <c r="E1948">
        <v>3.6</v>
      </c>
      <c r="F1948">
        <v>0.38400000000000001</v>
      </c>
      <c r="H1948" s="4" t="str">
        <f t="array" aca="1" ref="H1948" ca="1">SUBSTITUTE(SUBSTITUTE(_xlfn.TEXTJOIN("",TRUE,IF(ISERR(MID(C1948,ROW(INDIRECT("1:100")),1)+0),MID(C1948,ROW(INDIRECT("1:100")),1),"")),")",""),"(","")</f>
        <v>Durables</v>
      </c>
    </row>
    <row r="1949" spans="1:8" x14ac:dyDescent="0.25">
      <c r="A1949">
        <v>2020</v>
      </c>
      <c r="B1949">
        <v>11</v>
      </c>
      <c r="C1949" t="s">
        <v>29</v>
      </c>
      <c r="D1949">
        <v>26.481000000000002</v>
      </c>
      <c r="E1949">
        <v>-1.1000000000000001</v>
      </c>
      <c r="F1949">
        <v>-0.29699999999999999</v>
      </c>
      <c r="H1949" s="4" t="str">
        <f t="array" aca="1" ref="H1949" ca="1">SUBSTITUTE(SUBSTITUTE(_xlfn.TEXTJOIN("",TRUE,IF(ISERR(MID(C1949,ROW(INDIRECT("1:100")),1)+0),MID(C1949,ROW(INDIRECT("1:100")),1),"")),")",""),"(","")</f>
        <v>Nondurables</v>
      </c>
    </row>
    <row r="1950" spans="1:8" x14ac:dyDescent="0.25">
      <c r="A1950">
        <v>2020</v>
      </c>
      <c r="B1950">
        <v>11</v>
      </c>
      <c r="C1950" t="s">
        <v>8</v>
      </c>
      <c r="D1950">
        <v>42.295000000000002</v>
      </c>
      <c r="E1950">
        <v>2</v>
      </c>
      <c r="F1950">
        <v>0.84199999999999997</v>
      </c>
      <c r="H1950" s="4" t="str">
        <f t="array" aca="1" ref="H1950" ca="1">SUBSTITUTE(SUBSTITUTE(_xlfn.TEXTJOIN("",TRUE,IF(ISERR(MID(C1950,ROW(INDIRECT("1:100")),1)+0),MID(C1950,ROW(INDIRECT("1:100")),1),"")),")",""),"(","")</f>
        <v>Housing</v>
      </c>
    </row>
    <row r="1951" spans="1:8" x14ac:dyDescent="0.25">
      <c r="A1951">
        <v>2020</v>
      </c>
      <c r="B1951">
        <v>11</v>
      </c>
      <c r="C1951" t="s">
        <v>30</v>
      </c>
      <c r="D1951">
        <v>6.8079999999999998</v>
      </c>
      <c r="E1951">
        <v>1.9</v>
      </c>
      <c r="F1951">
        <v>0.127</v>
      </c>
      <c r="H1951" s="4" t="str">
        <f t="array" aca="1" ref="H1951" ca="1">SUBSTITUTE(SUBSTITUTE(_xlfn.TEXTJOIN("",TRUE,IF(ISERR(MID(C1951,ROW(INDIRECT("1:100")),1)+0),MID(C1951,ROW(INDIRECT("1:100")),1),"")),")",""),"(","")</f>
        <v>Education and communication</v>
      </c>
    </row>
    <row r="1952" spans="1:8" x14ac:dyDescent="0.25">
      <c r="A1952">
        <v>2020</v>
      </c>
      <c r="B1952">
        <v>11</v>
      </c>
      <c r="C1952" t="s">
        <v>31</v>
      </c>
      <c r="D1952">
        <v>5.7939999999999996</v>
      </c>
      <c r="E1952">
        <v>1.3</v>
      </c>
      <c r="F1952">
        <v>7.8E-2</v>
      </c>
      <c r="H1952" s="4" t="str">
        <f t="array" aca="1" ref="H1952" ca="1">SUBSTITUTE(SUBSTITUTE(_xlfn.TEXTJOIN("",TRUE,IF(ISERR(MID(C1952,ROW(INDIRECT("1:100")),1)+0),MID(C1952,ROW(INDIRECT("1:100")),1),"")),")",""),"(","")</f>
        <v>Recreation</v>
      </c>
    </row>
    <row r="1953" spans="1:8" x14ac:dyDescent="0.25">
      <c r="A1953">
        <v>2020</v>
      </c>
      <c r="B1953">
        <v>11</v>
      </c>
      <c r="C1953" t="s">
        <v>6</v>
      </c>
      <c r="D1953">
        <v>15.148999999999999</v>
      </c>
      <c r="E1953">
        <v>3.7</v>
      </c>
      <c r="F1953">
        <v>0.53800000000000003</v>
      </c>
      <c r="H1953" s="4" t="str">
        <f t="array" aca="1" ref="H1953" ca="1">SUBSTITUTE(SUBSTITUTE(_xlfn.TEXTJOIN("",TRUE,IF(ISERR(MID(C1953,ROW(INDIRECT("1:100")),1)+0),MID(C1953,ROW(INDIRECT("1:100")),1),"")),")",""),"(","")</f>
        <v>Food and beverages</v>
      </c>
    </row>
    <row r="1954" spans="1:8" x14ac:dyDescent="0.25">
      <c r="A1954">
        <v>2020</v>
      </c>
      <c r="B1954">
        <v>11</v>
      </c>
      <c r="C1954" t="s">
        <v>32</v>
      </c>
      <c r="D1954">
        <v>11.766999999999999</v>
      </c>
      <c r="E1954">
        <v>2.5</v>
      </c>
      <c r="F1954">
        <v>0.28499999999999998</v>
      </c>
      <c r="H1954" s="4" t="str">
        <f t="array" aca="1" ref="H1954" ca="1">SUBSTITUTE(SUBSTITUTE(_xlfn.TEXTJOIN("",TRUE,IF(ISERR(MID(C1954,ROW(INDIRECT("1:100")),1)+0),MID(C1954,ROW(INDIRECT("1:100")),1),"")),")",""),"(","")</f>
        <v>Other services</v>
      </c>
    </row>
    <row r="1955" spans="1:8" x14ac:dyDescent="0.25">
      <c r="A1955">
        <v>2020</v>
      </c>
      <c r="B1955">
        <v>11</v>
      </c>
      <c r="C1955" t="s">
        <v>33</v>
      </c>
      <c r="D1955">
        <v>2.12</v>
      </c>
      <c r="E1955">
        <v>-6</v>
      </c>
      <c r="F1955">
        <v>-0.13500000000000001</v>
      </c>
      <c r="H1955" s="4" t="str">
        <f t="array" aca="1" ref="H1955" ca="1">SUBSTITUTE(SUBSTITUTE(_xlfn.TEXTJOIN("",TRUE,IF(ISERR(MID(C1955,ROW(INDIRECT("1:100")),1)+0),MID(C1955,ROW(INDIRECT("1:100")),1),"")),")",""),"(","")</f>
        <v>Apparel less footwear</v>
      </c>
    </row>
    <row r="1956" spans="1:8" x14ac:dyDescent="0.25">
      <c r="A1956">
        <v>2020</v>
      </c>
      <c r="B1956">
        <v>11</v>
      </c>
      <c r="C1956" t="s">
        <v>34</v>
      </c>
      <c r="D1956">
        <v>4.3490000000000002</v>
      </c>
      <c r="E1956">
        <v>1.8</v>
      </c>
      <c r="F1956">
        <v>7.8E-2</v>
      </c>
      <c r="H1956" s="4" t="str">
        <f t="array" aca="1" ref="H1956" ca="1">SUBSTITUTE(SUBSTITUTE(_xlfn.TEXTJOIN("",TRUE,IF(ISERR(MID(C1956,ROW(INDIRECT("1:100")),1)+0),MID(C1956,ROW(INDIRECT("1:100")),1),"")),")",""),"(","")</f>
        <v>Fuels and utilities</v>
      </c>
    </row>
    <row r="1957" spans="1:8" x14ac:dyDescent="0.25">
      <c r="A1957">
        <v>2020</v>
      </c>
      <c r="B1957">
        <v>11</v>
      </c>
      <c r="C1957" t="s">
        <v>11</v>
      </c>
      <c r="D1957">
        <v>8.9060000000000006</v>
      </c>
      <c r="E1957">
        <v>2.4</v>
      </c>
      <c r="F1957">
        <v>0.21299999999999999</v>
      </c>
      <c r="H1957" s="4" t="str">
        <f t="array" aca="1" ref="H1957" ca="1">SUBSTITUTE(SUBSTITUTE(_xlfn.TEXTJOIN("",TRUE,IF(ISERR(MID(C1957,ROW(INDIRECT("1:100")),1)+0),MID(C1957,ROW(INDIRECT("1:100")),1),"")),")",""),"(","")</f>
        <v>Medical care</v>
      </c>
    </row>
    <row r="1958" spans="1:8" x14ac:dyDescent="0.25">
      <c r="A1958">
        <v>2020</v>
      </c>
      <c r="B1958">
        <v>11</v>
      </c>
      <c r="C1958" t="s">
        <v>7</v>
      </c>
      <c r="D1958">
        <v>15.13</v>
      </c>
      <c r="E1958">
        <v>-3.3</v>
      </c>
      <c r="F1958">
        <v>-0.52600000000000002</v>
      </c>
      <c r="H1958" s="4" t="str">
        <f t="array" aca="1" ref="H1958" ca="1">SUBSTITUTE(SUBSTITUTE(_xlfn.TEXTJOIN("",TRUE,IF(ISERR(MID(C1958,ROW(INDIRECT("1:100")),1)+0),MID(C1958,ROW(INDIRECT("1:100")),1),"")),")",""),"(","")</f>
        <v>Transportation</v>
      </c>
    </row>
    <row r="1959" spans="1:8" x14ac:dyDescent="0.25">
      <c r="A1959">
        <v>2020</v>
      </c>
      <c r="B1959">
        <v>11</v>
      </c>
      <c r="C1959" t="s">
        <v>35</v>
      </c>
      <c r="D1959">
        <v>8.9</v>
      </c>
      <c r="E1959">
        <v>1.3</v>
      </c>
      <c r="F1959">
        <v>0.111</v>
      </c>
      <c r="H1959" s="4" t="str">
        <f t="array" aca="1" ref="H1959" ca="1">SUBSTITUTE(SUBSTITUTE(_xlfn.TEXTJOIN("",TRUE,IF(ISERR(MID(C1959,ROW(INDIRECT("1:100")),1)+0),MID(C1959,ROW(INDIRECT("1:100")),1),"")),")",""),"(","")</f>
        <v>Utilities and public transportation</v>
      </c>
    </row>
    <row r="1960" spans="1:8" x14ac:dyDescent="0.25">
      <c r="A1960">
        <v>2020</v>
      </c>
      <c r="B1960">
        <v>11</v>
      </c>
      <c r="C1960" t="s">
        <v>36</v>
      </c>
      <c r="D1960">
        <v>4.6630000000000003</v>
      </c>
      <c r="E1960">
        <v>2.7</v>
      </c>
      <c r="F1960">
        <v>0.127</v>
      </c>
      <c r="H1960" s="4" t="str">
        <f t="array" aca="1" ref="H1960" ca="1">SUBSTITUTE(SUBSTITUTE(_xlfn.TEXTJOIN("",TRUE,IF(ISERR(MID(C1960,ROW(INDIRECT("1:100")),1)+0),MID(C1960,ROW(INDIRECT("1:100")),1),"")),")",""),"(","")</f>
        <v>Household furnishings and operations</v>
      </c>
    </row>
    <row r="1961" spans="1:8" x14ac:dyDescent="0.25">
      <c r="A1961">
        <v>2020</v>
      </c>
      <c r="B1961">
        <v>11</v>
      </c>
      <c r="C1961" t="s">
        <v>12</v>
      </c>
      <c r="D1961">
        <v>3.1440000000000001</v>
      </c>
      <c r="E1961">
        <v>1.7</v>
      </c>
      <c r="F1961">
        <v>5.3999999999999999E-2</v>
      </c>
      <c r="H1961" s="4" t="str">
        <f t="array" aca="1" ref="H1961" ca="1">SUBSTITUTE(SUBSTITUTE(_xlfn.TEXTJOIN("",TRUE,IF(ISERR(MID(C1961,ROW(INDIRECT("1:100")),1)+0),MID(C1961,ROW(INDIRECT("1:100")),1),"")),")",""),"(","")</f>
        <v>Other goods and services</v>
      </c>
    </row>
    <row r="1962" spans="1:8" x14ac:dyDescent="0.25">
      <c r="A1962">
        <v>2020</v>
      </c>
      <c r="B1962">
        <v>12</v>
      </c>
      <c r="C1962" t="s">
        <v>14</v>
      </c>
      <c r="D1962">
        <v>100</v>
      </c>
      <c r="E1962">
        <v>1.4</v>
      </c>
      <c r="H1962" s="4" t="str">
        <f t="array" aca="1" ref="H1962" ca="1">SUBSTITUTE(SUBSTITUTE(_xlfn.TEXTJOIN("",TRUE,IF(ISERR(MID(C1962,ROW(INDIRECT("1:100")),1)+0),MID(C1962,ROW(INDIRECT("1:100")),1),"")),")",""),"(","")</f>
        <v>All items</v>
      </c>
    </row>
    <row r="1963" spans="1:8" x14ac:dyDescent="0.25">
      <c r="A1963">
        <v>2020</v>
      </c>
      <c r="B1963">
        <v>12</v>
      </c>
      <c r="C1963" t="s">
        <v>15</v>
      </c>
      <c r="D1963">
        <v>14.082000000000001</v>
      </c>
      <c r="E1963">
        <v>3.9</v>
      </c>
      <c r="F1963">
        <v>0.54100000000000004</v>
      </c>
      <c r="H1963" s="4" t="str">
        <f t="array" aca="1" ref="H1963" ca="1">SUBSTITUTE(SUBSTITUTE(_xlfn.TEXTJOIN("",TRUE,IF(ISERR(MID(C1963,ROW(INDIRECT("1:100")),1)+0),MID(C1963,ROW(INDIRECT("1:100")),1),"")),")",""),"(","")</f>
        <v>Food</v>
      </c>
    </row>
    <row r="1964" spans="1:8" x14ac:dyDescent="0.25">
      <c r="A1964">
        <v>2020</v>
      </c>
      <c r="B1964">
        <v>12</v>
      </c>
      <c r="C1964" t="s">
        <v>16</v>
      </c>
      <c r="D1964">
        <v>6.0439999999999996</v>
      </c>
      <c r="E1964">
        <v>-7</v>
      </c>
      <c r="F1964">
        <v>-0.46700000000000003</v>
      </c>
      <c r="H1964" s="4" t="str">
        <f t="array" aca="1" ref="H1964" ca="1">SUBSTITUTE(SUBSTITUTE(_xlfn.TEXTJOIN("",TRUE,IF(ISERR(MID(C1964,ROW(INDIRECT("1:100")),1)+0),MID(C1964,ROW(INDIRECT("1:100")),1),"")),")",""),"(","")</f>
        <v>Energy</v>
      </c>
    </row>
    <row r="1965" spans="1:8" x14ac:dyDescent="0.25">
      <c r="A1965">
        <v>2020</v>
      </c>
      <c r="B1965">
        <v>12</v>
      </c>
      <c r="C1965" t="s">
        <v>17</v>
      </c>
      <c r="D1965">
        <v>79.873999999999995</v>
      </c>
      <c r="E1965">
        <v>1.6</v>
      </c>
      <c r="F1965">
        <v>1.288</v>
      </c>
      <c r="H1965" s="4" t="str">
        <f t="array" aca="1" ref="H1965" ca="1">SUBSTITUTE(SUBSTITUTE(_xlfn.TEXTJOIN("",TRUE,IF(ISERR(MID(C1965,ROW(INDIRECT("1:100")),1)+0),MID(C1965,ROW(INDIRECT("1:100")),1),"")),")",""),"(","")</f>
        <v>All items less food and energy</v>
      </c>
    </row>
    <row r="1966" spans="1:8" x14ac:dyDescent="0.25">
      <c r="A1966">
        <v>2020</v>
      </c>
      <c r="B1966">
        <v>12</v>
      </c>
      <c r="C1966" t="s">
        <v>18</v>
      </c>
      <c r="H1966" s="4" t="str">
        <f t="array" aca="1" ref="H1966" ca="1">SUBSTITUTE(SUBSTITUTE(_xlfn.TEXTJOIN("",TRUE,IF(ISERR(MID(C1966,ROW(INDIRECT("1:100")),1)+0),MID(C1966,ROW(INDIRECT("1:100")),1),"")),")",""),"(","")</f>
        <v>Special aggregate indexes</v>
      </c>
    </row>
    <row r="1967" spans="1:8" x14ac:dyDescent="0.25">
      <c r="A1967">
        <v>2020</v>
      </c>
      <c r="B1967">
        <v>12</v>
      </c>
      <c r="C1967" t="s">
        <v>19</v>
      </c>
      <c r="D1967">
        <v>85.918000000000006</v>
      </c>
      <c r="E1967">
        <v>1</v>
      </c>
      <c r="F1967">
        <v>0.82099999999999995</v>
      </c>
      <c r="H1967" s="4" t="str">
        <f t="array" aca="1" ref="H1967" ca="1">SUBSTITUTE(SUBSTITUTE(_xlfn.TEXTJOIN("",TRUE,IF(ISERR(MID(C1967,ROW(INDIRECT("1:100")),1)+0),MID(C1967,ROW(INDIRECT("1:100")),1),"")),")",""),"(","")</f>
        <v>All items less food</v>
      </c>
    </row>
    <row r="1968" spans="1:8" x14ac:dyDescent="0.25">
      <c r="A1968">
        <v>2020</v>
      </c>
      <c r="B1968">
        <v>12</v>
      </c>
      <c r="C1968" t="s">
        <v>20</v>
      </c>
      <c r="D1968">
        <v>66.680000000000007</v>
      </c>
      <c r="E1968">
        <v>1.1000000000000001</v>
      </c>
      <c r="F1968">
        <v>0.75</v>
      </c>
      <c r="H1968" s="4" t="str">
        <f t="array" aca="1" ref="H1968" ca="1">SUBSTITUTE(SUBSTITUTE(_xlfn.TEXTJOIN("",TRUE,IF(ISERR(MID(C1968,ROW(INDIRECT("1:100")),1)+0),MID(C1968,ROW(INDIRECT("1:100")),1),"")),")",""),"(","")</f>
        <v>All items less shelter</v>
      </c>
    </row>
    <row r="1969" spans="1:8" x14ac:dyDescent="0.25">
      <c r="A1969">
        <v>2020</v>
      </c>
      <c r="B1969">
        <v>12</v>
      </c>
      <c r="C1969" t="s">
        <v>21</v>
      </c>
      <c r="D1969">
        <v>52.597999999999999</v>
      </c>
      <c r="E1969">
        <v>0.4</v>
      </c>
      <c r="F1969">
        <v>0.20899999999999999</v>
      </c>
      <c r="H1969" s="4" t="str">
        <f t="array" aca="1" ref="H1969" ca="1">SUBSTITUTE(SUBSTITUTE(_xlfn.TEXTJOIN("",TRUE,IF(ISERR(MID(C1969,ROW(INDIRECT("1:100")),1)+0),MID(C1969,ROW(INDIRECT("1:100")),1),"")),")",""),"(","")</f>
        <v>All items less food and shelter</v>
      </c>
    </row>
    <row r="1970" spans="1:8" x14ac:dyDescent="0.25">
      <c r="A1970">
        <v>2020</v>
      </c>
      <c r="B1970">
        <v>12</v>
      </c>
      <c r="C1970" t="s">
        <v>22</v>
      </c>
      <c r="D1970">
        <v>46.554000000000002</v>
      </c>
      <c r="E1970">
        <v>1.5</v>
      </c>
      <c r="F1970">
        <v>0.67600000000000005</v>
      </c>
      <c r="H1970" s="4" t="str">
        <f t="array" aca="1" ref="H1970" ca="1">SUBSTITUTE(SUBSTITUTE(_xlfn.TEXTJOIN("",TRUE,IF(ISERR(MID(C1970,ROW(INDIRECT("1:100")),1)+0),MID(C1970,ROW(INDIRECT("1:100")),1),"")),")",""),"(","")</f>
        <v>All items less food, shelter, and energy</v>
      </c>
    </row>
    <row r="1971" spans="1:8" x14ac:dyDescent="0.25">
      <c r="A1971">
        <v>2020</v>
      </c>
      <c r="B1971">
        <v>12</v>
      </c>
      <c r="C1971" t="s">
        <v>23</v>
      </c>
      <c r="D1971">
        <v>43.776000000000003</v>
      </c>
      <c r="E1971">
        <v>1</v>
      </c>
      <c r="F1971">
        <v>0.42199999999999999</v>
      </c>
      <c r="H1971" s="4" t="str">
        <f t="array" aca="1" ref="H1971" ca="1">SUBSTITUTE(SUBSTITUTE(_xlfn.TEXTJOIN("",TRUE,IF(ISERR(MID(C1971,ROW(INDIRECT("1:100")),1)+0),MID(C1971,ROW(INDIRECT("1:100")),1),"")),")",""),"(","")</f>
        <v>All items less food, shelter, energy, and used cars and trucks</v>
      </c>
    </row>
    <row r="1972" spans="1:8" x14ac:dyDescent="0.25">
      <c r="A1972">
        <v>2020</v>
      </c>
      <c r="B1972">
        <v>12</v>
      </c>
      <c r="C1972" t="s">
        <v>24</v>
      </c>
      <c r="D1972">
        <v>91.103999999999999</v>
      </c>
      <c r="E1972">
        <v>1.3</v>
      </c>
      <c r="F1972">
        <v>1.204</v>
      </c>
      <c r="H1972" s="4" t="str">
        <f t="array" aca="1" ref="H1972" ca="1">SUBSTITUTE(SUBSTITUTE(_xlfn.TEXTJOIN("",TRUE,IF(ISERR(MID(C1972,ROW(INDIRECT("1:100")),1)+0),MID(C1972,ROW(INDIRECT("1:100")),1),"")),")",""),"(","")</f>
        <v>All items less medical care</v>
      </c>
    </row>
    <row r="1973" spans="1:8" x14ac:dyDescent="0.25">
      <c r="A1973">
        <v>2020</v>
      </c>
      <c r="B1973">
        <v>12</v>
      </c>
      <c r="C1973" t="s">
        <v>25</v>
      </c>
      <c r="D1973">
        <v>93.956000000000003</v>
      </c>
      <c r="E1973">
        <v>2</v>
      </c>
      <c r="F1973">
        <v>1.829</v>
      </c>
      <c r="H1973" s="4" t="str">
        <f t="array" aca="1" ref="H1973" ca="1">SUBSTITUTE(SUBSTITUTE(_xlfn.TEXTJOIN("",TRUE,IF(ISERR(MID(C1973,ROW(INDIRECT("1:100")),1)+0),MID(C1973,ROW(INDIRECT("1:100")),1),"")),")",""),"(","")</f>
        <v>All items less energy</v>
      </c>
    </row>
    <row r="1974" spans="1:8" x14ac:dyDescent="0.25">
      <c r="A1974">
        <v>2020</v>
      </c>
      <c r="B1974">
        <v>12</v>
      </c>
      <c r="C1974" t="s">
        <v>26</v>
      </c>
      <c r="D1974">
        <v>37.28</v>
      </c>
      <c r="E1974">
        <v>0.9</v>
      </c>
      <c r="F1974">
        <v>0.33</v>
      </c>
      <c r="H1974" s="4" t="str">
        <f t="array" aca="1" ref="H1974" ca="1">SUBSTITUTE(SUBSTITUTE(_xlfn.TEXTJOIN("",TRUE,IF(ISERR(MID(C1974,ROW(INDIRECT("1:100")),1)+0),MID(C1974,ROW(INDIRECT("1:100")),1),"")),")",""),"(","")</f>
        <v>Commodities</v>
      </c>
    </row>
    <row r="1975" spans="1:8" x14ac:dyDescent="0.25">
      <c r="A1975">
        <v>2020</v>
      </c>
      <c r="B1975">
        <v>12</v>
      </c>
      <c r="C1975" t="s">
        <v>27</v>
      </c>
      <c r="D1975">
        <v>62.72</v>
      </c>
      <c r="E1975">
        <v>1.7</v>
      </c>
      <c r="F1975">
        <v>1.032</v>
      </c>
      <c r="H1975" s="4" t="str">
        <f t="array" aca="1" ref="H1975" ca="1">SUBSTITUTE(SUBSTITUTE(_xlfn.TEXTJOIN("",TRUE,IF(ISERR(MID(C1975,ROW(INDIRECT("1:100")),1)+0),MID(C1975,ROW(INDIRECT("1:100")),1),"")),")",""),"(","")</f>
        <v>Services</v>
      </c>
    </row>
    <row r="1976" spans="1:8" x14ac:dyDescent="0.25">
      <c r="A1976">
        <v>2020</v>
      </c>
      <c r="B1976">
        <v>12</v>
      </c>
      <c r="C1976" t="s">
        <v>28</v>
      </c>
      <c r="D1976">
        <v>10.944000000000001</v>
      </c>
      <c r="E1976">
        <v>3.9</v>
      </c>
      <c r="F1976">
        <v>0.41199999999999998</v>
      </c>
      <c r="H1976" s="4" t="str">
        <f t="array" aca="1" ref="H1976" ca="1">SUBSTITUTE(SUBSTITUTE(_xlfn.TEXTJOIN("",TRUE,IF(ISERR(MID(C1976,ROW(INDIRECT("1:100")),1)+0),MID(C1976,ROW(INDIRECT("1:100")),1),"")),")",""),"(","")</f>
        <v>Durables</v>
      </c>
    </row>
    <row r="1977" spans="1:8" x14ac:dyDescent="0.25">
      <c r="A1977">
        <v>2020</v>
      </c>
      <c r="B1977">
        <v>12</v>
      </c>
      <c r="C1977" t="s">
        <v>29</v>
      </c>
      <c r="D1977">
        <v>26.335999999999999</v>
      </c>
      <c r="E1977">
        <v>-0.3</v>
      </c>
      <c r="F1977">
        <v>-8.2000000000000003E-2</v>
      </c>
      <c r="H1977" s="4" t="str">
        <f t="array" aca="1" ref="H1977" ca="1">SUBSTITUTE(SUBSTITUTE(_xlfn.TEXTJOIN("",TRUE,IF(ISERR(MID(C1977,ROW(INDIRECT("1:100")),1)+0),MID(C1977,ROW(INDIRECT("1:100")),1),"")),")",""),"(","")</f>
        <v>Nondurables</v>
      </c>
    </row>
    <row r="1978" spans="1:8" x14ac:dyDescent="0.25">
      <c r="A1978">
        <v>2020</v>
      </c>
      <c r="B1978">
        <v>12</v>
      </c>
      <c r="C1978" t="s">
        <v>8</v>
      </c>
      <c r="D1978">
        <v>42.363999999999997</v>
      </c>
      <c r="E1978">
        <v>2</v>
      </c>
      <c r="F1978">
        <v>0.85499999999999998</v>
      </c>
      <c r="H1978" s="4" t="str">
        <f t="array" aca="1" ref="H1978" ca="1">SUBSTITUTE(SUBSTITUTE(_xlfn.TEXTJOIN("",TRUE,IF(ISERR(MID(C1978,ROW(INDIRECT("1:100")),1)+0),MID(C1978,ROW(INDIRECT("1:100")),1),"")),")",""),"(","")</f>
        <v>Housing</v>
      </c>
    </row>
    <row r="1979" spans="1:8" x14ac:dyDescent="0.25">
      <c r="A1979">
        <v>2020</v>
      </c>
      <c r="B1979">
        <v>12</v>
      </c>
      <c r="C1979" t="s">
        <v>30</v>
      </c>
      <c r="D1979">
        <v>6.8150000000000004</v>
      </c>
      <c r="E1979">
        <v>2</v>
      </c>
      <c r="F1979">
        <v>0.13200000000000001</v>
      </c>
      <c r="H1979" s="4" t="str">
        <f t="array" aca="1" ref="H1979" ca="1">SUBSTITUTE(SUBSTITUTE(_xlfn.TEXTJOIN("",TRUE,IF(ISERR(MID(C1979,ROW(INDIRECT("1:100")),1)+0),MID(C1979,ROW(INDIRECT("1:100")),1),"")),")",""),"(","")</f>
        <v>Education and communication</v>
      </c>
    </row>
    <row r="1980" spans="1:8" x14ac:dyDescent="0.25">
      <c r="A1980">
        <v>2020</v>
      </c>
      <c r="B1980">
        <v>12</v>
      </c>
      <c r="C1980" t="s">
        <v>31</v>
      </c>
      <c r="D1980">
        <v>5.8179999999999996</v>
      </c>
      <c r="E1980">
        <v>0.9</v>
      </c>
      <c r="F1980">
        <v>5.5E-2</v>
      </c>
      <c r="H1980" s="4" t="str">
        <f t="array" aca="1" ref="H1980" ca="1">SUBSTITUTE(SUBSTITUTE(_xlfn.TEXTJOIN("",TRUE,IF(ISERR(MID(C1980,ROW(INDIRECT("1:100")),1)+0),MID(C1980,ROW(INDIRECT("1:100")),1),"")),")",""),"(","")</f>
        <v>Recreation</v>
      </c>
    </row>
    <row r="1981" spans="1:8" x14ac:dyDescent="0.25">
      <c r="A1981">
        <v>2020</v>
      </c>
      <c r="B1981">
        <v>12</v>
      </c>
      <c r="C1981" t="s">
        <v>6</v>
      </c>
      <c r="D1981">
        <v>15.122999999999999</v>
      </c>
      <c r="E1981">
        <v>3.8</v>
      </c>
      <c r="F1981">
        <v>0.56899999999999995</v>
      </c>
      <c r="H1981" s="4" t="str">
        <f t="array" aca="1" ref="H1981" ca="1">SUBSTITUTE(SUBSTITUTE(_xlfn.TEXTJOIN("",TRUE,IF(ISERR(MID(C1981,ROW(INDIRECT("1:100")),1)+0),MID(C1981,ROW(INDIRECT("1:100")),1),"")),")",""),"(","")</f>
        <v>Food and beverages</v>
      </c>
    </row>
    <row r="1982" spans="1:8" x14ac:dyDescent="0.25">
      <c r="A1982">
        <v>2020</v>
      </c>
      <c r="B1982">
        <v>12</v>
      </c>
      <c r="C1982" t="s">
        <v>32</v>
      </c>
      <c r="D1982">
        <v>11.788</v>
      </c>
      <c r="E1982">
        <v>2.2000000000000002</v>
      </c>
      <c r="F1982">
        <v>0.253</v>
      </c>
      <c r="H1982" s="4" t="str">
        <f t="array" aca="1" ref="H1982" ca="1">SUBSTITUTE(SUBSTITUTE(_xlfn.TEXTJOIN("",TRUE,IF(ISERR(MID(C1982,ROW(INDIRECT("1:100")),1)+0),MID(C1982,ROW(INDIRECT("1:100")),1),"")),")",""),"(","")</f>
        <v>Other services</v>
      </c>
    </row>
    <row r="1983" spans="1:8" x14ac:dyDescent="0.25">
      <c r="A1983">
        <v>2020</v>
      </c>
      <c r="B1983">
        <v>12</v>
      </c>
      <c r="C1983" t="s">
        <v>33</v>
      </c>
      <c r="D1983">
        <v>2.0619999999999998</v>
      </c>
      <c r="E1983">
        <v>-4.5</v>
      </c>
      <c r="F1983">
        <v>-9.6000000000000002E-2</v>
      </c>
      <c r="H1983" s="4" t="str">
        <f t="array" aca="1" ref="H1983" ca="1">SUBSTITUTE(SUBSTITUTE(_xlfn.TEXTJOIN("",TRUE,IF(ISERR(MID(C1983,ROW(INDIRECT("1:100")),1)+0),MID(C1983,ROW(INDIRECT("1:100")),1),"")),")",""),"(","")</f>
        <v>Apparel less footwear</v>
      </c>
    </row>
    <row r="1984" spans="1:8" x14ac:dyDescent="0.25">
      <c r="A1984">
        <v>2020</v>
      </c>
      <c r="B1984">
        <v>12</v>
      </c>
      <c r="C1984" t="s">
        <v>34</v>
      </c>
      <c r="D1984">
        <v>4.3659999999999997</v>
      </c>
      <c r="E1984">
        <v>2.2999999999999998</v>
      </c>
      <c r="F1984">
        <v>9.8000000000000004E-2</v>
      </c>
      <c r="H1984" s="4" t="str">
        <f t="array" aca="1" ref="H1984" ca="1">SUBSTITUTE(SUBSTITUTE(_xlfn.TEXTJOIN("",TRUE,IF(ISERR(MID(C1984,ROW(INDIRECT("1:100")),1)+0),MID(C1984,ROW(INDIRECT("1:100")),1),"")),")",""),"(","")</f>
        <v>Fuels and utilities</v>
      </c>
    </row>
    <row r="1985" spans="1:8" x14ac:dyDescent="0.25">
      <c r="A1985">
        <v>2020</v>
      </c>
      <c r="B1985">
        <v>12</v>
      </c>
      <c r="C1985" t="s">
        <v>11</v>
      </c>
      <c r="D1985">
        <v>8.8960000000000008</v>
      </c>
      <c r="E1985">
        <v>1.8</v>
      </c>
      <c r="F1985">
        <v>0.157</v>
      </c>
      <c r="H1985" s="4" t="str">
        <f t="array" aca="1" ref="H1985" ca="1">SUBSTITUTE(SUBSTITUTE(_xlfn.TEXTJOIN("",TRUE,IF(ISERR(MID(C1985,ROW(INDIRECT("1:100")),1)+0),MID(C1985,ROW(INDIRECT("1:100")),1),"")),")",""),"(","")</f>
        <v>Medical care</v>
      </c>
    </row>
    <row r="1986" spans="1:8" x14ac:dyDescent="0.25">
      <c r="A1986">
        <v>2020</v>
      </c>
      <c r="B1986">
        <v>12</v>
      </c>
      <c r="C1986" t="s">
        <v>7</v>
      </c>
      <c r="D1986">
        <v>15.12</v>
      </c>
      <c r="E1986">
        <v>-2.4</v>
      </c>
      <c r="F1986">
        <v>-0.372</v>
      </c>
      <c r="H1986" s="4" t="str">
        <f t="array" aca="1" ref="H1986" ca="1">SUBSTITUTE(SUBSTITUTE(_xlfn.TEXTJOIN("",TRUE,IF(ISERR(MID(C1986,ROW(INDIRECT("1:100")),1)+0),MID(C1986,ROW(INDIRECT("1:100")),1),"")),")",""),"(","")</f>
        <v>Transportation</v>
      </c>
    </row>
    <row r="1987" spans="1:8" x14ac:dyDescent="0.25">
      <c r="A1987">
        <v>2020</v>
      </c>
      <c r="B1987">
        <v>12</v>
      </c>
      <c r="C1987" t="s">
        <v>35</v>
      </c>
      <c r="D1987">
        <v>8.9450000000000003</v>
      </c>
      <c r="E1987">
        <v>1.3</v>
      </c>
      <c r="F1987">
        <v>0.112</v>
      </c>
      <c r="H1987" s="4" t="str">
        <f t="array" aca="1" ref="H1987" ca="1">SUBSTITUTE(SUBSTITUTE(_xlfn.TEXTJOIN("",TRUE,IF(ISERR(MID(C1987,ROW(INDIRECT("1:100")),1)+0),MID(C1987,ROW(INDIRECT("1:100")),1),"")),")",""),"(","")</f>
        <v>Utilities and public transportation</v>
      </c>
    </row>
    <row r="1988" spans="1:8" x14ac:dyDescent="0.25">
      <c r="A1988">
        <v>2020</v>
      </c>
      <c r="B1988">
        <v>12</v>
      </c>
      <c r="C1988" t="s">
        <v>36</v>
      </c>
      <c r="D1988">
        <v>4.6779999999999999</v>
      </c>
      <c r="E1988">
        <v>3.2</v>
      </c>
      <c r="F1988">
        <v>0.14599999999999999</v>
      </c>
      <c r="H1988" s="4" t="str">
        <f t="array" aca="1" ref="H1988" ca="1">SUBSTITUTE(SUBSTITUTE(_xlfn.TEXTJOIN("",TRUE,IF(ISERR(MID(C1988,ROW(INDIRECT("1:100")),1)+0),MID(C1988,ROW(INDIRECT("1:100")),1),"")),")",""),"(","")</f>
        <v>Household furnishings and operations</v>
      </c>
    </row>
    <row r="1989" spans="1:8" x14ac:dyDescent="0.25">
      <c r="A1989">
        <v>2020</v>
      </c>
      <c r="B1989">
        <v>12</v>
      </c>
      <c r="C1989" t="s">
        <v>12</v>
      </c>
      <c r="D1989">
        <v>3.1469999999999998</v>
      </c>
      <c r="E1989">
        <v>2.4</v>
      </c>
      <c r="F1989">
        <v>7.4999999999999997E-2</v>
      </c>
      <c r="H1989" s="4" t="str">
        <f t="array" aca="1" ref="H1989" ca="1">SUBSTITUTE(SUBSTITUTE(_xlfn.TEXTJOIN("",TRUE,IF(ISERR(MID(C1989,ROW(INDIRECT("1:100")),1)+0),MID(C1989,ROW(INDIRECT("1:100")),1),"")),")",""),"(","")</f>
        <v>Other goods and services</v>
      </c>
    </row>
    <row r="1990" spans="1:8" x14ac:dyDescent="0.25">
      <c r="A1990">
        <v>2021</v>
      </c>
      <c r="B1990">
        <v>1</v>
      </c>
      <c r="C1990" t="s">
        <v>14</v>
      </c>
      <c r="D1990">
        <v>100</v>
      </c>
      <c r="E1990">
        <v>1.4</v>
      </c>
      <c r="H1990" s="4" t="str">
        <f t="array" aca="1" ref="H1990" ca="1">SUBSTITUTE(SUBSTITUTE(_xlfn.TEXTJOIN("",TRUE,IF(ISERR(MID(C1990,ROW(INDIRECT("1:100")),1)+0),MID(C1990,ROW(INDIRECT("1:100")),1),"")),")",""),"(","")</f>
        <v>All items</v>
      </c>
    </row>
    <row r="1991" spans="1:8" x14ac:dyDescent="0.25">
      <c r="A1991">
        <v>2021</v>
      </c>
      <c r="B1991">
        <v>1</v>
      </c>
      <c r="C1991" t="s">
        <v>15</v>
      </c>
      <c r="D1991">
        <v>14.119</v>
      </c>
      <c r="E1991">
        <v>3.8</v>
      </c>
      <c r="F1991">
        <v>0.52200000000000002</v>
      </c>
      <c r="H1991" s="4" t="str">
        <f t="array" aca="1" ref="H1991" ca="1">SUBSTITUTE(SUBSTITUTE(_xlfn.TEXTJOIN("",TRUE,IF(ISERR(MID(C1991,ROW(INDIRECT("1:100")),1)+0),MID(C1991,ROW(INDIRECT("1:100")),1),"")),")",""),"(","")</f>
        <v>Food</v>
      </c>
    </row>
    <row r="1992" spans="1:8" x14ac:dyDescent="0.25">
      <c r="A1992">
        <v>2021</v>
      </c>
      <c r="B1992">
        <v>1</v>
      </c>
      <c r="C1992" t="s">
        <v>16</v>
      </c>
      <c r="D1992">
        <v>6.1550000000000002</v>
      </c>
      <c r="E1992">
        <v>-3.6</v>
      </c>
      <c r="F1992">
        <v>-0.24399999999999999</v>
      </c>
      <c r="H1992" s="4" t="str">
        <f t="array" aca="1" ref="H1992" ca="1">SUBSTITUTE(SUBSTITUTE(_xlfn.TEXTJOIN("",TRUE,IF(ISERR(MID(C1992,ROW(INDIRECT("1:100")),1)+0),MID(C1992,ROW(INDIRECT("1:100")),1),"")),")",""),"(","")</f>
        <v>Energy</v>
      </c>
    </row>
    <row r="1993" spans="1:8" x14ac:dyDescent="0.25">
      <c r="A1993">
        <v>2021</v>
      </c>
      <c r="B1993">
        <v>1</v>
      </c>
      <c r="C1993" t="s">
        <v>17</v>
      </c>
      <c r="D1993">
        <v>79.725999999999999</v>
      </c>
      <c r="E1993">
        <v>1.4</v>
      </c>
      <c r="F1993">
        <v>1.1220000000000001</v>
      </c>
      <c r="H1993" s="4" t="str">
        <f t="array" aca="1" ref="H1993" ca="1">SUBSTITUTE(SUBSTITUTE(_xlfn.TEXTJOIN("",TRUE,IF(ISERR(MID(C1993,ROW(INDIRECT("1:100")),1)+0),MID(C1993,ROW(INDIRECT("1:100")),1),"")),")",""),"(","")</f>
        <v>All items less food and energy</v>
      </c>
    </row>
    <row r="1994" spans="1:8" x14ac:dyDescent="0.25">
      <c r="A1994">
        <v>2021</v>
      </c>
      <c r="B1994">
        <v>1</v>
      </c>
      <c r="C1994" t="s">
        <v>18</v>
      </c>
      <c r="H1994" s="4" t="str">
        <f t="array" aca="1" ref="H1994" ca="1">SUBSTITUTE(SUBSTITUTE(_xlfn.TEXTJOIN("",TRUE,IF(ISERR(MID(C1994,ROW(INDIRECT("1:100")),1)+0),MID(C1994,ROW(INDIRECT("1:100")),1),"")),")",""),"(","")</f>
        <v>Special aggregate indexes</v>
      </c>
    </row>
    <row r="1995" spans="1:8" x14ac:dyDescent="0.25">
      <c r="A1995">
        <v>2021</v>
      </c>
      <c r="B1995">
        <v>1</v>
      </c>
      <c r="C1995" t="s">
        <v>19</v>
      </c>
      <c r="D1995">
        <v>85.881</v>
      </c>
      <c r="E1995">
        <v>1</v>
      </c>
      <c r="F1995">
        <v>0.878</v>
      </c>
      <c r="H1995" s="4" t="str">
        <f t="array" aca="1" ref="H1995" ca="1">SUBSTITUTE(SUBSTITUTE(_xlfn.TEXTJOIN("",TRUE,IF(ISERR(MID(C1995,ROW(INDIRECT("1:100")),1)+0),MID(C1995,ROW(INDIRECT("1:100")),1),"")),")",""),"(","")</f>
        <v>All items less food</v>
      </c>
    </row>
    <row r="1996" spans="1:8" x14ac:dyDescent="0.25">
      <c r="A1996">
        <v>2021</v>
      </c>
      <c r="B1996">
        <v>1</v>
      </c>
      <c r="C1996" t="s">
        <v>20</v>
      </c>
      <c r="D1996">
        <v>66.683999999999997</v>
      </c>
      <c r="E1996">
        <v>1.3</v>
      </c>
      <c r="F1996">
        <v>0.86299999999999999</v>
      </c>
      <c r="H1996" s="4" t="str">
        <f t="array" aca="1" ref="H1996" ca="1">SUBSTITUTE(SUBSTITUTE(_xlfn.TEXTJOIN("",TRUE,IF(ISERR(MID(C1996,ROW(INDIRECT("1:100")),1)+0),MID(C1996,ROW(INDIRECT("1:100")),1),"")),")",""),"(","")</f>
        <v>All items less shelter</v>
      </c>
    </row>
    <row r="1997" spans="1:8" x14ac:dyDescent="0.25">
      <c r="A1997">
        <v>2021</v>
      </c>
      <c r="B1997">
        <v>1</v>
      </c>
      <c r="C1997" t="s">
        <v>21</v>
      </c>
      <c r="D1997">
        <v>52.564999999999998</v>
      </c>
      <c r="E1997">
        <v>0.6</v>
      </c>
      <c r="F1997">
        <v>0.34100000000000003</v>
      </c>
      <c r="H1997" s="4" t="str">
        <f t="array" aca="1" ref="H1997" ca="1">SUBSTITUTE(SUBSTITUTE(_xlfn.TEXTJOIN("",TRUE,IF(ISERR(MID(C1997,ROW(INDIRECT("1:100")),1)+0),MID(C1997,ROW(INDIRECT("1:100")),1),"")),")",""),"(","")</f>
        <v>All items less food and shelter</v>
      </c>
    </row>
    <row r="1998" spans="1:8" x14ac:dyDescent="0.25">
      <c r="A1998">
        <v>2021</v>
      </c>
      <c r="B1998">
        <v>1</v>
      </c>
      <c r="C1998" t="s">
        <v>22</v>
      </c>
      <c r="D1998">
        <v>46.41</v>
      </c>
      <c r="E1998">
        <v>1.3</v>
      </c>
      <c r="F1998">
        <v>0.58499999999999996</v>
      </c>
      <c r="H1998" s="4" t="str">
        <f t="array" aca="1" ref="H1998" ca="1">SUBSTITUTE(SUBSTITUTE(_xlfn.TEXTJOIN("",TRUE,IF(ISERR(MID(C1998,ROW(INDIRECT("1:100")),1)+0),MID(C1998,ROW(INDIRECT("1:100")),1),"")),")",""),"(","")</f>
        <v>All items less food, shelter, and energy</v>
      </c>
    </row>
    <row r="1999" spans="1:8" x14ac:dyDescent="0.25">
      <c r="A1999">
        <v>2021</v>
      </c>
      <c r="B1999">
        <v>1</v>
      </c>
      <c r="C1999" t="s">
        <v>23</v>
      </c>
      <c r="D1999">
        <v>43.661000000000001</v>
      </c>
      <c r="E1999">
        <v>0.8</v>
      </c>
      <c r="F1999">
        <v>0.33500000000000002</v>
      </c>
      <c r="H1999" s="4" t="str">
        <f t="array" aca="1" ref="H1999" ca="1">SUBSTITUTE(SUBSTITUTE(_xlfn.TEXTJOIN("",TRUE,IF(ISERR(MID(C1999,ROW(INDIRECT("1:100")),1)+0),MID(C1999,ROW(INDIRECT("1:100")),1),"")),")",""),"(","")</f>
        <v>All items less food, shelter, energy, and used cars and trucks</v>
      </c>
    </row>
    <row r="2000" spans="1:8" x14ac:dyDescent="0.25">
      <c r="A2000">
        <v>2021</v>
      </c>
      <c r="B2000">
        <v>1</v>
      </c>
      <c r="C2000" t="s">
        <v>24</v>
      </c>
      <c r="D2000">
        <v>91.13</v>
      </c>
      <c r="E2000">
        <v>1.3</v>
      </c>
      <c r="F2000">
        <v>1.2270000000000001</v>
      </c>
      <c r="H2000" s="4" t="str">
        <f t="array" aca="1" ref="H2000" ca="1">SUBSTITUTE(SUBSTITUTE(_xlfn.TEXTJOIN("",TRUE,IF(ISERR(MID(C2000,ROW(INDIRECT("1:100")),1)+0),MID(C2000,ROW(INDIRECT("1:100")),1),"")),")",""),"(","")</f>
        <v>All items less medical care</v>
      </c>
    </row>
    <row r="2001" spans="1:8" x14ac:dyDescent="0.25">
      <c r="A2001">
        <v>2021</v>
      </c>
      <c r="B2001">
        <v>1</v>
      </c>
      <c r="C2001" t="s">
        <v>25</v>
      </c>
      <c r="D2001">
        <v>93.844999999999999</v>
      </c>
      <c r="E2001">
        <v>1.8</v>
      </c>
      <c r="F2001">
        <v>1.643</v>
      </c>
      <c r="H2001" s="4" t="str">
        <f t="array" aca="1" ref="H2001" ca="1">SUBSTITUTE(SUBSTITUTE(_xlfn.TEXTJOIN("",TRUE,IF(ISERR(MID(C2001,ROW(INDIRECT("1:100")),1)+0),MID(C2001,ROW(INDIRECT("1:100")),1),"")),")",""),"(","")</f>
        <v>All items less energy</v>
      </c>
    </row>
    <row r="2002" spans="1:8" x14ac:dyDescent="0.25">
      <c r="A2002">
        <v>2021</v>
      </c>
      <c r="B2002">
        <v>1</v>
      </c>
      <c r="C2002" t="s">
        <v>26</v>
      </c>
      <c r="D2002">
        <v>37.338999999999999</v>
      </c>
      <c r="E2002">
        <v>1.5</v>
      </c>
      <c r="F2002">
        <v>0.55400000000000005</v>
      </c>
      <c r="H2002" s="4" t="str">
        <f t="array" aca="1" ref="H2002" ca="1">SUBSTITUTE(SUBSTITUTE(_xlfn.TEXTJOIN("",TRUE,IF(ISERR(MID(C2002,ROW(INDIRECT("1:100")),1)+0),MID(C2002,ROW(INDIRECT("1:100")),1),"")),")",""),"(","")</f>
        <v>Commodities</v>
      </c>
    </row>
    <row r="2003" spans="1:8" x14ac:dyDescent="0.25">
      <c r="A2003">
        <v>2021</v>
      </c>
      <c r="B2003">
        <v>1</v>
      </c>
      <c r="C2003" t="s">
        <v>27</v>
      </c>
      <c r="D2003">
        <v>62.661000000000001</v>
      </c>
      <c r="E2003">
        <v>1.4</v>
      </c>
      <c r="F2003">
        <v>0.84599999999999997</v>
      </c>
      <c r="H2003" s="4" t="str">
        <f t="array" aca="1" ref="H2003" ca="1">SUBSTITUTE(SUBSTITUTE(_xlfn.TEXTJOIN("",TRUE,IF(ISERR(MID(C2003,ROW(INDIRECT("1:100")),1)+0),MID(C2003,ROW(INDIRECT("1:100")),1),"")),")",""),"(","")</f>
        <v>Services</v>
      </c>
    </row>
    <row r="2004" spans="1:8" x14ac:dyDescent="0.25">
      <c r="A2004">
        <v>2021</v>
      </c>
      <c r="B2004">
        <v>1</v>
      </c>
      <c r="C2004" t="s">
        <v>28</v>
      </c>
      <c r="D2004">
        <v>10.942</v>
      </c>
      <c r="E2004">
        <v>3.5</v>
      </c>
      <c r="F2004">
        <v>0.372</v>
      </c>
      <c r="H2004" s="4" t="str">
        <f t="array" aca="1" ref="H2004" ca="1">SUBSTITUTE(SUBSTITUTE(_xlfn.TEXTJOIN("",TRUE,IF(ISERR(MID(C2004,ROW(INDIRECT("1:100")),1)+0),MID(C2004,ROW(INDIRECT("1:100")),1),"")),")",""),"(","")</f>
        <v>Durables</v>
      </c>
    </row>
    <row r="2005" spans="1:8" x14ac:dyDescent="0.25">
      <c r="A2005">
        <v>2021</v>
      </c>
      <c r="B2005">
        <v>1</v>
      </c>
      <c r="C2005" t="s">
        <v>29</v>
      </c>
      <c r="D2005">
        <v>26.396999999999998</v>
      </c>
      <c r="E2005">
        <v>0.7</v>
      </c>
      <c r="F2005">
        <v>0.183</v>
      </c>
      <c r="H2005" s="4" t="str">
        <f t="array" aca="1" ref="H2005" ca="1">SUBSTITUTE(SUBSTITUTE(_xlfn.TEXTJOIN("",TRUE,IF(ISERR(MID(C2005,ROW(INDIRECT("1:100")),1)+0),MID(C2005,ROW(INDIRECT("1:100")),1),"")),")",""),"(","")</f>
        <v>Nondurables</v>
      </c>
    </row>
    <row r="2006" spans="1:8" x14ac:dyDescent="0.25">
      <c r="A2006">
        <v>2021</v>
      </c>
      <c r="B2006">
        <v>1</v>
      </c>
      <c r="C2006" t="s">
        <v>8</v>
      </c>
      <c r="D2006">
        <v>42.384999999999998</v>
      </c>
      <c r="E2006">
        <v>1.8</v>
      </c>
      <c r="F2006">
        <v>0.76100000000000001</v>
      </c>
      <c r="H2006" s="4" t="str">
        <f t="array" aca="1" ref="H2006" ca="1">SUBSTITUTE(SUBSTITUTE(_xlfn.TEXTJOIN("",TRUE,IF(ISERR(MID(C2006,ROW(INDIRECT("1:100")),1)+0),MID(C2006,ROW(INDIRECT("1:100")),1),"")),")",""),"(","")</f>
        <v>Housing</v>
      </c>
    </row>
    <row r="2007" spans="1:8" x14ac:dyDescent="0.25">
      <c r="A2007">
        <v>2021</v>
      </c>
      <c r="B2007">
        <v>1</v>
      </c>
      <c r="C2007" t="s">
        <v>30</v>
      </c>
      <c r="D2007">
        <v>6.81</v>
      </c>
      <c r="E2007">
        <v>1.7</v>
      </c>
      <c r="F2007">
        <v>0.11799999999999999</v>
      </c>
      <c r="H2007" s="4" t="str">
        <f t="array" aca="1" ref="H2007" ca="1">SUBSTITUTE(SUBSTITUTE(_xlfn.TEXTJOIN("",TRUE,IF(ISERR(MID(C2007,ROW(INDIRECT("1:100")),1)+0),MID(C2007,ROW(INDIRECT("1:100")),1),"")),")",""),"(","")</f>
        <v>Education and communication</v>
      </c>
    </row>
    <row r="2008" spans="1:8" x14ac:dyDescent="0.25">
      <c r="A2008">
        <v>2021</v>
      </c>
      <c r="B2008">
        <v>1</v>
      </c>
      <c r="C2008" t="s">
        <v>31</v>
      </c>
      <c r="D2008">
        <v>5.7969999999999997</v>
      </c>
      <c r="E2008">
        <v>0.1</v>
      </c>
      <c r="F2008">
        <v>7.0000000000000001E-3</v>
      </c>
      <c r="H2008" s="4" t="str">
        <f t="array" aca="1" ref="H2008" ca="1">SUBSTITUTE(SUBSTITUTE(_xlfn.TEXTJOIN("",TRUE,IF(ISERR(MID(C2008,ROW(INDIRECT("1:100")),1)+0),MID(C2008,ROW(INDIRECT("1:100")),1),"")),")",""),"(","")</f>
        <v>Recreation</v>
      </c>
    </row>
    <row r="2009" spans="1:8" x14ac:dyDescent="0.25">
      <c r="A2009">
        <v>2021</v>
      </c>
      <c r="B2009">
        <v>1</v>
      </c>
      <c r="C2009" t="s">
        <v>6</v>
      </c>
      <c r="D2009">
        <v>15.157</v>
      </c>
      <c r="E2009">
        <v>3.7</v>
      </c>
      <c r="F2009">
        <v>0.54700000000000004</v>
      </c>
      <c r="H2009" s="4" t="str">
        <f t="array" aca="1" ref="H2009" ca="1">SUBSTITUTE(SUBSTITUTE(_xlfn.TEXTJOIN("",TRUE,IF(ISERR(MID(C2009,ROW(INDIRECT("1:100")),1)+0),MID(C2009,ROW(INDIRECT("1:100")),1),"")),")",""),"(","")</f>
        <v>Food and beverages</v>
      </c>
    </row>
    <row r="2010" spans="1:8" x14ac:dyDescent="0.25">
      <c r="A2010">
        <v>2021</v>
      </c>
      <c r="B2010">
        <v>1</v>
      </c>
      <c r="C2010" t="s">
        <v>32</v>
      </c>
      <c r="D2010">
        <v>11.773</v>
      </c>
      <c r="E2010">
        <v>1.5</v>
      </c>
      <c r="F2010">
        <v>0.17199999999999999</v>
      </c>
      <c r="H2010" s="4" t="str">
        <f t="array" aca="1" ref="H2010" ca="1">SUBSTITUTE(SUBSTITUTE(_xlfn.TEXTJOIN("",TRUE,IF(ISERR(MID(C2010,ROW(INDIRECT("1:100")),1)+0),MID(C2010,ROW(INDIRECT("1:100")),1),"")),")",""),"(","")</f>
        <v>Other services</v>
      </c>
    </row>
    <row r="2011" spans="1:8" x14ac:dyDescent="0.25">
      <c r="A2011">
        <v>2021</v>
      </c>
      <c r="B2011">
        <v>1</v>
      </c>
      <c r="C2011" t="s">
        <v>33</v>
      </c>
      <c r="D2011">
        <v>2.0190000000000001</v>
      </c>
      <c r="E2011">
        <v>-2.7</v>
      </c>
      <c r="F2011">
        <v>-5.8000000000000003E-2</v>
      </c>
      <c r="H2011" s="4" t="str">
        <f t="array" aca="1" ref="H2011" ca="1">SUBSTITUTE(SUBSTITUTE(_xlfn.TEXTJOIN("",TRUE,IF(ISERR(MID(C2011,ROW(INDIRECT("1:100")),1)+0),MID(C2011,ROW(INDIRECT("1:100")),1),"")),")",""),"(","")</f>
        <v>Apparel less footwear</v>
      </c>
    </row>
    <row r="2012" spans="1:8" x14ac:dyDescent="0.25">
      <c r="A2012">
        <v>2021</v>
      </c>
      <c r="B2012">
        <v>1</v>
      </c>
      <c r="C2012" t="s">
        <v>34</v>
      </c>
      <c r="D2012">
        <v>4.3869999999999996</v>
      </c>
      <c r="E2012">
        <v>2.1</v>
      </c>
      <c r="F2012">
        <v>9.1999999999999998E-2</v>
      </c>
      <c r="H2012" s="4" t="str">
        <f t="array" aca="1" ref="H2012" ca="1">SUBSTITUTE(SUBSTITUTE(_xlfn.TEXTJOIN("",TRUE,IF(ISERR(MID(C2012,ROW(INDIRECT("1:100")),1)+0),MID(C2012,ROW(INDIRECT("1:100")),1),"")),")",""),"(","")</f>
        <v>Fuels and utilities</v>
      </c>
    </row>
    <row r="2013" spans="1:8" x14ac:dyDescent="0.25">
      <c r="A2013">
        <v>2021</v>
      </c>
      <c r="B2013">
        <v>1</v>
      </c>
      <c r="C2013" t="s">
        <v>11</v>
      </c>
      <c r="D2013">
        <v>8.8699999999999992</v>
      </c>
      <c r="E2013">
        <v>1.9</v>
      </c>
      <c r="F2013">
        <v>0.17199999999999999</v>
      </c>
      <c r="H2013" s="4" t="str">
        <f t="array" aca="1" ref="H2013" ca="1">SUBSTITUTE(SUBSTITUTE(_xlfn.TEXTJOIN("",TRUE,IF(ISERR(MID(C2013,ROW(INDIRECT("1:100")),1)+0),MID(C2013,ROW(INDIRECT("1:100")),1),"")),")",""),"(","")</f>
        <v>Medical care</v>
      </c>
    </row>
    <row r="2014" spans="1:8" x14ac:dyDescent="0.25">
      <c r="A2014">
        <v>2021</v>
      </c>
      <c r="B2014">
        <v>1</v>
      </c>
      <c r="C2014" t="s">
        <v>7</v>
      </c>
      <c r="D2014">
        <v>15.16</v>
      </c>
      <c r="E2014">
        <v>-1.3</v>
      </c>
      <c r="F2014">
        <v>-0.2</v>
      </c>
      <c r="H2014" s="4" t="str">
        <f t="array" aca="1" ref="H2014" ca="1">SUBSTITUTE(SUBSTITUTE(_xlfn.TEXTJOIN("",TRUE,IF(ISERR(MID(C2014,ROW(INDIRECT("1:100")),1)+0),MID(C2014,ROW(INDIRECT("1:100")),1),"")),")",""),"(","")</f>
        <v>Transportation</v>
      </c>
    </row>
    <row r="2015" spans="1:8" x14ac:dyDescent="0.25">
      <c r="A2015">
        <v>2021</v>
      </c>
      <c r="B2015">
        <v>1</v>
      </c>
      <c r="C2015" t="s">
        <v>35</v>
      </c>
      <c r="D2015">
        <v>8.9079999999999995</v>
      </c>
      <c r="E2015">
        <v>0.6</v>
      </c>
      <c r="F2015">
        <v>5.8000000000000003E-2</v>
      </c>
      <c r="H2015" s="4" t="str">
        <f t="array" aca="1" ref="H2015" ca="1">SUBSTITUTE(SUBSTITUTE(_xlfn.TEXTJOIN("",TRUE,IF(ISERR(MID(C2015,ROW(INDIRECT("1:100")),1)+0),MID(C2015,ROW(INDIRECT("1:100")),1),"")),")",""),"(","")</f>
        <v>Utilities and public transportation</v>
      </c>
    </row>
    <row r="2016" spans="1:8" x14ac:dyDescent="0.25">
      <c r="A2016">
        <v>2021</v>
      </c>
      <c r="B2016">
        <v>1</v>
      </c>
      <c r="C2016" t="s">
        <v>36</v>
      </c>
      <c r="D2016">
        <v>4.6820000000000004</v>
      </c>
      <c r="E2016">
        <v>2.9</v>
      </c>
      <c r="F2016">
        <v>0.13200000000000001</v>
      </c>
      <c r="H2016" s="4" t="str">
        <f t="array" aca="1" ref="H2016" ca="1">SUBSTITUTE(SUBSTITUTE(_xlfn.TEXTJOIN("",TRUE,IF(ISERR(MID(C2016,ROW(INDIRECT("1:100")),1)+0),MID(C2016,ROW(INDIRECT("1:100")),1),"")),")",""),"(","")</f>
        <v>Household furnishings and operations</v>
      </c>
    </row>
    <row r="2017" spans="1:8" x14ac:dyDescent="0.25">
      <c r="A2017">
        <v>2021</v>
      </c>
      <c r="B2017">
        <v>1</v>
      </c>
      <c r="C2017" t="s">
        <v>12</v>
      </c>
      <c r="D2017">
        <v>3.1589999999999998</v>
      </c>
      <c r="E2017">
        <v>2.1</v>
      </c>
      <c r="F2017">
        <v>6.6000000000000003E-2</v>
      </c>
      <c r="H2017" s="4" t="str">
        <f t="array" aca="1" ref="H2017" ca="1">SUBSTITUTE(SUBSTITUTE(_xlfn.TEXTJOIN("",TRUE,IF(ISERR(MID(C2017,ROW(INDIRECT("1:100")),1)+0),MID(C2017,ROW(INDIRECT("1:100")),1),"")),")",""),"(","")</f>
        <v>Other goods and services</v>
      </c>
    </row>
    <row r="2018" spans="1:8" x14ac:dyDescent="0.25">
      <c r="A2018">
        <v>2021</v>
      </c>
      <c r="B2018">
        <v>2</v>
      </c>
      <c r="C2018" t="s">
        <v>14</v>
      </c>
      <c r="D2018">
        <v>100</v>
      </c>
      <c r="E2018">
        <v>1.7</v>
      </c>
      <c r="H2018" s="4" t="str">
        <f t="array" aca="1" ref="H2018" ca="1">SUBSTITUTE(SUBSTITUTE(_xlfn.TEXTJOIN("",TRUE,IF(ISERR(MID(C2018,ROW(INDIRECT("1:100")),1)+0),MID(C2018,ROW(INDIRECT("1:100")),1),"")),")",""),"(","")</f>
        <v>All items</v>
      </c>
    </row>
    <row r="2019" spans="1:8" x14ac:dyDescent="0.25">
      <c r="A2019">
        <v>2021</v>
      </c>
      <c r="B2019">
        <v>2</v>
      </c>
      <c r="C2019" t="s">
        <v>15</v>
      </c>
      <c r="D2019">
        <v>14.106999999999999</v>
      </c>
      <c r="E2019">
        <v>3.6</v>
      </c>
      <c r="F2019">
        <v>0.499</v>
      </c>
      <c r="H2019" s="4" t="str">
        <f t="array" aca="1" ref="H2019" ca="1">SUBSTITUTE(SUBSTITUTE(_xlfn.TEXTJOIN("",TRUE,IF(ISERR(MID(C2019,ROW(INDIRECT("1:100")),1)+0),MID(C2019,ROW(INDIRECT("1:100")),1),"")),")",""),"(","")</f>
        <v>Food</v>
      </c>
    </row>
    <row r="2020" spans="1:8" x14ac:dyDescent="0.25">
      <c r="A2020">
        <v>2021</v>
      </c>
      <c r="B2020">
        <v>2</v>
      </c>
      <c r="C2020" t="s">
        <v>16</v>
      </c>
      <c r="D2020">
        <v>6.3490000000000002</v>
      </c>
      <c r="E2020">
        <v>2.4</v>
      </c>
      <c r="F2020">
        <v>0.154</v>
      </c>
      <c r="H2020" s="4" t="str">
        <f t="array" aca="1" ref="H2020" ca="1">SUBSTITUTE(SUBSTITUTE(_xlfn.TEXTJOIN("",TRUE,IF(ISERR(MID(C2020,ROW(INDIRECT("1:100")),1)+0),MID(C2020,ROW(INDIRECT("1:100")),1),"")),")",""),"(","")</f>
        <v>Energy</v>
      </c>
    </row>
    <row r="2021" spans="1:8" x14ac:dyDescent="0.25">
      <c r="A2021">
        <v>2021</v>
      </c>
      <c r="B2021">
        <v>2</v>
      </c>
      <c r="C2021" t="s">
        <v>17</v>
      </c>
      <c r="D2021">
        <v>79.543999999999997</v>
      </c>
      <c r="E2021">
        <v>1.3</v>
      </c>
      <c r="F2021">
        <v>1.022</v>
      </c>
      <c r="H2021" s="4" t="str">
        <f t="array" aca="1" ref="H2021" ca="1">SUBSTITUTE(SUBSTITUTE(_xlfn.TEXTJOIN("",TRUE,IF(ISERR(MID(C2021,ROW(INDIRECT("1:100")),1)+0),MID(C2021,ROW(INDIRECT("1:100")),1),"")),")",""),"(","")</f>
        <v>All items less food and energy</v>
      </c>
    </row>
    <row r="2022" spans="1:8" x14ac:dyDescent="0.25">
      <c r="A2022">
        <v>2021</v>
      </c>
      <c r="B2022">
        <v>2</v>
      </c>
      <c r="C2022" t="s">
        <v>18</v>
      </c>
      <c r="H2022" s="4" t="str">
        <f t="array" aca="1" ref="H2022" ca="1">SUBSTITUTE(SUBSTITUTE(_xlfn.TEXTJOIN("",TRUE,IF(ISERR(MID(C2022,ROW(INDIRECT("1:100")),1)+0),MID(C2022,ROW(INDIRECT("1:100")),1),"")),")",""),"(","")</f>
        <v>Special aggregate indexes</v>
      </c>
    </row>
    <row r="2023" spans="1:8" x14ac:dyDescent="0.25">
      <c r="A2023">
        <v>2021</v>
      </c>
      <c r="B2023">
        <v>2</v>
      </c>
      <c r="C2023" t="s">
        <v>19</v>
      </c>
      <c r="D2023">
        <v>85.893000000000001</v>
      </c>
      <c r="E2023">
        <v>1.4</v>
      </c>
      <c r="F2023">
        <v>1.1759999999999999</v>
      </c>
      <c r="H2023" s="4" t="str">
        <f t="array" aca="1" ref="H2023" ca="1">SUBSTITUTE(SUBSTITUTE(_xlfn.TEXTJOIN("",TRUE,IF(ISERR(MID(C2023,ROW(INDIRECT("1:100")),1)+0),MID(C2023,ROW(INDIRECT("1:100")),1),"")),")",""),"(","")</f>
        <v>All items less food</v>
      </c>
    </row>
    <row r="2024" spans="1:8" x14ac:dyDescent="0.25">
      <c r="A2024">
        <v>2021</v>
      </c>
      <c r="B2024">
        <v>2</v>
      </c>
      <c r="C2024" t="s">
        <v>20</v>
      </c>
      <c r="D2024">
        <v>66.766999999999996</v>
      </c>
      <c r="E2024">
        <v>1.8</v>
      </c>
      <c r="F2024">
        <v>1.19</v>
      </c>
      <c r="H2024" s="4" t="str">
        <f t="array" aca="1" ref="H2024" ca="1">SUBSTITUTE(SUBSTITUTE(_xlfn.TEXTJOIN("",TRUE,IF(ISERR(MID(C2024,ROW(INDIRECT("1:100")),1)+0),MID(C2024,ROW(INDIRECT("1:100")),1),"")),")",""),"(","")</f>
        <v>All items less shelter</v>
      </c>
    </row>
    <row r="2025" spans="1:8" x14ac:dyDescent="0.25">
      <c r="A2025">
        <v>2021</v>
      </c>
      <c r="B2025">
        <v>2</v>
      </c>
      <c r="C2025" t="s">
        <v>21</v>
      </c>
      <c r="D2025">
        <v>52.66</v>
      </c>
      <c r="E2025">
        <v>1.3</v>
      </c>
      <c r="F2025">
        <v>0.69</v>
      </c>
      <c r="H2025" s="4" t="str">
        <f t="array" aca="1" ref="H2025" ca="1">SUBSTITUTE(SUBSTITUTE(_xlfn.TEXTJOIN("",TRUE,IF(ISERR(MID(C2025,ROW(INDIRECT("1:100")),1)+0),MID(C2025,ROW(INDIRECT("1:100")),1),"")),")",""),"(","")</f>
        <v>All items less food and shelter</v>
      </c>
    </row>
    <row r="2026" spans="1:8" x14ac:dyDescent="0.25">
      <c r="A2026">
        <v>2021</v>
      </c>
      <c r="B2026">
        <v>2</v>
      </c>
      <c r="C2026" t="s">
        <v>22</v>
      </c>
      <c r="D2026">
        <v>46.311</v>
      </c>
      <c r="E2026">
        <v>1.2</v>
      </c>
      <c r="F2026">
        <v>0.53600000000000003</v>
      </c>
      <c r="H2026" s="4" t="str">
        <f t="array" aca="1" ref="H2026" ca="1">SUBSTITUTE(SUBSTITUTE(_xlfn.TEXTJOIN("",TRUE,IF(ISERR(MID(C2026,ROW(INDIRECT("1:100")),1)+0),MID(C2026,ROW(INDIRECT("1:100")),1),"")),")",""),"(","")</f>
        <v>All items less food, shelter, and energy</v>
      </c>
    </row>
    <row r="2027" spans="1:8" x14ac:dyDescent="0.25">
      <c r="A2027">
        <v>2021</v>
      </c>
      <c r="B2027">
        <v>2</v>
      </c>
      <c r="C2027" t="s">
        <v>23</v>
      </c>
      <c r="D2027">
        <v>43.594999999999999</v>
      </c>
      <c r="E2027">
        <v>0.7</v>
      </c>
      <c r="F2027">
        <v>0.30199999999999999</v>
      </c>
      <c r="H2027" s="4" t="str">
        <f t="array" aca="1" ref="H2027" ca="1">SUBSTITUTE(SUBSTITUTE(_xlfn.TEXTJOIN("",TRUE,IF(ISERR(MID(C2027,ROW(INDIRECT("1:100")),1)+0),MID(C2027,ROW(INDIRECT("1:100")),1),"")),")",""),"(","")</f>
        <v>All items less food, shelter, energy, and used cars and trucks</v>
      </c>
    </row>
    <row r="2028" spans="1:8" x14ac:dyDescent="0.25">
      <c r="A2028">
        <v>2021</v>
      </c>
      <c r="B2028">
        <v>2</v>
      </c>
      <c r="C2028" t="s">
        <v>24</v>
      </c>
      <c r="D2028">
        <v>91.111000000000004</v>
      </c>
      <c r="E2028">
        <v>1.6</v>
      </c>
      <c r="F2028">
        <v>1.4990000000000001</v>
      </c>
      <c r="H2028" s="4" t="str">
        <f t="array" aca="1" ref="H2028" ca="1">SUBSTITUTE(SUBSTITUTE(_xlfn.TEXTJOIN("",TRUE,IF(ISERR(MID(C2028,ROW(INDIRECT("1:100")),1)+0),MID(C2028,ROW(INDIRECT("1:100")),1),"")),")",""),"(","")</f>
        <v>All items less medical care</v>
      </c>
    </row>
    <row r="2029" spans="1:8" x14ac:dyDescent="0.25">
      <c r="A2029">
        <v>2021</v>
      </c>
      <c r="B2029">
        <v>2</v>
      </c>
      <c r="C2029" t="s">
        <v>25</v>
      </c>
      <c r="D2029">
        <v>93.650999999999996</v>
      </c>
      <c r="E2029">
        <v>1.6</v>
      </c>
      <c r="F2029">
        <v>1.522</v>
      </c>
      <c r="H2029" s="4" t="str">
        <f t="array" aca="1" ref="H2029" ca="1">SUBSTITUTE(SUBSTITUTE(_xlfn.TEXTJOIN("",TRUE,IF(ISERR(MID(C2029,ROW(INDIRECT("1:100")),1)+0),MID(C2029,ROW(INDIRECT("1:100")),1),"")),")",""),"(","")</f>
        <v>All items less energy</v>
      </c>
    </row>
    <row r="2030" spans="1:8" x14ac:dyDescent="0.25">
      <c r="A2030">
        <v>2021</v>
      </c>
      <c r="B2030">
        <v>2</v>
      </c>
      <c r="C2030" t="s">
        <v>26</v>
      </c>
      <c r="D2030">
        <v>37.526000000000003</v>
      </c>
      <c r="E2030">
        <v>2.2000000000000002</v>
      </c>
      <c r="F2030">
        <v>0.82299999999999995</v>
      </c>
      <c r="H2030" s="4" t="str">
        <f t="array" aca="1" ref="H2030" ca="1">SUBSTITUTE(SUBSTITUTE(_xlfn.TEXTJOIN("",TRUE,IF(ISERR(MID(C2030,ROW(INDIRECT("1:100")),1)+0),MID(C2030,ROW(INDIRECT("1:100")),1),"")),")",""),"(","")</f>
        <v>Commodities</v>
      </c>
    </row>
    <row r="2031" spans="1:8" x14ac:dyDescent="0.25">
      <c r="A2031">
        <v>2021</v>
      </c>
      <c r="B2031">
        <v>2</v>
      </c>
      <c r="C2031" t="s">
        <v>27</v>
      </c>
      <c r="D2031">
        <v>62.473999999999997</v>
      </c>
      <c r="E2031">
        <v>1.4</v>
      </c>
      <c r="F2031">
        <v>0.85299999999999998</v>
      </c>
      <c r="H2031" s="4" t="str">
        <f t="array" aca="1" ref="H2031" ca="1">SUBSTITUTE(SUBSTITUTE(_xlfn.TEXTJOIN("",TRUE,IF(ISERR(MID(C2031,ROW(INDIRECT("1:100")),1)+0),MID(C2031,ROW(INDIRECT("1:100")),1),"")),")",""),"(","")</f>
        <v>Services</v>
      </c>
    </row>
    <row r="2032" spans="1:8" x14ac:dyDescent="0.25">
      <c r="A2032">
        <v>2021</v>
      </c>
      <c r="B2032">
        <v>2</v>
      </c>
      <c r="C2032" t="s">
        <v>28</v>
      </c>
      <c r="D2032">
        <v>10.878</v>
      </c>
      <c r="E2032">
        <v>3.3</v>
      </c>
      <c r="F2032">
        <v>0.35499999999999998</v>
      </c>
      <c r="H2032" s="4" t="str">
        <f t="array" aca="1" ref="H2032" ca="1">SUBSTITUTE(SUBSTITUTE(_xlfn.TEXTJOIN("",TRUE,IF(ISERR(MID(C2032,ROW(INDIRECT("1:100")),1)+0),MID(C2032,ROW(INDIRECT("1:100")),1),"")),")",""),"(","")</f>
        <v>Durables</v>
      </c>
    </row>
    <row r="2033" spans="1:8" x14ac:dyDescent="0.25">
      <c r="A2033">
        <v>2021</v>
      </c>
      <c r="B2033">
        <v>2</v>
      </c>
      <c r="C2033" t="s">
        <v>29</v>
      </c>
      <c r="D2033">
        <v>26.648</v>
      </c>
      <c r="E2033">
        <v>1.7</v>
      </c>
      <c r="F2033">
        <v>0.46800000000000003</v>
      </c>
      <c r="H2033" s="4" t="str">
        <f t="array" aca="1" ref="H2033" ca="1">SUBSTITUTE(SUBSTITUTE(_xlfn.TEXTJOIN("",TRUE,IF(ISERR(MID(C2033,ROW(INDIRECT("1:100")),1)+0),MID(C2033,ROW(INDIRECT("1:100")),1),"")),")",""),"(","")</f>
        <v>Nondurables</v>
      </c>
    </row>
    <row r="2034" spans="1:8" x14ac:dyDescent="0.25">
      <c r="A2034">
        <v>2021</v>
      </c>
      <c r="B2034">
        <v>2</v>
      </c>
      <c r="C2034" t="s">
        <v>8</v>
      </c>
      <c r="D2034">
        <v>42.305999999999997</v>
      </c>
      <c r="E2034">
        <v>1.8</v>
      </c>
      <c r="F2034">
        <v>0.75700000000000001</v>
      </c>
      <c r="H2034" s="4" t="str">
        <f t="array" aca="1" ref="H2034" ca="1">SUBSTITUTE(SUBSTITUTE(_xlfn.TEXTJOIN("",TRUE,IF(ISERR(MID(C2034,ROW(INDIRECT("1:100")),1)+0),MID(C2034,ROW(INDIRECT("1:100")),1),"")),")",""),"(","")</f>
        <v>Housing</v>
      </c>
    </row>
    <row r="2035" spans="1:8" x14ac:dyDescent="0.25">
      <c r="A2035">
        <v>2021</v>
      </c>
      <c r="B2035">
        <v>2</v>
      </c>
      <c r="C2035" t="s">
        <v>30</v>
      </c>
      <c r="D2035">
        <v>6.7809999999999997</v>
      </c>
      <c r="E2035">
        <v>1.7</v>
      </c>
      <c r="F2035">
        <v>0.11700000000000001</v>
      </c>
      <c r="H2035" s="4" t="str">
        <f t="array" aca="1" ref="H2035" ca="1">SUBSTITUTE(SUBSTITUTE(_xlfn.TEXTJOIN("",TRUE,IF(ISERR(MID(C2035,ROW(INDIRECT("1:100")),1)+0),MID(C2035,ROW(INDIRECT("1:100")),1),"")),")",""),"(","")</f>
        <v>Education and communication</v>
      </c>
    </row>
    <row r="2036" spans="1:8" x14ac:dyDescent="0.25">
      <c r="A2036">
        <v>2021</v>
      </c>
      <c r="B2036">
        <v>2</v>
      </c>
      <c r="C2036" t="s">
        <v>31</v>
      </c>
      <c r="D2036">
        <v>5.7460000000000004</v>
      </c>
      <c r="E2036">
        <v>0.8</v>
      </c>
      <c r="F2036">
        <v>4.4999999999999998E-2</v>
      </c>
      <c r="H2036" s="4" t="str">
        <f t="array" aca="1" ref="H2036" ca="1">SUBSTITUTE(SUBSTITUTE(_xlfn.TEXTJOIN("",TRUE,IF(ISERR(MID(C2036,ROW(INDIRECT("1:100")),1)+0),MID(C2036,ROW(INDIRECT("1:100")),1),"")),")",""),"(","")</f>
        <v>Recreation</v>
      </c>
    </row>
    <row r="2037" spans="1:8" x14ac:dyDescent="0.25">
      <c r="A2037">
        <v>2021</v>
      </c>
      <c r="B2037">
        <v>2</v>
      </c>
      <c r="C2037" t="s">
        <v>6</v>
      </c>
      <c r="D2037">
        <v>15.141</v>
      </c>
      <c r="E2037">
        <v>3.5</v>
      </c>
      <c r="F2037">
        <v>0.52</v>
      </c>
      <c r="H2037" s="4" t="str">
        <f t="array" aca="1" ref="H2037" ca="1">SUBSTITUTE(SUBSTITUTE(_xlfn.TEXTJOIN("",TRUE,IF(ISERR(MID(C2037,ROW(INDIRECT("1:100")),1)+0),MID(C2037,ROW(INDIRECT("1:100")),1),"")),")",""),"(","")</f>
        <v>Food and beverages</v>
      </c>
    </row>
    <row r="2038" spans="1:8" x14ac:dyDescent="0.25">
      <c r="A2038">
        <v>2021</v>
      </c>
      <c r="B2038">
        <v>2</v>
      </c>
      <c r="C2038" t="s">
        <v>32</v>
      </c>
      <c r="D2038">
        <v>11.686</v>
      </c>
      <c r="E2038">
        <v>1.8</v>
      </c>
      <c r="F2038">
        <v>0.20799999999999999</v>
      </c>
      <c r="H2038" s="4" t="str">
        <f t="array" aca="1" ref="H2038" ca="1">SUBSTITUTE(SUBSTITUTE(_xlfn.TEXTJOIN("",TRUE,IF(ISERR(MID(C2038,ROW(INDIRECT("1:100")),1)+0),MID(C2038,ROW(INDIRECT("1:100")),1),"")),")",""),"(","")</f>
        <v>Other services</v>
      </c>
    </row>
    <row r="2039" spans="1:8" x14ac:dyDescent="0.25">
      <c r="A2039">
        <v>2021</v>
      </c>
      <c r="B2039">
        <v>2</v>
      </c>
      <c r="C2039" t="s">
        <v>33</v>
      </c>
      <c r="D2039">
        <v>2.081</v>
      </c>
      <c r="E2039">
        <v>-3.9</v>
      </c>
      <c r="F2039">
        <v>-8.7999999999999995E-2</v>
      </c>
      <c r="H2039" s="4" t="str">
        <f t="array" aca="1" ref="H2039" ca="1">SUBSTITUTE(SUBSTITUTE(_xlfn.TEXTJOIN("",TRUE,IF(ISERR(MID(C2039,ROW(INDIRECT("1:100")),1)+0),MID(C2039,ROW(INDIRECT("1:100")),1),"")),")",""),"(","")</f>
        <v>Apparel less footwear</v>
      </c>
    </row>
    <row r="2040" spans="1:8" x14ac:dyDescent="0.25">
      <c r="A2040">
        <v>2021</v>
      </c>
      <c r="B2040">
        <v>2</v>
      </c>
      <c r="C2040" t="s">
        <v>34</v>
      </c>
      <c r="D2040">
        <v>4.3979999999999997</v>
      </c>
      <c r="E2040">
        <v>3.4</v>
      </c>
      <c r="F2040">
        <v>0.14899999999999999</v>
      </c>
      <c r="H2040" s="4" t="str">
        <f t="array" aca="1" ref="H2040" ca="1">SUBSTITUTE(SUBSTITUTE(_xlfn.TEXTJOIN("",TRUE,IF(ISERR(MID(C2040,ROW(INDIRECT("1:100")),1)+0),MID(C2040,ROW(INDIRECT("1:100")),1),"")),")",""),"(","")</f>
        <v>Fuels and utilities</v>
      </c>
    </row>
    <row r="2041" spans="1:8" x14ac:dyDescent="0.25">
      <c r="A2041">
        <v>2021</v>
      </c>
      <c r="B2041">
        <v>2</v>
      </c>
      <c r="C2041" t="s">
        <v>11</v>
      </c>
      <c r="D2041">
        <v>8.8889999999999993</v>
      </c>
      <c r="E2041">
        <v>2</v>
      </c>
      <c r="F2041">
        <v>0.17699999999999999</v>
      </c>
      <c r="H2041" s="4" t="str">
        <f t="array" aca="1" ref="H2041" ca="1">SUBSTITUTE(SUBSTITUTE(_xlfn.TEXTJOIN("",TRUE,IF(ISERR(MID(C2041,ROW(INDIRECT("1:100")),1)+0),MID(C2041,ROW(INDIRECT("1:100")),1),"")),")",""),"(","")</f>
        <v>Medical care</v>
      </c>
    </row>
    <row r="2042" spans="1:8" x14ac:dyDescent="0.25">
      <c r="A2042">
        <v>2021</v>
      </c>
      <c r="B2042">
        <v>2</v>
      </c>
      <c r="C2042" t="s">
        <v>7</v>
      </c>
      <c r="D2042">
        <v>15.25</v>
      </c>
      <c r="E2042">
        <v>0.6</v>
      </c>
      <c r="F2042">
        <v>9.6000000000000002E-2</v>
      </c>
      <c r="H2042" s="4" t="str">
        <f t="array" aca="1" ref="H2042" ca="1">SUBSTITUTE(SUBSTITUTE(_xlfn.TEXTJOIN("",TRUE,IF(ISERR(MID(C2042,ROW(INDIRECT("1:100")),1)+0),MID(C2042,ROW(INDIRECT("1:100")),1),"")),")",""),"(","")</f>
        <v>Transportation</v>
      </c>
    </row>
    <row r="2043" spans="1:8" x14ac:dyDescent="0.25">
      <c r="A2043">
        <v>2021</v>
      </c>
      <c r="B2043">
        <v>2</v>
      </c>
      <c r="C2043" t="s">
        <v>35</v>
      </c>
      <c r="D2043">
        <v>8.8719999999999999</v>
      </c>
      <c r="E2043">
        <v>0.8</v>
      </c>
      <c r="F2043">
        <v>7.2999999999999995E-2</v>
      </c>
      <c r="H2043" s="4" t="str">
        <f t="array" aca="1" ref="H2043" ca="1">SUBSTITUTE(SUBSTITUTE(_xlfn.TEXTJOIN("",TRUE,IF(ISERR(MID(C2043,ROW(INDIRECT("1:100")),1)+0),MID(C2043,ROW(INDIRECT("1:100")),1),"")),")",""),"(","")</f>
        <v>Utilities and public transportation</v>
      </c>
    </row>
    <row r="2044" spans="1:8" x14ac:dyDescent="0.25">
      <c r="A2044">
        <v>2021</v>
      </c>
      <c r="B2044">
        <v>2</v>
      </c>
      <c r="C2044" t="s">
        <v>36</v>
      </c>
      <c r="D2044">
        <v>4.6749999999999998</v>
      </c>
      <c r="E2044">
        <v>2.6</v>
      </c>
      <c r="F2044">
        <v>0.122</v>
      </c>
      <c r="H2044" s="4" t="str">
        <f t="array" aca="1" ref="H2044" ca="1">SUBSTITUTE(SUBSTITUTE(_xlfn.TEXTJOIN("",TRUE,IF(ISERR(MID(C2044,ROW(INDIRECT("1:100")),1)+0),MID(C2044,ROW(INDIRECT("1:100")),1),"")),")",""),"(","")</f>
        <v>Household furnishings and operations</v>
      </c>
    </row>
    <row r="2045" spans="1:8" x14ac:dyDescent="0.25">
      <c r="A2045">
        <v>2021</v>
      </c>
      <c r="B2045">
        <v>2</v>
      </c>
      <c r="C2045" t="s">
        <v>12</v>
      </c>
      <c r="D2045">
        <v>3.157</v>
      </c>
      <c r="E2045">
        <v>2.1</v>
      </c>
      <c r="F2045">
        <v>6.6000000000000003E-2</v>
      </c>
      <c r="H2045" s="4" t="str">
        <f t="array" aca="1" ref="H2045" ca="1">SUBSTITUTE(SUBSTITUTE(_xlfn.TEXTJOIN("",TRUE,IF(ISERR(MID(C2045,ROW(INDIRECT("1:100")),1)+0),MID(C2045,ROW(INDIRECT("1:100")),1),"")),")",""),"(","")</f>
        <v>Other goods and services</v>
      </c>
    </row>
    <row r="2046" spans="1:8" x14ac:dyDescent="0.25">
      <c r="A2046">
        <v>2021</v>
      </c>
      <c r="B2046">
        <v>3</v>
      </c>
      <c r="C2046" t="s">
        <v>14</v>
      </c>
      <c r="D2046">
        <v>100</v>
      </c>
      <c r="E2046">
        <v>2.6</v>
      </c>
      <c r="H2046" s="4" t="str">
        <f t="array" aca="1" ref="H2046" ca="1">SUBSTITUTE(SUBSTITUTE(_xlfn.TEXTJOIN("",TRUE,IF(ISERR(MID(C2046,ROW(INDIRECT("1:100")),1)+0),MID(C2046,ROW(INDIRECT("1:100")),1),"")),")",""),"(","")</f>
        <v>All items</v>
      </c>
    </row>
    <row r="2047" spans="1:8" x14ac:dyDescent="0.25">
      <c r="A2047">
        <v>2021</v>
      </c>
      <c r="B2047">
        <v>3</v>
      </c>
      <c r="C2047" t="s">
        <v>15</v>
      </c>
      <c r="D2047">
        <v>14.052</v>
      </c>
      <c r="E2047">
        <v>3.5</v>
      </c>
      <c r="F2047">
        <v>0.48</v>
      </c>
      <c r="H2047" s="4" t="str">
        <f t="array" aca="1" ref="H2047" ca="1">SUBSTITUTE(SUBSTITUTE(_xlfn.TEXTJOIN("",TRUE,IF(ISERR(MID(C2047,ROW(INDIRECT("1:100")),1)+0),MID(C2047,ROW(INDIRECT("1:100")),1),"")),")",""),"(","")</f>
        <v>Food</v>
      </c>
    </row>
    <row r="2048" spans="1:8" x14ac:dyDescent="0.25">
      <c r="A2048">
        <v>2021</v>
      </c>
      <c r="B2048">
        <v>3</v>
      </c>
      <c r="C2048" t="s">
        <v>16</v>
      </c>
      <c r="D2048">
        <v>6.5609999999999999</v>
      </c>
      <c r="E2048">
        <v>13.2</v>
      </c>
      <c r="F2048">
        <v>0.82399999999999995</v>
      </c>
      <c r="H2048" s="4" t="str">
        <f t="array" aca="1" ref="H2048" ca="1">SUBSTITUTE(SUBSTITUTE(_xlfn.TEXTJOIN("",TRUE,IF(ISERR(MID(C2048,ROW(INDIRECT("1:100")),1)+0),MID(C2048,ROW(INDIRECT("1:100")),1),"")),")",""),"(","")</f>
        <v>Energy</v>
      </c>
    </row>
    <row r="2049" spans="1:8" x14ac:dyDescent="0.25">
      <c r="A2049">
        <v>2021</v>
      </c>
      <c r="B2049">
        <v>3</v>
      </c>
      <c r="C2049" t="s">
        <v>17</v>
      </c>
      <c r="D2049">
        <v>79.387</v>
      </c>
      <c r="E2049">
        <v>1.6</v>
      </c>
      <c r="F2049">
        <v>1.3149999999999999</v>
      </c>
      <c r="H2049" s="4" t="str">
        <f t="array" aca="1" ref="H2049" ca="1">SUBSTITUTE(SUBSTITUTE(_xlfn.TEXTJOIN("",TRUE,IF(ISERR(MID(C2049,ROW(INDIRECT("1:100")),1)+0),MID(C2049,ROW(INDIRECT("1:100")),1),"")),")",""),"(","")</f>
        <v>All items less food and energy</v>
      </c>
    </row>
    <row r="2050" spans="1:8" x14ac:dyDescent="0.25">
      <c r="A2050">
        <v>2021</v>
      </c>
      <c r="B2050">
        <v>3</v>
      </c>
      <c r="C2050" t="s">
        <v>18</v>
      </c>
      <c r="H2050" s="4" t="str">
        <f t="array" aca="1" ref="H2050" ca="1">SUBSTITUTE(SUBSTITUTE(_xlfn.TEXTJOIN("",TRUE,IF(ISERR(MID(C2050,ROW(INDIRECT("1:100")),1)+0),MID(C2050,ROW(INDIRECT("1:100")),1),"")),")",""),"(","")</f>
        <v>Special aggregate indexes</v>
      </c>
    </row>
    <row r="2051" spans="1:8" x14ac:dyDescent="0.25">
      <c r="A2051">
        <v>2021</v>
      </c>
      <c r="B2051">
        <v>3</v>
      </c>
      <c r="C2051" t="s">
        <v>19</v>
      </c>
      <c r="D2051">
        <v>85.947999999999993</v>
      </c>
      <c r="E2051">
        <v>2.5</v>
      </c>
      <c r="F2051">
        <v>2.1389999999999998</v>
      </c>
      <c r="H2051" s="4" t="str">
        <f t="array" aca="1" ref="H2051" ca="1">SUBSTITUTE(SUBSTITUTE(_xlfn.TEXTJOIN("",TRUE,IF(ISERR(MID(C2051,ROW(INDIRECT("1:100")),1)+0),MID(C2051,ROW(INDIRECT("1:100")),1),"")),")",""),"(","")</f>
        <v>All items less food</v>
      </c>
    </row>
    <row r="2052" spans="1:8" x14ac:dyDescent="0.25">
      <c r="A2052">
        <v>2021</v>
      </c>
      <c r="B2052">
        <v>3</v>
      </c>
      <c r="C2052" t="s">
        <v>20</v>
      </c>
      <c r="D2052">
        <v>66.875</v>
      </c>
      <c r="E2052">
        <v>3.1</v>
      </c>
      <c r="F2052">
        <v>2.0550000000000002</v>
      </c>
      <c r="H2052" s="4" t="str">
        <f t="array" aca="1" ref="H2052" ca="1">SUBSTITUTE(SUBSTITUTE(_xlfn.TEXTJOIN("",TRUE,IF(ISERR(MID(C2052,ROW(INDIRECT("1:100")),1)+0),MID(C2052,ROW(INDIRECT("1:100")),1),"")),")",""),"(","")</f>
        <v>All items less shelter</v>
      </c>
    </row>
    <row r="2053" spans="1:8" x14ac:dyDescent="0.25">
      <c r="A2053">
        <v>2021</v>
      </c>
      <c r="B2053">
        <v>3</v>
      </c>
      <c r="C2053" t="s">
        <v>21</v>
      </c>
      <c r="D2053">
        <v>52.823</v>
      </c>
      <c r="E2053">
        <v>3</v>
      </c>
      <c r="F2053">
        <v>1.5740000000000001</v>
      </c>
      <c r="H2053" s="4" t="str">
        <f t="array" aca="1" ref="H2053" ca="1">SUBSTITUTE(SUBSTITUTE(_xlfn.TEXTJOIN("",TRUE,IF(ISERR(MID(C2053,ROW(INDIRECT("1:100")),1)+0),MID(C2053,ROW(INDIRECT("1:100")),1),"")),")",""),"(","")</f>
        <v>All items less food and shelter</v>
      </c>
    </row>
    <row r="2054" spans="1:8" x14ac:dyDescent="0.25">
      <c r="A2054">
        <v>2021</v>
      </c>
      <c r="B2054">
        <v>3</v>
      </c>
      <c r="C2054" t="s">
        <v>22</v>
      </c>
      <c r="D2054">
        <v>46.262</v>
      </c>
      <c r="E2054">
        <v>1.6</v>
      </c>
      <c r="F2054">
        <v>0.75</v>
      </c>
      <c r="H2054" s="4" t="str">
        <f t="array" aca="1" ref="H2054" ca="1">SUBSTITUTE(SUBSTITUTE(_xlfn.TEXTJOIN("",TRUE,IF(ISERR(MID(C2054,ROW(INDIRECT("1:100")),1)+0),MID(C2054,ROW(INDIRECT("1:100")),1),"")),")",""),"(","")</f>
        <v>All items less food, shelter, and energy</v>
      </c>
    </row>
    <row r="2055" spans="1:8" x14ac:dyDescent="0.25">
      <c r="A2055">
        <v>2021</v>
      </c>
      <c r="B2055">
        <v>3</v>
      </c>
      <c r="C2055" t="s">
        <v>23</v>
      </c>
      <c r="D2055">
        <v>43.551000000000002</v>
      </c>
      <c r="E2055">
        <v>1.2</v>
      </c>
      <c r="F2055">
        <v>0.50800000000000001</v>
      </c>
      <c r="H2055" s="4" t="str">
        <f t="array" aca="1" ref="H2055" ca="1">SUBSTITUTE(SUBSTITUTE(_xlfn.TEXTJOIN("",TRUE,IF(ISERR(MID(C2055,ROW(INDIRECT("1:100")),1)+0),MID(C2055,ROW(INDIRECT("1:100")),1),"")),")",""),"(","")</f>
        <v>All items less food, shelter, energy, and used cars and trucks</v>
      </c>
    </row>
    <row r="2056" spans="1:8" x14ac:dyDescent="0.25">
      <c r="A2056">
        <v>2021</v>
      </c>
      <c r="B2056">
        <v>3</v>
      </c>
      <c r="C2056" t="s">
        <v>24</v>
      </c>
      <c r="D2056">
        <v>91.123999999999995</v>
      </c>
      <c r="E2056">
        <v>2.7</v>
      </c>
      <c r="F2056">
        <v>2.4620000000000002</v>
      </c>
      <c r="H2056" s="4" t="str">
        <f t="array" aca="1" ref="H2056" ca="1">SUBSTITUTE(SUBSTITUTE(_xlfn.TEXTJOIN("",TRUE,IF(ISERR(MID(C2056,ROW(INDIRECT("1:100")),1)+0),MID(C2056,ROW(INDIRECT("1:100")),1),"")),")",""),"(","")</f>
        <v>All items less medical care</v>
      </c>
    </row>
    <row r="2057" spans="1:8" x14ac:dyDescent="0.25">
      <c r="A2057">
        <v>2021</v>
      </c>
      <c r="B2057">
        <v>3</v>
      </c>
      <c r="C2057" t="s">
        <v>25</v>
      </c>
      <c r="D2057">
        <v>93.438999999999993</v>
      </c>
      <c r="E2057">
        <v>1.9</v>
      </c>
      <c r="F2057">
        <v>1.796</v>
      </c>
      <c r="H2057" s="4" t="str">
        <f t="array" aca="1" ref="H2057" ca="1">SUBSTITUTE(SUBSTITUTE(_xlfn.TEXTJOIN("",TRUE,IF(ISERR(MID(C2057,ROW(INDIRECT("1:100")),1)+0),MID(C2057,ROW(INDIRECT("1:100")),1),"")),")",""),"(","")</f>
        <v>All items less energy</v>
      </c>
    </row>
    <row r="2058" spans="1:8" x14ac:dyDescent="0.25">
      <c r="A2058">
        <v>2021</v>
      </c>
      <c r="B2058">
        <v>3</v>
      </c>
      <c r="C2058" t="s">
        <v>26</v>
      </c>
      <c r="D2058">
        <v>37.642000000000003</v>
      </c>
      <c r="E2058">
        <v>4.0999999999999996</v>
      </c>
      <c r="F2058">
        <v>1.522</v>
      </c>
      <c r="H2058" s="4" t="str">
        <f t="array" aca="1" ref="H2058" ca="1">SUBSTITUTE(SUBSTITUTE(_xlfn.TEXTJOIN("",TRUE,IF(ISERR(MID(C2058,ROW(INDIRECT("1:100")),1)+0),MID(C2058,ROW(INDIRECT("1:100")),1),"")),")",""),"(","")</f>
        <v>Commodities</v>
      </c>
    </row>
    <row r="2059" spans="1:8" x14ac:dyDescent="0.25">
      <c r="A2059">
        <v>2021</v>
      </c>
      <c r="B2059">
        <v>3</v>
      </c>
      <c r="C2059" t="s">
        <v>27</v>
      </c>
      <c r="D2059">
        <v>62.357999999999997</v>
      </c>
      <c r="E2059">
        <v>1.8</v>
      </c>
      <c r="F2059">
        <v>1.0980000000000001</v>
      </c>
      <c r="H2059" s="4" t="str">
        <f t="array" aca="1" ref="H2059" ca="1">SUBSTITUTE(SUBSTITUTE(_xlfn.TEXTJOIN("",TRUE,IF(ISERR(MID(C2059,ROW(INDIRECT("1:100")),1)+0),MID(C2059,ROW(INDIRECT("1:100")),1),"")),")",""),"(","")</f>
        <v>Services</v>
      </c>
    </row>
    <row r="2060" spans="1:8" x14ac:dyDescent="0.25">
      <c r="A2060">
        <v>2021</v>
      </c>
      <c r="B2060">
        <v>3</v>
      </c>
      <c r="C2060" t="s">
        <v>28</v>
      </c>
      <c r="D2060">
        <v>10.856</v>
      </c>
      <c r="E2060">
        <v>3.7</v>
      </c>
      <c r="F2060">
        <v>0.39900000000000002</v>
      </c>
      <c r="H2060" s="4" t="str">
        <f t="array" aca="1" ref="H2060" ca="1">SUBSTITUTE(SUBSTITUTE(_xlfn.TEXTJOIN("",TRUE,IF(ISERR(MID(C2060,ROW(INDIRECT("1:100")),1)+0),MID(C2060,ROW(INDIRECT("1:100")),1),"")),")",""),"(","")</f>
        <v>Durables</v>
      </c>
    </row>
    <row r="2061" spans="1:8" x14ac:dyDescent="0.25">
      <c r="A2061">
        <v>2021</v>
      </c>
      <c r="B2061">
        <v>3</v>
      </c>
      <c r="C2061" t="s">
        <v>29</v>
      </c>
      <c r="D2061">
        <v>26.786000000000001</v>
      </c>
      <c r="E2061">
        <v>4.2</v>
      </c>
      <c r="F2061">
        <v>1.1220000000000001</v>
      </c>
      <c r="H2061" s="4" t="str">
        <f t="array" aca="1" ref="H2061" ca="1">SUBSTITUTE(SUBSTITUTE(_xlfn.TEXTJOIN("",TRUE,IF(ISERR(MID(C2061,ROW(INDIRECT("1:100")),1)+0),MID(C2061,ROW(INDIRECT("1:100")),1),"")),")",""),"(","")</f>
        <v>Nondurables</v>
      </c>
    </row>
    <row r="2062" spans="1:8" x14ac:dyDescent="0.25">
      <c r="A2062">
        <v>2021</v>
      </c>
      <c r="B2062">
        <v>3</v>
      </c>
      <c r="C2062" t="s">
        <v>8</v>
      </c>
      <c r="D2062">
        <v>42.198999999999998</v>
      </c>
      <c r="E2062">
        <v>2.1</v>
      </c>
      <c r="F2062">
        <v>0.89900000000000002</v>
      </c>
      <c r="H2062" s="4" t="str">
        <f t="array" aca="1" ref="H2062" ca="1">SUBSTITUTE(SUBSTITUTE(_xlfn.TEXTJOIN("",TRUE,IF(ISERR(MID(C2062,ROW(INDIRECT("1:100")),1)+0),MID(C2062,ROW(INDIRECT("1:100")),1),"")),")",""),"(","")</f>
        <v>Housing</v>
      </c>
    </row>
    <row r="2063" spans="1:8" x14ac:dyDescent="0.25">
      <c r="A2063">
        <v>2021</v>
      </c>
      <c r="B2063">
        <v>3</v>
      </c>
      <c r="C2063" t="s">
        <v>30</v>
      </c>
      <c r="D2063">
        <v>6.75</v>
      </c>
      <c r="E2063">
        <v>1.5</v>
      </c>
      <c r="F2063">
        <v>0.10100000000000001</v>
      </c>
      <c r="H2063" s="4" t="str">
        <f t="array" aca="1" ref="H2063" ca="1">SUBSTITUTE(SUBSTITUTE(_xlfn.TEXTJOIN("",TRUE,IF(ISERR(MID(C2063,ROW(INDIRECT("1:100")),1)+0),MID(C2063,ROW(INDIRECT("1:100")),1),"")),")",""),"(","")</f>
        <v>Education and communication</v>
      </c>
    </row>
    <row r="2064" spans="1:8" x14ac:dyDescent="0.25">
      <c r="A2064">
        <v>2021</v>
      </c>
      <c r="B2064">
        <v>3</v>
      </c>
      <c r="C2064" t="s">
        <v>31</v>
      </c>
      <c r="D2064">
        <v>5.7560000000000002</v>
      </c>
      <c r="E2064">
        <v>1.1000000000000001</v>
      </c>
      <c r="F2064">
        <v>6.2E-2</v>
      </c>
      <c r="H2064" s="4" t="str">
        <f t="array" aca="1" ref="H2064" ca="1">SUBSTITUTE(SUBSTITUTE(_xlfn.TEXTJOIN("",TRUE,IF(ISERR(MID(C2064,ROW(INDIRECT("1:100")),1)+0),MID(C2064,ROW(INDIRECT("1:100")),1),"")),")",""),"(","")</f>
        <v>Recreation</v>
      </c>
    </row>
    <row r="2065" spans="1:8" x14ac:dyDescent="0.25">
      <c r="A2065">
        <v>2021</v>
      </c>
      <c r="B2065">
        <v>3</v>
      </c>
      <c r="C2065" t="s">
        <v>6</v>
      </c>
      <c r="D2065">
        <v>15.082000000000001</v>
      </c>
      <c r="E2065">
        <v>3.4</v>
      </c>
      <c r="F2065">
        <v>0.501</v>
      </c>
      <c r="H2065" s="4" t="str">
        <f t="array" aca="1" ref="H2065" ca="1">SUBSTITUTE(SUBSTITUTE(_xlfn.TEXTJOIN("",TRUE,IF(ISERR(MID(C2065,ROW(INDIRECT("1:100")),1)+0),MID(C2065,ROW(INDIRECT("1:100")),1),"")),")",""),"(","")</f>
        <v>Food and beverages</v>
      </c>
    </row>
    <row r="2066" spans="1:8" x14ac:dyDescent="0.25">
      <c r="A2066">
        <v>2021</v>
      </c>
      <c r="B2066">
        <v>3</v>
      </c>
      <c r="C2066" t="s">
        <v>32</v>
      </c>
      <c r="D2066">
        <v>11.664999999999999</v>
      </c>
      <c r="E2066">
        <v>1.9</v>
      </c>
      <c r="F2066">
        <v>0.222</v>
      </c>
      <c r="H2066" s="4" t="str">
        <f t="array" aca="1" ref="H2066" ca="1">SUBSTITUTE(SUBSTITUTE(_xlfn.TEXTJOIN("",TRUE,IF(ISERR(MID(C2066,ROW(INDIRECT("1:100")),1)+0),MID(C2066,ROW(INDIRECT("1:100")),1),"")),")",""),"(","")</f>
        <v>Other services</v>
      </c>
    </row>
    <row r="2067" spans="1:8" x14ac:dyDescent="0.25">
      <c r="A2067">
        <v>2021</v>
      </c>
      <c r="B2067">
        <v>3</v>
      </c>
      <c r="C2067" t="s">
        <v>33</v>
      </c>
      <c r="D2067">
        <v>2.1139999999999999</v>
      </c>
      <c r="E2067">
        <v>-3.2</v>
      </c>
      <c r="F2067">
        <v>-7.0999999999999994E-2</v>
      </c>
      <c r="H2067" s="4" t="str">
        <f t="array" aca="1" ref="H2067" ca="1">SUBSTITUTE(SUBSTITUTE(_xlfn.TEXTJOIN("",TRUE,IF(ISERR(MID(C2067,ROW(INDIRECT("1:100")),1)+0),MID(C2067,ROW(INDIRECT("1:100")),1),"")),")",""),"(","")</f>
        <v>Apparel less footwear</v>
      </c>
    </row>
    <row r="2068" spans="1:8" x14ac:dyDescent="0.25">
      <c r="A2068">
        <v>2021</v>
      </c>
      <c r="B2068">
        <v>3</v>
      </c>
      <c r="C2068" t="s">
        <v>34</v>
      </c>
      <c r="D2068">
        <v>4.4160000000000004</v>
      </c>
      <c r="E2068">
        <v>4.4000000000000004</v>
      </c>
      <c r="F2068">
        <v>0.19</v>
      </c>
      <c r="H2068" s="4" t="str">
        <f t="array" aca="1" ref="H2068" ca="1">SUBSTITUTE(SUBSTITUTE(_xlfn.TEXTJOIN("",TRUE,IF(ISERR(MID(C2068,ROW(INDIRECT("1:100")),1)+0),MID(C2068,ROW(INDIRECT("1:100")),1),"")),")",""),"(","")</f>
        <v>Fuels and utilities</v>
      </c>
    </row>
    <row r="2069" spans="1:8" x14ac:dyDescent="0.25">
      <c r="A2069">
        <v>2021</v>
      </c>
      <c r="B2069">
        <v>3</v>
      </c>
      <c r="C2069" t="s">
        <v>11</v>
      </c>
      <c r="D2069">
        <v>8.8759999999999994</v>
      </c>
      <c r="E2069">
        <v>1.8</v>
      </c>
      <c r="F2069">
        <v>0.158</v>
      </c>
      <c r="H2069" s="4" t="str">
        <f t="array" aca="1" ref="H2069" ca="1">SUBSTITUTE(SUBSTITUTE(_xlfn.TEXTJOIN("",TRUE,IF(ISERR(MID(C2069,ROW(INDIRECT("1:100")),1)+0),MID(C2069,ROW(INDIRECT("1:100")),1),"")),")",""),"(","")</f>
        <v>Medical care</v>
      </c>
    </row>
    <row r="2070" spans="1:8" x14ac:dyDescent="0.25">
      <c r="A2070">
        <v>2021</v>
      </c>
      <c r="B2070">
        <v>3</v>
      </c>
      <c r="C2070" t="s">
        <v>7</v>
      </c>
      <c r="D2070">
        <v>15.419</v>
      </c>
      <c r="E2070">
        <v>5.8</v>
      </c>
      <c r="F2070">
        <v>0.89500000000000002</v>
      </c>
      <c r="H2070" s="4" t="str">
        <f t="array" aca="1" ref="H2070" ca="1">SUBSTITUTE(SUBSTITUTE(_xlfn.TEXTJOIN("",TRUE,IF(ISERR(MID(C2070,ROW(INDIRECT("1:100")),1)+0),MID(C2070,ROW(INDIRECT("1:100")),1),"")),")",""),"(","")</f>
        <v>Transportation</v>
      </c>
    </row>
    <row r="2071" spans="1:8" x14ac:dyDescent="0.25">
      <c r="A2071">
        <v>2021</v>
      </c>
      <c r="B2071">
        <v>3</v>
      </c>
      <c r="C2071" t="s">
        <v>35</v>
      </c>
      <c r="D2071">
        <v>8.8650000000000002</v>
      </c>
      <c r="E2071">
        <v>2.4</v>
      </c>
      <c r="F2071">
        <v>0.20799999999999999</v>
      </c>
      <c r="H2071" s="4" t="str">
        <f t="array" aca="1" ref="H2071" ca="1">SUBSTITUTE(SUBSTITUTE(_xlfn.TEXTJOIN("",TRUE,IF(ISERR(MID(C2071,ROW(INDIRECT("1:100")),1)+0),MID(C2071,ROW(INDIRECT("1:100")),1),"")),")",""),"(","")</f>
        <v>Utilities and public transportation</v>
      </c>
    </row>
    <row r="2072" spans="1:8" x14ac:dyDescent="0.25">
      <c r="A2072">
        <v>2021</v>
      </c>
      <c r="B2072">
        <v>3</v>
      </c>
      <c r="C2072" t="s">
        <v>36</v>
      </c>
      <c r="D2072">
        <v>4.657</v>
      </c>
      <c r="E2072">
        <v>3.1</v>
      </c>
      <c r="F2072">
        <v>0.14399999999999999</v>
      </c>
      <c r="H2072" s="4" t="str">
        <f t="array" aca="1" ref="H2072" ca="1">SUBSTITUTE(SUBSTITUTE(_xlfn.TEXTJOIN("",TRUE,IF(ISERR(MID(C2072,ROW(INDIRECT("1:100")),1)+0),MID(C2072,ROW(INDIRECT("1:100")),1),"")),")",""),"(","")</f>
        <v>Household furnishings and operations</v>
      </c>
    </row>
    <row r="2073" spans="1:8" x14ac:dyDescent="0.25">
      <c r="A2073">
        <v>2021</v>
      </c>
      <c r="B2073">
        <v>3</v>
      </c>
      <c r="C2073" t="s">
        <v>12</v>
      </c>
      <c r="D2073">
        <v>3.1520000000000001</v>
      </c>
      <c r="E2073">
        <v>2.4</v>
      </c>
      <c r="F2073">
        <v>7.5999999999999998E-2</v>
      </c>
      <c r="H2073" s="4" t="str">
        <f t="array" aca="1" ref="H2073" ca="1">SUBSTITUTE(SUBSTITUTE(_xlfn.TEXTJOIN("",TRUE,IF(ISERR(MID(C2073,ROW(INDIRECT("1:100")),1)+0),MID(C2073,ROW(INDIRECT("1:100")),1),"")),")",""),"(","")</f>
        <v>Other goods and services</v>
      </c>
    </row>
    <row r="2074" spans="1:8" x14ac:dyDescent="0.25">
      <c r="A2074">
        <v>2021</v>
      </c>
      <c r="B2074">
        <v>4</v>
      </c>
      <c r="C2074" t="s">
        <v>14</v>
      </c>
      <c r="D2074">
        <v>100</v>
      </c>
      <c r="E2074">
        <v>4.2</v>
      </c>
      <c r="H2074" s="4" t="str">
        <f t="array" aca="1" ref="H2074" ca="1">SUBSTITUTE(SUBSTITUTE(_xlfn.TEXTJOIN("",TRUE,IF(ISERR(MID(C2074,ROW(INDIRECT("1:100")),1)+0),MID(C2074,ROW(INDIRECT("1:100")),1),"")),")",""),"(","")</f>
        <v>All items</v>
      </c>
    </row>
    <row r="2075" spans="1:8" x14ac:dyDescent="0.25">
      <c r="A2075">
        <v>2021</v>
      </c>
      <c r="B2075">
        <v>4</v>
      </c>
      <c r="C2075" t="s">
        <v>15</v>
      </c>
      <c r="D2075">
        <v>13.976000000000001</v>
      </c>
      <c r="E2075">
        <v>2.4</v>
      </c>
      <c r="F2075">
        <v>0.33600000000000002</v>
      </c>
      <c r="H2075" s="4" t="str">
        <f t="array" aca="1" ref="H2075" ca="1">SUBSTITUTE(SUBSTITUTE(_xlfn.TEXTJOIN("",TRUE,IF(ISERR(MID(C2075,ROW(INDIRECT("1:100")),1)+0),MID(C2075,ROW(INDIRECT("1:100")),1),"")),")",""),"(","")</f>
        <v>Food</v>
      </c>
    </row>
    <row r="2076" spans="1:8" x14ac:dyDescent="0.25">
      <c r="A2076">
        <v>2021</v>
      </c>
      <c r="B2076">
        <v>4</v>
      </c>
      <c r="C2076" t="s">
        <v>16</v>
      </c>
      <c r="D2076">
        <v>6.899</v>
      </c>
      <c r="E2076">
        <v>25.1</v>
      </c>
      <c r="F2076">
        <v>1.4530000000000001</v>
      </c>
      <c r="H2076" s="4" t="str">
        <f t="array" aca="1" ref="H2076" ca="1">SUBSTITUTE(SUBSTITUTE(_xlfn.TEXTJOIN("",TRUE,IF(ISERR(MID(C2076,ROW(INDIRECT("1:100")),1)+0),MID(C2076,ROW(INDIRECT("1:100")),1),"")),")",""),"(","")</f>
        <v>Energy</v>
      </c>
    </row>
    <row r="2077" spans="1:8" x14ac:dyDescent="0.25">
      <c r="A2077">
        <v>2021</v>
      </c>
      <c r="B2077">
        <v>4</v>
      </c>
      <c r="C2077" t="s">
        <v>17</v>
      </c>
      <c r="D2077">
        <v>79.125</v>
      </c>
      <c r="E2077">
        <v>3</v>
      </c>
      <c r="F2077">
        <v>2.37</v>
      </c>
      <c r="H2077" s="4" t="str">
        <f t="array" aca="1" ref="H2077" ca="1">SUBSTITUTE(SUBSTITUTE(_xlfn.TEXTJOIN("",TRUE,IF(ISERR(MID(C2077,ROW(INDIRECT("1:100")),1)+0),MID(C2077,ROW(INDIRECT("1:100")),1),"")),")",""),"(","")</f>
        <v>All items less food and energy</v>
      </c>
    </row>
    <row r="2078" spans="1:8" x14ac:dyDescent="0.25">
      <c r="A2078">
        <v>2021</v>
      </c>
      <c r="B2078">
        <v>4</v>
      </c>
      <c r="C2078" t="s">
        <v>18</v>
      </c>
      <c r="H2078" s="4" t="str">
        <f t="array" aca="1" ref="H2078" ca="1">SUBSTITUTE(SUBSTITUTE(_xlfn.TEXTJOIN("",TRUE,IF(ISERR(MID(C2078,ROW(INDIRECT("1:100")),1)+0),MID(C2078,ROW(INDIRECT("1:100")),1),"")),")",""),"(","")</f>
        <v>Special aggregate indexes</v>
      </c>
    </row>
    <row r="2079" spans="1:8" x14ac:dyDescent="0.25">
      <c r="A2079">
        <v>2021</v>
      </c>
      <c r="B2079">
        <v>4</v>
      </c>
      <c r="C2079" t="s">
        <v>19</v>
      </c>
      <c r="D2079">
        <v>86.024000000000001</v>
      </c>
      <c r="E2079">
        <v>4.5</v>
      </c>
      <c r="F2079">
        <v>3.823</v>
      </c>
      <c r="H2079" s="4" t="str">
        <f t="array" aca="1" ref="H2079" ca="1">SUBSTITUTE(SUBSTITUTE(_xlfn.TEXTJOIN("",TRUE,IF(ISERR(MID(C2079,ROW(INDIRECT("1:100")),1)+0),MID(C2079,ROW(INDIRECT("1:100")),1),"")),")",""),"(","")</f>
        <v>All items less food</v>
      </c>
    </row>
    <row r="2080" spans="1:8" x14ac:dyDescent="0.25">
      <c r="A2080">
        <v>2021</v>
      </c>
      <c r="B2080">
        <v>4</v>
      </c>
      <c r="C2080" t="s">
        <v>20</v>
      </c>
      <c r="D2080">
        <v>66.995999999999995</v>
      </c>
      <c r="E2080">
        <v>5.2</v>
      </c>
      <c r="F2080">
        <v>3.4540000000000002</v>
      </c>
      <c r="H2080" s="4" t="str">
        <f t="array" aca="1" ref="H2080" ca="1">SUBSTITUTE(SUBSTITUTE(_xlfn.TEXTJOIN("",TRUE,IF(ISERR(MID(C2080,ROW(INDIRECT("1:100")),1)+0),MID(C2080,ROW(INDIRECT("1:100")),1),"")),")",""),"(","")</f>
        <v>All items less shelter</v>
      </c>
    </row>
    <row r="2081" spans="1:8" x14ac:dyDescent="0.25">
      <c r="A2081">
        <v>2021</v>
      </c>
      <c r="B2081">
        <v>4</v>
      </c>
      <c r="C2081" t="s">
        <v>21</v>
      </c>
      <c r="D2081">
        <v>53.02</v>
      </c>
      <c r="E2081">
        <v>6</v>
      </c>
      <c r="F2081">
        <v>3.117</v>
      </c>
      <c r="H2081" s="4" t="str">
        <f t="array" aca="1" ref="H2081" ca="1">SUBSTITUTE(SUBSTITUTE(_xlfn.TEXTJOIN("",TRUE,IF(ISERR(MID(C2081,ROW(INDIRECT("1:100")),1)+0),MID(C2081,ROW(INDIRECT("1:100")),1),"")),")",""),"(","")</f>
        <v>All items less food and shelter</v>
      </c>
    </row>
    <row r="2082" spans="1:8" x14ac:dyDescent="0.25">
      <c r="A2082">
        <v>2021</v>
      </c>
      <c r="B2082">
        <v>4</v>
      </c>
      <c r="C2082" t="s">
        <v>22</v>
      </c>
      <c r="D2082">
        <v>46.121000000000002</v>
      </c>
      <c r="E2082">
        <v>3.6</v>
      </c>
      <c r="F2082">
        <v>1.665</v>
      </c>
      <c r="H2082" s="4" t="str">
        <f t="array" aca="1" ref="H2082" ca="1">SUBSTITUTE(SUBSTITUTE(_xlfn.TEXTJOIN("",TRUE,IF(ISERR(MID(C2082,ROW(INDIRECT("1:100")),1)+0),MID(C2082,ROW(INDIRECT("1:100")),1),"")),")",""),"(","")</f>
        <v>All items less food, shelter, and energy</v>
      </c>
    </row>
    <row r="2083" spans="1:8" x14ac:dyDescent="0.25">
      <c r="A2083">
        <v>2021</v>
      </c>
      <c r="B2083">
        <v>4</v>
      </c>
      <c r="C2083" t="s">
        <v>23</v>
      </c>
      <c r="D2083">
        <v>43.363999999999997</v>
      </c>
      <c r="E2083">
        <v>2.6</v>
      </c>
      <c r="F2083">
        <v>1.123</v>
      </c>
      <c r="H2083" s="4" t="str">
        <f t="array" aca="1" ref="H2083" ca="1">SUBSTITUTE(SUBSTITUTE(_xlfn.TEXTJOIN("",TRUE,IF(ISERR(MID(C2083,ROW(INDIRECT("1:100")),1)+0),MID(C2083,ROW(INDIRECT("1:100")),1),"")),")",""),"(","")</f>
        <v>All items less food, shelter, energy, and used cars and trucks</v>
      </c>
    </row>
    <row r="2084" spans="1:8" x14ac:dyDescent="0.25">
      <c r="A2084">
        <v>2021</v>
      </c>
      <c r="B2084">
        <v>4</v>
      </c>
      <c r="C2084" t="s">
        <v>24</v>
      </c>
      <c r="D2084">
        <v>91.177999999999997</v>
      </c>
      <c r="E2084">
        <v>4.4000000000000004</v>
      </c>
      <c r="F2084">
        <v>4.0289999999999999</v>
      </c>
      <c r="H2084" s="4" t="str">
        <f t="array" aca="1" ref="H2084" ca="1">SUBSTITUTE(SUBSTITUTE(_xlfn.TEXTJOIN("",TRUE,IF(ISERR(MID(C2084,ROW(INDIRECT("1:100")),1)+0),MID(C2084,ROW(INDIRECT("1:100")),1),"")),")",""),"(","")</f>
        <v>All items less medical care</v>
      </c>
    </row>
    <row r="2085" spans="1:8" x14ac:dyDescent="0.25">
      <c r="A2085">
        <v>2021</v>
      </c>
      <c r="B2085">
        <v>4</v>
      </c>
      <c r="C2085" t="s">
        <v>25</v>
      </c>
      <c r="D2085">
        <v>93.100999999999999</v>
      </c>
      <c r="E2085">
        <v>2.9</v>
      </c>
      <c r="F2085">
        <v>2.7069999999999999</v>
      </c>
      <c r="H2085" s="4" t="str">
        <f t="array" aca="1" ref="H2085" ca="1">SUBSTITUTE(SUBSTITUTE(_xlfn.TEXTJOIN("",TRUE,IF(ISERR(MID(C2085,ROW(INDIRECT("1:100")),1)+0),MID(C2085,ROW(INDIRECT("1:100")),1),"")),")",""),"(","")</f>
        <v>All items less energy</v>
      </c>
    </row>
    <row r="2086" spans="1:8" x14ac:dyDescent="0.25">
      <c r="A2086">
        <v>2021</v>
      </c>
      <c r="B2086">
        <v>4</v>
      </c>
      <c r="C2086" t="s">
        <v>26</v>
      </c>
      <c r="D2086">
        <v>37.866</v>
      </c>
      <c r="E2086">
        <v>6.8</v>
      </c>
      <c r="F2086">
        <v>2.5110000000000001</v>
      </c>
      <c r="H2086" s="4" t="str">
        <f t="array" aca="1" ref="H2086" ca="1">SUBSTITUTE(SUBSTITUTE(_xlfn.TEXTJOIN("",TRUE,IF(ISERR(MID(C2086,ROW(INDIRECT("1:100")),1)+0),MID(C2086,ROW(INDIRECT("1:100")),1),"")),")",""),"(","")</f>
        <v>Commodities</v>
      </c>
    </row>
    <row r="2087" spans="1:8" x14ac:dyDescent="0.25">
      <c r="A2087">
        <v>2021</v>
      </c>
      <c r="B2087">
        <v>4</v>
      </c>
      <c r="C2087" t="s">
        <v>27</v>
      </c>
      <c r="D2087">
        <v>62.134</v>
      </c>
      <c r="E2087">
        <v>2.6</v>
      </c>
      <c r="F2087">
        <v>1.649</v>
      </c>
      <c r="H2087" s="4" t="str">
        <f t="array" aca="1" ref="H2087" ca="1">SUBSTITUTE(SUBSTITUTE(_xlfn.TEXTJOIN("",TRUE,IF(ISERR(MID(C2087,ROW(INDIRECT("1:100")),1)+0),MID(C2087,ROW(INDIRECT("1:100")),1),"")),")",""),"(","")</f>
        <v>Services</v>
      </c>
    </row>
    <row r="2088" spans="1:8" x14ac:dyDescent="0.25">
      <c r="A2088">
        <v>2021</v>
      </c>
      <c r="B2088">
        <v>4</v>
      </c>
      <c r="C2088" t="s">
        <v>28</v>
      </c>
      <c r="D2088">
        <v>10.85</v>
      </c>
      <c r="E2088">
        <v>7.3</v>
      </c>
      <c r="F2088">
        <v>0.78900000000000003</v>
      </c>
      <c r="H2088" s="4" t="str">
        <f t="array" aca="1" ref="H2088" ca="1">SUBSTITUTE(SUBSTITUTE(_xlfn.TEXTJOIN("",TRUE,IF(ISERR(MID(C2088,ROW(INDIRECT("1:100")),1)+0),MID(C2088,ROW(INDIRECT("1:100")),1),"")),")",""),"(","")</f>
        <v>Durables</v>
      </c>
    </row>
    <row r="2089" spans="1:8" x14ac:dyDescent="0.25">
      <c r="A2089">
        <v>2021</v>
      </c>
      <c r="B2089">
        <v>4</v>
      </c>
      <c r="C2089" t="s">
        <v>29</v>
      </c>
      <c r="D2089">
        <v>27.015000000000001</v>
      </c>
      <c r="E2089">
        <v>6.5</v>
      </c>
      <c r="F2089">
        <v>1.7210000000000001</v>
      </c>
      <c r="H2089" s="4" t="str">
        <f t="array" aca="1" ref="H2089" ca="1">SUBSTITUTE(SUBSTITUTE(_xlfn.TEXTJOIN("",TRUE,IF(ISERR(MID(C2089,ROW(INDIRECT("1:100")),1)+0),MID(C2089,ROW(INDIRECT("1:100")),1),"")),")",""),"(","")</f>
        <v>Nondurables</v>
      </c>
    </row>
    <row r="2090" spans="1:8" x14ac:dyDescent="0.25">
      <c r="A2090">
        <v>2021</v>
      </c>
      <c r="B2090">
        <v>4</v>
      </c>
      <c r="C2090" t="s">
        <v>8</v>
      </c>
      <c r="D2090">
        <v>42.036999999999999</v>
      </c>
      <c r="E2090">
        <v>2.6</v>
      </c>
      <c r="F2090">
        <v>1.113</v>
      </c>
      <c r="H2090" s="4" t="str">
        <f t="array" aca="1" ref="H2090" ca="1">SUBSTITUTE(SUBSTITUTE(_xlfn.TEXTJOIN("",TRUE,IF(ISERR(MID(C2090,ROW(INDIRECT("1:100")),1)+0),MID(C2090,ROW(INDIRECT("1:100")),1),"")),")",""),"(","")</f>
        <v>Housing</v>
      </c>
    </row>
    <row r="2091" spans="1:8" x14ac:dyDescent="0.25">
      <c r="A2091">
        <v>2021</v>
      </c>
      <c r="B2091">
        <v>4</v>
      </c>
      <c r="C2091" t="s">
        <v>30</v>
      </c>
      <c r="D2091">
        <v>6.6840000000000002</v>
      </c>
      <c r="E2091">
        <v>1.7</v>
      </c>
      <c r="F2091">
        <v>0.11600000000000001</v>
      </c>
      <c r="H2091" s="4" t="str">
        <f t="array" aca="1" ref="H2091" ca="1">SUBSTITUTE(SUBSTITUTE(_xlfn.TEXTJOIN("",TRUE,IF(ISERR(MID(C2091,ROW(INDIRECT("1:100")),1)+0),MID(C2091,ROW(INDIRECT("1:100")),1),"")),")",""),"(","")</f>
        <v>Education and communication</v>
      </c>
    </row>
    <row r="2092" spans="1:8" x14ac:dyDescent="0.25">
      <c r="A2092">
        <v>2021</v>
      </c>
      <c r="B2092">
        <v>4</v>
      </c>
      <c r="C2092" t="s">
        <v>31</v>
      </c>
      <c r="D2092">
        <v>5.7409999999999997</v>
      </c>
      <c r="E2092">
        <v>2.1</v>
      </c>
      <c r="F2092">
        <v>0.125</v>
      </c>
      <c r="H2092" s="4" t="str">
        <f t="array" aca="1" ref="H2092" ca="1">SUBSTITUTE(SUBSTITUTE(_xlfn.TEXTJOIN("",TRUE,IF(ISERR(MID(C2092,ROW(INDIRECT("1:100")),1)+0),MID(C2092,ROW(INDIRECT("1:100")),1),"")),")",""),"(","")</f>
        <v>Recreation</v>
      </c>
    </row>
    <row r="2093" spans="1:8" x14ac:dyDescent="0.25">
      <c r="A2093">
        <v>2021</v>
      </c>
      <c r="B2093">
        <v>4</v>
      </c>
      <c r="C2093" t="s">
        <v>6</v>
      </c>
      <c r="D2093">
        <v>15.000999999999999</v>
      </c>
      <c r="E2093">
        <v>2.2999999999999998</v>
      </c>
      <c r="F2093">
        <v>0.35599999999999998</v>
      </c>
      <c r="H2093" s="4" t="str">
        <f t="array" aca="1" ref="H2093" ca="1">SUBSTITUTE(SUBSTITUTE(_xlfn.TEXTJOIN("",TRUE,IF(ISERR(MID(C2093,ROW(INDIRECT("1:100")),1)+0),MID(C2093,ROW(INDIRECT("1:100")),1),"")),")",""),"(","")</f>
        <v>Food and beverages</v>
      </c>
    </row>
    <row r="2094" spans="1:8" x14ac:dyDescent="0.25">
      <c r="A2094">
        <v>2021</v>
      </c>
      <c r="B2094">
        <v>4</v>
      </c>
      <c r="C2094" t="s">
        <v>32</v>
      </c>
      <c r="D2094">
        <v>11.62</v>
      </c>
      <c r="E2094">
        <v>2.1</v>
      </c>
      <c r="F2094">
        <v>0.245</v>
      </c>
      <c r="H2094" s="4" t="str">
        <f t="array" aca="1" ref="H2094" ca="1">SUBSTITUTE(SUBSTITUTE(_xlfn.TEXTJOIN("",TRUE,IF(ISERR(MID(C2094,ROW(INDIRECT("1:100")),1)+0),MID(C2094,ROW(INDIRECT("1:100")),1),"")),")",""),"(","")</f>
        <v>Other services</v>
      </c>
    </row>
    <row r="2095" spans="1:8" x14ac:dyDescent="0.25">
      <c r="A2095">
        <v>2021</v>
      </c>
      <c r="B2095">
        <v>4</v>
      </c>
      <c r="C2095" t="s">
        <v>33</v>
      </c>
      <c r="D2095">
        <v>2.1110000000000002</v>
      </c>
      <c r="E2095">
        <v>1.3</v>
      </c>
      <c r="F2095">
        <v>2.8000000000000001E-2</v>
      </c>
      <c r="H2095" s="4" t="str">
        <f t="array" aca="1" ref="H2095" ca="1">SUBSTITUTE(SUBSTITUTE(_xlfn.TEXTJOIN("",TRUE,IF(ISERR(MID(C2095,ROW(INDIRECT("1:100")),1)+0),MID(C2095,ROW(INDIRECT("1:100")),1),"")),")",""),"(","")</f>
        <v>Apparel less footwear</v>
      </c>
    </row>
    <row r="2096" spans="1:8" x14ac:dyDescent="0.25">
      <c r="A2096">
        <v>2021</v>
      </c>
      <c r="B2096">
        <v>4</v>
      </c>
      <c r="C2096" t="s">
        <v>34</v>
      </c>
      <c r="D2096">
        <v>4.3940000000000001</v>
      </c>
      <c r="E2096">
        <v>5.7</v>
      </c>
      <c r="F2096">
        <v>0.245</v>
      </c>
      <c r="H2096" s="4" t="str">
        <f t="array" aca="1" ref="H2096" ca="1">SUBSTITUTE(SUBSTITUTE(_xlfn.TEXTJOIN("",TRUE,IF(ISERR(MID(C2096,ROW(INDIRECT("1:100")),1)+0),MID(C2096,ROW(INDIRECT("1:100")),1),"")),")",""),"(","")</f>
        <v>Fuels and utilities</v>
      </c>
    </row>
    <row r="2097" spans="1:8" x14ac:dyDescent="0.25">
      <c r="A2097">
        <v>2021</v>
      </c>
      <c r="B2097">
        <v>4</v>
      </c>
      <c r="C2097" t="s">
        <v>11</v>
      </c>
      <c r="D2097">
        <v>8.8219999999999992</v>
      </c>
      <c r="E2097">
        <v>1.5</v>
      </c>
      <c r="F2097">
        <v>0.13100000000000001</v>
      </c>
      <c r="H2097" s="4" t="str">
        <f t="array" aca="1" ref="H2097" ca="1">SUBSTITUTE(SUBSTITUTE(_xlfn.TEXTJOIN("",TRUE,IF(ISERR(MID(C2097,ROW(INDIRECT("1:100")),1)+0),MID(C2097,ROW(INDIRECT("1:100")),1),"")),")",""),"(","")</f>
        <v>Medical care</v>
      </c>
    </row>
    <row r="2098" spans="1:8" x14ac:dyDescent="0.25">
      <c r="A2098">
        <v>2021</v>
      </c>
      <c r="B2098">
        <v>4</v>
      </c>
      <c r="C2098" t="s">
        <v>7</v>
      </c>
      <c r="D2098">
        <v>15.802</v>
      </c>
      <c r="E2098">
        <v>14.9</v>
      </c>
      <c r="F2098">
        <v>2.1800000000000002</v>
      </c>
      <c r="H2098" s="4" t="str">
        <f t="array" aca="1" ref="H2098" ca="1">SUBSTITUTE(SUBSTITUTE(_xlfn.TEXTJOIN("",TRUE,IF(ISERR(MID(C2098,ROW(INDIRECT("1:100")),1)+0),MID(C2098,ROW(INDIRECT("1:100")),1),"")),")",""),"(","")</f>
        <v>Transportation</v>
      </c>
    </row>
    <row r="2099" spans="1:8" x14ac:dyDescent="0.25">
      <c r="A2099">
        <v>2021</v>
      </c>
      <c r="B2099">
        <v>4</v>
      </c>
      <c r="C2099" t="s">
        <v>35</v>
      </c>
      <c r="D2099">
        <v>8.8190000000000008</v>
      </c>
      <c r="E2099">
        <v>4.8</v>
      </c>
      <c r="F2099">
        <v>0.42199999999999999</v>
      </c>
      <c r="H2099" s="4" t="str">
        <f t="array" aca="1" ref="H2099" ca="1">SUBSTITUTE(SUBSTITUTE(_xlfn.TEXTJOIN("",TRUE,IF(ISERR(MID(C2099,ROW(INDIRECT("1:100")),1)+0),MID(C2099,ROW(INDIRECT("1:100")),1),"")),")",""),"(","")</f>
        <v>Utilities and public transportation</v>
      </c>
    </row>
    <row r="2100" spans="1:8" x14ac:dyDescent="0.25">
      <c r="A2100">
        <v>2021</v>
      </c>
      <c r="B2100">
        <v>4</v>
      </c>
      <c r="C2100" t="s">
        <v>36</v>
      </c>
      <c r="D2100">
        <v>4.6399999999999997</v>
      </c>
      <c r="E2100">
        <v>3.5</v>
      </c>
      <c r="F2100">
        <v>0.16300000000000001</v>
      </c>
      <c r="H2100" s="4" t="str">
        <f t="array" aca="1" ref="H2100" ca="1">SUBSTITUTE(SUBSTITUTE(_xlfn.TEXTJOIN("",TRUE,IF(ISERR(MID(C2100,ROW(INDIRECT("1:100")),1)+0),MID(C2100,ROW(INDIRECT("1:100")),1),"")),")",""),"(","")</f>
        <v>Household furnishings and operations</v>
      </c>
    </row>
    <row r="2101" spans="1:8" x14ac:dyDescent="0.25">
      <c r="A2101">
        <v>2021</v>
      </c>
      <c r="B2101">
        <v>4</v>
      </c>
      <c r="C2101" t="s">
        <v>12</v>
      </c>
      <c r="D2101">
        <v>3.1480000000000001</v>
      </c>
      <c r="E2101">
        <v>2.7</v>
      </c>
      <c r="F2101">
        <v>8.5000000000000006E-2</v>
      </c>
      <c r="H2101" s="4" t="str">
        <f t="array" aca="1" ref="H2101" ca="1">SUBSTITUTE(SUBSTITUTE(_xlfn.TEXTJOIN("",TRUE,IF(ISERR(MID(C2101,ROW(INDIRECT("1:100")),1)+0),MID(C2101,ROW(INDIRECT("1:100")),1),"")),")",""),"(","")</f>
        <v>Other goods and services</v>
      </c>
    </row>
    <row r="2102" spans="1:8" x14ac:dyDescent="0.25">
      <c r="A2102">
        <v>2021</v>
      </c>
      <c r="B2102">
        <v>5</v>
      </c>
      <c r="C2102" t="s">
        <v>14</v>
      </c>
      <c r="D2102">
        <v>100</v>
      </c>
      <c r="E2102">
        <v>5</v>
      </c>
      <c r="H2102" s="4" t="str">
        <f t="array" aca="1" ref="H2102" ca="1">SUBSTITUTE(SUBSTITUTE(_xlfn.TEXTJOIN("",TRUE,IF(ISERR(MID(C2102,ROW(INDIRECT("1:100")),1)+0),MID(C2102,ROW(INDIRECT("1:100")),1),"")),")",""),"(","")</f>
        <v>All items</v>
      </c>
    </row>
    <row r="2103" spans="1:8" x14ac:dyDescent="0.25">
      <c r="A2103">
        <v>2021</v>
      </c>
      <c r="B2103">
        <v>5</v>
      </c>
      <c r="C2103" t="s">
        <v>15</v>
      </c>
      <c r="D2103">
        <v>13.928000000000001</v>
      </c>
      <c r="E2103">
        <v>2.2000000000000002</v>
      </c>
      <c r="F2103">
        <v>0.307</v>
      </c>
      <c r="H2103" s="4" t="str">
        <f t="array" aca="1" ref="H2103" ca="1">SUBSTITUTE(SUBSTITUTE(_xlfn.TEXTJOIN("",TRUE,IF(ISERR(MID(C2103,ROW(INDIRECT("1:100")),1)+0),MID(C2103,ROW(INDIRECT("1:100")),1),"")),")",""),"(","")</f>
        <v>Food</v>
      </c>
    </row>
    <row r="2104" spans="1:8" x14ac:dyDescent="0.25">
      <c r="A2104">
        <v>2021</v>
      </c>
      <c r="B2104">
        <v>5</v>
      </c>
      <c r="C2104" t="s">
        <v>16</v>
      </c>
      <c r="D2104">
        <v>6.9409999999999998</v>
      </c>
      <c r="E2104">
        <v>28.5</v>
      </c>
      <c r="F2104">
        <v>1.649</v>
      </c>
      <c r="H2104" s="4" t="str">
        <f t="array" aca="1" ref="H2104" ca="1">SUBSTITUTE(SUBSTITUTE(_xlfn.TEXTJOIN("",TRUE,IF(ISERR(MID(C2104,ROW(INDIRECT("1:100")),1)+0),MID(C2104,ROW(INDIRECT("1:100")),1),"")),")",""),"(","")</f>
        <v>Energy</v>
      </c>
    </row>
    <row r="2105" spans="1:8" x14ac:dyDescent="0.25">
      <c r="A2105">
        <v>2021</v>
      </c>
      <c r="B2105">
        <v>5</v>
      </c>
      <c r="C2105" t="s">
        <v>17</v>
      </c>
      <c r="D2105">
        <v>79.131</v>
      </c>
      <c r="E2105">
        <v>3.8</v>
      </c>
      <c r="F2105">
        <v>3.0369999999999999</v>
      </c>
      <c r="H2105" s="4" t="str">
        <f t="array" aca="1" ref="H2105" ca="1">SUBSTITUTE(SUBSTITUTE(_xlfn.TEXTJOIN("",TRUE,IF(ISERR(MID(C2105,ROW(INDIRECT("1:100")),1)+0),MID(C2105,ROW(INDIRECT("1:100")),1),"")),")",""),"(","")</f>
        <v>All items less food and energy</v>
      </c>
    </row>
    <row r="2106" spans="1:8" x14ac:dyDescent="0.25">
      <c r="A2106">
        <v>2021</v>
      </c>
      <c r="B2106">
        <v>5</v>
      </c>
      <c r="C2106" t="s">
        <v>18</v>
      </c>
      <c r="H2106" s="4" t="str">
        <f t="array" aca="1" ref="H2106" ca="1">SUBSTITUTE(SUBSTITUTE(_xlfn.TEXTJOIN("",TRUE,IF(ISERR(MID(C2106,ROW(INDIRECT("1:100")),1)+0),MID(C2106,ROW(INDIRECT("1:100")),1),"")),")",""),"(","")</f>
        <v>Special aggregate indexes</v>
      </c>
    </row>
    <row r="2107" spans="1:8" x14ac:dyDescent="0.25">
      <c r="A2107">
        <v>2021</v>
      </c>
      <c r="B2107">
        <v>5</v>
      </c>
      <c r="C2107" t="s">
        <v>19</v>
      </c>
      <c r="D2107">
        <v>86.072000000000003</v>
      </c>
      <c r="E2107">
        <v>5.5</v>
      </c>
      <c r="F2107">
        <v>4.6859999999999999</v>
      </c>
      <c r="H2107" s="4" t="str">
        <f t="array" aca="1" ref="H2107" ca="1">SUBSTITUTE(SUBSTITUTE(_xlfn.TEXTJOIN("",TRUE,IF(ISERR(MID(C2107,ROW(INDIRECT("1:100")),1)+0),MID(C2107,ROW(INDIRECT("1:100")),1),"")),")",""),"(","")</f>
        <v>All items less food</v>
      </c>
    </row>
    <row r="2108" spans="1:8" x14ac:dyDescent="0.25">
      <c r="A2108">
        <v>2021</v>
      </c>
      <c r="B2108">
        <v>5</v>
      </c>
      <c r="C2108" t="s">
        <v>20</v>
      </c>
      <c r="D2108">
        <v>67.143000000000001</v>
      </c>
      <c r="E2108">
        <v>6.4</v>
      </c>
      <c r="F2108">
        <v>4.25</v>
      </c>
      <c r="H2108" s="4" t="str">
        <f t="array" aca="1" ref="H2108" ca="1">SUBSTITUTE(SUBSTITUTE(_xlfn.TEXTJOIN("",TRUE,IF(ISERR(MID(C2108,ROW(INDIRECT("1:100")),1)+0),MID(C2108,ROW(INDIRECT("1:100")),1),"")),")",""),"(","")</f>
        <v>All items less shelter</v>
      </c>
    </row>
    <row r="2109" spans="1:8" x14ac:dyDescent="0.25">
      <c r="A2109">
        <v>2021</v>
      </c>
      <c r="B2109">
        <v>5</v>
      </c>
      <c r="C2109" t="s">
        <v>21</v>
      </c>
      <c r="D2109">
        <v>53.215000000000003</v>
      </c>
      <c r="E2109">
        <v>7.6</v>
      </c>
      <c r="F2109">
        <v>3.9430000000000001</v>
      </c>
      <c r="H2109" s="4" t="str">
        <f t="array" aca="1" ref="H2109" ca="1">SUBSTITUTE(SUBSTITUTE(_xlfn.TEXTJOIN("",TRUE,IF(ISERR(MID(C2109,ROW(INDIRECT("1:100")),1)+0),MID(C2109,ROW(INDIRECT("1:100")),1),"")),")",""),"(","")</f>
        <v>All items less food and shelter</v>
      </c>
    </row>
    <row r="2110" spans="1:8" x14ac:dyDescent="0.25">
      <c r="A2110">
        <v>2021</v>
      </c>
      <c r="B2110">
        <v>5</v>
      </c>
      <c r="C2110" t="s">
        <v>22</v>
      </c>
      <c r="D2110">
        <v>46.274000000000001</v>
      </c>
      <c r="E2110">
        <v>4.9000000000000004</v>
      </c>
      <c r="F2110">
        <v>2.294</v>
      </c>
      <c r="H2110" s="4" t="str">
        <f t="array" aca="1" ref="H2110" ca="1">SUBSTITUTE(SUBSTITUTE(_xlfn.TEXTJOIN("",TRUE,IF(ISERR(MID(C2110,ROW(INDIRECT("1:100")),1)+0),MID(C2110,ROW(INDIRECT("1:100")),1),"")),")",""),"(","")</f>
        <v>All items less food, shelter, and energy</v>
      </c>
    </row>
    <row r="2111" spans="1:8" x14ac:dyDescent="0.25">
      <c r="A2111">
        <v>2021</v>
      </c>
      <c r="B2111">
        <v>5</v>
      </c>
      <c r="C2111" t="s">
        <v>23</v>
      </c>
      <c r="D2111">
        <v>43.277000000000001</v>
      </c>
      <c r="E2111">
        <v>3.5</v>
      </c>
      <c r="F2111">
        <v>1.532</v>
      </c>
      <c r="H2111" s="4" t="str">
        <f t="array" aca="1" ref="H2111" ca="1">SUBSTITUTE(SUBSTITUTE(_xlfn.TEXTJOIN("",TRUE,IF(ISERR(MID(C2111,ROW(INDIRECT("1:100")),1)+0),MID(C2111,ROW(INDIRECT("1:100")),1),"")),")",""),"(","")</f>
        <v>All items less food, shelter, energy, and used cars and trucks</v>
      </c>
    </row>
    <row r="2112" spans="1:8" x14ac:dyDescent="0.25">
      <c r="A2112">
        <v>2021</v>
      </c>
      <c r="B2112">
        <v>5</v>
      </c>
      <c r="C2112" t="s">
        <v>24</v>
      </c>
      <c r="D2112">
        <v>91.251999999999995</v>
      </c>
      <c r="E2112">
        <v>5.4</v>
      </c>
      <c r="F2112">
        <v>4.91</v>
      </c>
      <c r="H2112" s="4" t="str">
        <f t="array" aca="1" ref="H2112" ca="1">SUBSTITUTE(SUBSTITUTE(_xlfn.TEXTJOIN("",TRUE,IF(ISERR(MID(C2112,ROW(INDIRECT("1:100")),1)+0),MID(C2112,ROW(INDIRECT("1:100")),1),"")),")",""),"(","")</f>
        <v>All items less medical care</v>
      </c>
    </row>
    <row r="2113" spans="1:8" x14ac:dyDescent="0.25">
      <c r="A2113">
        <v>2021</v>
      </c>
      <c r="B2113">
        <v>5</v>
      </c>
      <c r="C2113" t="s">
        <v>25</v>
      </c>
      <c r="D2113">
        <v>93.058999999999997</v>
      </c>
      <c r="E2113">
        <v>3.5</v>
      </c>
      <c r="F2113">
        <v>3.343</v>
      </c>
      <c r="H2113" s="4" t="str">
        <f t="array" aca="1" ref="H2113" ca="1">SUBSTITUTE(SUBSTITUTE(_xlfn.TEXTJOIN("",TRUE,IF(ISERR(MID(C2113,ROW(INDIRECT("1:100")),1)+0),MID(C2113,ROW(INDIRECT("1:100")),1),"")),")",""),"(","")</f>
        <v>All items less energy</v>
      </c>
    </row>
    <row r="2114" spans="1:8" x14ac:dyDescent="0.25">
      <c r="A2114">
        <v>2021</v>
      </c>
      <c r="B2114">
        <v>5</v>
      </c>
      <c r="C2114" t="s">
        <v>26</v>
      </c>
      <c r="D2114">
        <v>38.061999999999998</v>
      </c>
      <c r="E2114">
        <v>8.3000000000000007</v>
      </c>
      <c r="F2114">
        <v>3.069</v>
      </c>
      <c r="H2114" s="4" t="str">
        <f t="array" aca="1" ref="H2114" ca="1">SUBSTITUTE(SUBSTITUTE(_xlfn.TEXTJOIN("",TRUE,IF(ISERR(MID(C2114,ROW(INDIRECT("1:100")),1)+0),MID(C2114,ROW(INDIRECT("1:100")),1),"")),")",""),"(","")</f>
        <v>Commodities</v>
      </c>
    </row>
    <row r="2115" spans="1:8" x14ac:dyDescent="0.25">
      <c r="A2115">
        <v>2021</v>
      </c>
      <c r="B2115">
        <v>5</v>
      </c>
      <c r="C2115" t="s">
        <v>27</v>
      </c>
      <c r="D2115">
        <v>61.938000000000002</v>
      </c>
      <c r="E2115">
        <v>3.1</v>
      </c>
      <c r="F2115">
        <v>1.9239999999999999</v>
      </c>
      <c r="H2115" s="4" t="str">
        <f t="array" aca="1" ref="H2115" ca="1">SUBSTITUTE(SUBSTITUTE(_xlfn.TEXTJOIN("",TRUE,IF(ISERR(MID(C2115,ROW(INDIRECT("1:100")),1)+0),MID(C2115,ROW(INDIRECT("1:100")),1),"")),")",""),"(","")</f>
        <v>Services</v>
      </c>
    </row>
    <row r="2116" spans="1:8" x14ac:dyDescent="0.25">
      <c r="A2116">
        <v>2021</v>
      </c>
      <c r="B2116">
        <v>5</v>
      </c>
      <c r="C2116" t="s">
        <v>28</v>
      </c>
      <c r="D2116">
        <v>11.097</v>
      </c>
      <c r="E2116">
        <v>10.3</v>
      </c>
      <c r="F2116">
        <v>1.109</v>
      </c>
      <c r="H2116" s="4" t="str">
        <f t="array" aca="1" ref="H2116" ca="1">SUBSTITUTE(SUBSTITUTE(_xlfn.TEXTJOIN("",TRUE,IF(ISERR(MID(C2116,ROW(INDIRECT("1:100")),1)+0),MID(C2116,ROW(INDIRECT("1:100")),1),"")),")",""),"(","")</f>
        <v>Durables</v>
      </c>
    </row>
    <row r="2117" spans="1:8" x14ac:dyDescent="0.25">
      <c r="A2117">
        <v>2021</v>
      </c>
      <c r="B2117">
        <v>5</v>
      </c>
      <c r="C2117" t="s">
        <v>29</v>
      </c>
      <c r="D2117">
        <v>26.963999999999999</v>
      </c>
      <c r="E2117">
        <v>7.4</v>
      </c>
      <c r="F2117">
        <v>1.96</v>
      </c>
      <c r="H2117" s="4" t="str">
        <f t="array" aca="1" ref="H2117" ca="1">SUBSTITUTE(SUBSTITUTE(_xlfn.TEXTJOIN("",TRUE,IF(ISERR(MID(C2117,ROW(INDIRECT("1:100")),1)+0),MID(C2117,ROW(INDIRECT("1:100")),1),"")),")",""),"(","")</f>
        <v>Nondurables</v>
      </c>
    </row>
    <row r="2118" spans="1:8" x14ac:dyDescent="0.25">
      <c r="A2118">
        <v>2021</v>
      </c>
      <c r="B2118">
        <v>5</v>
      </c>
      <c r="C2118" t="s">
        <v>8</v>
      </c>
      <c r="D2118">
        <v>41.88</v>
      </c>
      <c r="E2118">
        <v>2.9</v>
      </c>
      <c r="F2118">
        <v>1.2310000000000001</v>
      </c>
      <c r="H2118" s="4" t="str">
        <f t="array" aca="1" ref="H2118" ca="1">SUBSTITUTE(SUBSTITUTE(_xlfn.TEXTJOIN("",TRUE,IF(ISERR(MID(C2118,ROW(INDIRECT("1:100")),1)+0),MID(C2118,ROW(INDIRECT("1:100")),1),"")),")",""),"(","")</f>
        <v>Housing</v>
      </c>
    </row>
    <row r="2119" spans="1:8" x14ac:dyDescent="0.25">
      <c r="A2119">
        <v>2021</v>
      </c>
      <c r="B2119">
        <v>5</v>
      </c>
      <c r="C2119" t="s">
        <v>30</v>
      </c>
      <c r="D2119">
        <v>6.6509999999999998</v>
      </c>
      <c r="E2119">
        <v>1.9</v>
      </c>
      <c r="F2119">
        <v>0.13</v>
      </c>
      <c r="H2119" s="4" t="str">
        <f t="array" aca="1" ref="H2119" ca="1">SUBSTITUTE(SUBSTITUTE(_xlfn.TEXTJOIN("",TRUE,IF(ISERR(MID(C2119,ROW(INDIRECT("1:100")),1)+0),MID(C2119,ROW(INDIRECT("1:100")),1),"")),")",""),"(","")</f>
        <v>Education and communication</v>
      </c>
    </row>
    <row r="2120" spans="1:8" x14ac:dyDescent="0.25">
      <c r="A2120">
        <v>2021</v>
      </c>
      <c r="B2120">
        <v>5</v>
      </c>
      <c r="C2120" t="s">
        <v>31</v>
      </c>
      <c r="D2120">
        <v>5.74</v>
      </c>
      <c r="E2120">
        <v>1.6</v>
      </c>
      <c r="F2120">
        <v>9.6000000000000002E-2</v>
      </c>
      <c r="H2120" s="4" t="str">
        <f t="array" aca="1" ref="H2120" ca="1">SUBSTITUTE(SUBSTITUTE(_xlfn.TEXTJOIN("",TRUE,IF(ISERR(MID(C2120,ROW(INDIRECT("1:100")),1)+0),MID(C2120,ROW(INDIRECT("1:100")),1),"")),")",""),"(","")</f>
        <v>Recreation</v>
      </c>
    </row>
    <row r="2121" spans="1:8" x14ac:dyDescent="0.25">
      <c r="A2121">
        <v>2021</v>
      </c>
      <c r="B2121">
        <v>5</v>
      </c>
      <c r="C2121" t="s">
        <v>6</v>
      </c>
      <c r="D2121">
        <v>14.946999999999999</v>
      </c>
      <c r="E2121">
        <v>2.1</v>
      </c>
      <c r="F2121">
        <v>0.32300000000000001</v>
      </c>
      <c r="H2121" s="4" t="str">
        <f t="array" aca="1" ref="H2121" ca="1">SUBSTITUTE(SUBSTITUTE(_xlfn.TEXTJOIN("",TRUE,IF(ISERR(MID(C2121,ROW(INDIRECT("1:100")),1)+0),MID(C2121,ROW(INDIRECT("1:100")),1),"")),")",""),"(","")</f>
        <v>Food and beverages</v>
      </c>
    </row>
    <row r="2122" spans="1:8" x14ac:dyDescent="0.25">
      <c r="A2122">
        <v>2021</v>
      </c>
      <c r="B2122">
        <v>5</v>
      </c>
      <c r="C2122" t="s">
        <v>32</v>
      </c>
      <c r="D2122">
        <v>11.554</v>
      </c>
      <c r="E2122">
        <v>1.8</v>
      </c>
      <c r="F2122">
        <v>0.20799999999999999</v>
      </c>
      <c r="H2122" s="4" t="str">
        <f t="array" aca="1" ref="H2122" ca="1">SUBSTITUTE(SUBSTITUTE(_xlfn.TEXTJOIN("",TRUE,IF(ISERR(MID(C2122,ROW(INDIRECT("1:100")),1)+0),MID(C2122,ROW(INDIRECT("1:100")),1),"")),")",""),"(","")</f>
        <v>Other services</v>
      </c>
    </row>
    <row r="2123" spans="1:8" x14ac:dyDescent="0.25">
      <c r="A2123">
        <v>2021</v>
      </c>
      <c r="B2123">
        <v>5</v>
      </c>
      <c r="C2123" t="s">
        <v>33</v>
      </c>
      <c r="D2123">
        <v>2.0859999999999999</v>
      </c>
      <c r="E2123">
        <v>5.0999999999999996</v>
      </c>
      <c r="F2123">
        <v>0.105</v>
      </c>
      <c r="H2123" s="4" t="str">
        <f t="array" aca="1" ref="H2123" ca="1">SUBSTITUTE(SUBSTITUTE(_xlfn.TEXTJOIN("",TRUE,IF(ISERR(MID(C2123,ROW(INDIRECT("1:100")),1)+0),MID(C2123,ROW(INDIRECT("1:100")),1),"")),")",""),"(","")</f>
        <v>Apparel less footwear</v>
      </c>
    </row>
    <row r="2124" spans="1:8" x14ac:dyDescent="0.25">
      <c r="A2124">
        <v>2021</v>
      </c>
      <c r="B2124">
        <v>5</v>
      </c>
      <c r="C2124" t="s">
        <v>34</v>
      </c>
      <c r="D2124">
        <v>4.3869999999999996</v>
      </c>
      <c r="E2124">
        <v>6.4</v>
      </c>
      <c r="F2124">
        <v>0.27500000000000002</v>
      </c>
      <c r="H2124" s="4" t="str">
        <f t="array" aca="1" ref="H2124" ca="1">SUBSTITUTE(SUBSTITUTE(_xlfn.TEXTJOIN("",TRUE,IF(ISERR(MID(C2124,ROW(INDIRECT("1:100")),1)+0),MID(C2124,ROW(INDIRECT("1:100")),1),"")),")",""),"(","")</f>
        <v>Fuels and utilities</v>
      </c>
    </row>
    <row r="2125" spans="1:8" x14ac:dyDescent="0.25">
      <c r="A2125">
        <v>2021</v>
      </c>
      <c r="B2125">
        <v>5</v>
      </c>
      <c r="C2125" t="s">
        <v>11</v>
      </c>
      <c r="D2125">
        <v>8.7479999999999993</v>
      </c>
      <c r="E2125">
        <v>0.9</v>
      </c>
      <c r="F2125">
        <v>8.2000000000000003E-2</v>
      </c>
      <c r="H2125" s="4" t="str">
        <f t="array" aca="1" ref="H2125" ca="1">SUBSTITUTE(SUBSTITUTE(_xlfn.TEXTJOIN("",TRUE,IF(ISERR(MID(C2125,ROW(INDIRECT("1:100")),1)+0),MID(C2125,ROW(INDIRECT("1:100")),1),"")),")",""),"(","")</f>
        <v>Medical care</v>
      </c>
    </row>
    <row r="2126" spans="1:8" x14ac:dyDescent="0.25">
      <c r="A2126">
        <v>2021</v>
      </c>
      <c r="B2126">
        <v>5</v>
      </c>
      <c r="C2126" t="s">
        <v>7</v>
      </c>
      <c r="D2126">
        <v>16.166</v>
      </c>
      <c r="E2126">
        <v>20</v>
      </c>
      <c r="F2126">
        <v>2.8959999999999999</v>
      </c>
      <c r="H2126" s="4" t="str">
        <f t="array" aca="1" ref="H2126" ca="1">SUBSTITUTE(SUBSTITUTE(_xlfn.TEXTJOIN("",TRUE,IF(ISERR(MID(C2126,ROW(INDIRECT("1:100")),1)+0),MID(C2126,ROW(INDIRECT("1:100")),1),"")),")",""),"(","")</f>
        <v>Transportation</v>
      </c>
    </row>
    <row r="2127" spans="1:8" x14ac:dyDescent="0.25">
      <c r="A2127">
        <v>2021</v>
      </c>
      <c r="B2127">
        <v>5</v>
      </c>
      <c r="C2127" t="s">
        <v>35</v>
      </c>
      <c r="D2127">
        <v>8.8650000000000002</v>
      </c>
      <c r="E2127">
        <v>6.2</v>
      </c>
      <c r="F2127">
        <v>0.54800000000000004</v>
      </c>
      <c r="H2127" s="4" t="str">
        <f t="array" aca="1" ref="H2127" ca="1">SUBSTITUTE(SUBSTITUTE(_xlfn.TEXTJOIN("",TRUE,IF(ISERR(MID(C2127,ROW(INDIRECT("1:100")),1)+0),MID(C2127,ROW(INDIRECT("1:100")),1),"")),")",""),"(","")</f>
        <v>Utilities and public transportation</v>
      </c>
    </row>
    <row r="2128" spans="1:8" x14ac:dyDescent="0.25">
      <c r="A2128">
        <v>2021</v>
      </c>
      <c r="B2128">
        <v>5</v>
      </c>
      <c r="C2128" t="s">
        <v>36</v>
      </c>
      <c r="D2128">
        <v>4.6369999999999996</v>
      </c>
      <c r="E2128">
        <v>4.5999999999999996</v>
      </c>
      <c r="F2128">
        <v>0.21299999999999999</v>
      </c>
      <c r="H2128" s="4" t="str">
        <f t="array" aca="1" ref="H2128" ca="1">SUBSTITUTE(SUBSTITUTE(_xlfn.TEXTJOIN("",TRUE,IF(ISERR(MID(C2128,ROW(INDIRECT("1:100")),1)+0),MID(C2128,ROW(INDIRECT("1:100")),1),"")),")",""),"(","")</f>
        <v>Household furnishings and operations</v>
      </c>
    </row>
    <row r="2129" spans="1:8" x14ac:dyDescent="0.25">
      <c r="A2129">
        <v>2021</v>
      </c>
      <c r="B2129">
        <v>5</v>
      </c>
      <c r="C2129" t="s">
        <v>12</v>
      </c>
      <c r="D2129">
        <v>3.129</v>
      </c>
      <c r="E2129">
        <v>2.7</v>
      </c>
      <c r="F2129">
        <v>8.5000000000000006E-2</v>
      </c>
      <c r="H2129" s="4" t="str">
        <f t="array" aca="1" ref="H2129" ca="1">SUBSTITUTE(SUBSTITUTE(_xlfn.TEXTJOIN("",TRUE,IF(ISERR(MID(C2129,ROW(INDIRECT("1:100")),1)+0),MID(C2129,ROW(INDIRECT("1:100")),1),"")),")",""),"(","")</f>
        <v>Other goods and services</v>
      </c>
    </row>
    <row r="2130" spans="1:8" x14ac:dyDescent="0.25">
      <c r="A2130">
        <v>2021</v>
      </c>
      <c r="B2130">
        <v>6</v>
      </c>
      <c r="C2130" t="s">
        <v>14</v>
      </c>
      <c r="D2130">
        <v>100</v>
      </c>
      <c r="E2130">
        <v>5.4</v>
      </c>
      <c r="H2130" s="4" t="str">
        <f t="array" aca="1" ref="H2130" ca="1">SUBSTITUTE(SUBSTITUTE(_xlfn.TEXTJOIN("",TRUE,IF(ISERR(MID(C2130,ROW(INDIRECT("1:100")),1)+0),MID(C2130,ROW(INDIRECT("1:100")),1),"")),")",""),"(","")</f>
        <v>All items</v>
      </c>
    </row>
    <row r="2131" spans="1:8" x14ac:dyDescent="0.25">
      <c r="A2131">
        <v>2021</v>
      </c>
      <c r="B2131">
        <v>6</v>
      </c>
      <c r="C2131" t="s">
        <v>15</v>
      </c>
      <c r="D2131">
        <v>13.874000000000001</v>
      </c>
      <c r="E2131">
        <v>2.4</v>
      </c>
      <c r="F2131">
        <v>0.34</v>
      </c>
      <c r="H2131" s="4" t="str">
        <f t="array" aca="1" ref="H2131" ca="1">SUBSTITUTE(SUBSTITUTE(_xlfn.TEXTJOIN("",TRUE,IF(ISERR(MID(C2131,ROW(INDIRECT("1:100")),1)+0),MID(C2131,ROW(INDIRECT("1:100")),1),"")),")",""),"(","")</f>
        <v>Food</v>
      </c>
    </row>
    <row r="2132" spans="1:8" x14ac:dyDescent="0.25">
      <c r="A2132">
        <v>2021</v>
      </c>
      <c r="B2132">
        <v>6</v>
      </c>
      <c r="C2132" t="s">
        <v>16</v>
      </c>
      <c r="D2132">
        <v>7.0730000000000004</v>
      </c>
      <c r="E2132">
        <v>24.5</v>
      </c>
      <c r="F2132">
        <v>1.486</v>
      </c>
      <c r="H2132" s="4" t="str">
        <f t="array" aca="1" ref="H2132" ca="1">SUBSTITUTE(SUBSTITUTE(_xlfn.TEXTJOIN("",TRUE,IF(ISERR(MID(C2132,ROW(INDIRECT("1:100")),1)+0),MID(C2132,ROW(INDIRECT("1:100")),1),"")),")",""),"(","")</f>
        <v>Energy</v>
      </c>
    </row>
    <row r="2133" spans="1:8" x14ac:dyDescent="0.25">
      <c r="A2133">
        <v>2021</v>
      </c>
      <c r="B2133">
        <v>6</v>
      </c>
      <c r="C2133" t="s">
        <v>17</v>
      </c>
      <c r="D2133">
        <v>79.052999999999997</v>
      </c>
      <c r="E2133">
        <v>4.5</v>
      </c>
      <c r="F2133">
        <v>3.5649999999999999</v>
      </c>
      <c r="H2133" s="4" t="str">
        <f t="array" aca="1" ref="H2133" ca="1">SUBSTITUTE(SUBSTITUTE(_xlfn.TEXTJOIN("",TRUE,IF(ISERR(MID(C2133,ROW(INDIRECT("1:100")),1)+0),MID(C2133,ROW(INDIRECT("1:100")),1),"")),")",""),"(","")</f>
        <v>All items less food and energy</v>
      </c>
    </row>
    <row r="2134" spans="1:8" x14ac:dyDescent="0.25">
      <c r="A2134">
        <v>2021</v>
      </c>
      <c r="B2134">
        <v>6</v>
      </c>
      <c r="C2134" t="s">
        <v>18</v>
      </c>
      <c r="H2134" s="4" t="str">
        <f t="array" aca="1" ref="H2134" ca="1">SUBSTITUTE(SUBSTITUTE(_xlfn.TEXTJOIN("",TRUE,IF(ISERR(MID(C2134,ROW(INDIRECT("1:100")),1)+0),MID(C2134,ROW(INDIRECT("1:100")),1),"")),")",""),"(","")</f>
        <v>Special aggregate indexes</v>
      </c>
    </row>
    <row r="2135" spans="1:8" x14ac:dyDescent="0.25">
      <c r="A2135">
        <v>2021</v>
      </c>
      <c r="B2135">
        <v>6</v>
      </c>
      <c r="C2135" t="s">
        <v>19</v>
      </c>
      <c r="D2135">
        <v>86.126000000000005</v>
      </c>
      <c r="E2135">
        <v>5.9</v>
      </c>
      <c r="F2135">
        <v>5.0510000000000002</v>
      </c>
      <c r="H2135" s="4" t="str">
        <f t="array" aca="1" ref="H2135" ca="1">SUBSTITUTE(SUBSTITUTE(_xlfn.TEXTJOIN("",TRUE,IF(ISERR(MID(C2135,ROW(INDIRECT("1:100")),1)+0),MID(C2135,ROW(INDIRECT("1:100")),1),"")),")",""),"(","")</f>
        <v>All items less food</v>
      </c>
    </row>
    <row r="2136" spans="1:8" x14ac:dyDescent="0.25">
      <c r="A2136">
        <v>2021</v>
      </c>
      <c r="B2136">
        <v>6</v>
      </c>
      <c r="C2136" t="s">
        <v>20</v>
      </c>
      <c r="D2136">
        <v>67.296000000000006</v>
      </c>
      <c r="E2136">
        <v>6.8</v>
      </c>
      <c r="F2136">
        <v>4.5279999999999996</v>
      </c>
      <c r="H2136" s="4" t="str">
        <f t="array" aca="1" ref="H2136" ca="1">SUBSTITUTE(SUBSTITUTE(_xlfn.TEXTJOIN("",TRUE,IF(ISERR(MID(C2136,ROW(INDIRECT("1:100")),1)+0),MID(C2136,ROW(INDIRECT("1:100")),1),"")),")",""),"(","")</f>
        <v>All items less shelter</v>
      </c>
    </row>
    <row r="2137" spans="1:8" x14ac:dyDescent="0.25">
      <c r="A2137">
        <v>2021</v>
      </c>
      <c r="B2137">
        <v>6</v>
      </c>
      <c r="C2137" t="s">
        <v>21</v>
      </c>
      <c r="D2137">
        <v>53.423000000000002</v>
      </c>
      <c r="E2137">
        <v>8</v>
      </c>
      <c r="F2137">
        <v>4.1879999999999997</v>
      </c>
      <c r="H2137" s="4" t="str">
        <f t="array" aca="1" ref="H2137" ca="1">SUBSTITUTE(SUBSTITUTE(_xlfn.TEXTJOIN("",TRUE,IF(ISERR(MID(C2137,ROW(INDIRECT("1:100")),1)+0),MID(C2137,ROW(INDIRECT("1:100")),1),"")),")",""),"(","")</f>
        <v>All items less food and shelter</v>
      </c>
    </row>
    <row r="2138" spans="1:8" x14ac:dyDescent="0.25">
      <c r="A2138">
        <v>2021</v>
      </c>
      <c r="B2138">
        <v>6</v>
      </c>
      <c r="C2138" t="s">
        <v>22</v>
      </c>
      <c r="D2138">
        <v>46.348999999999997</v>
      </c>
      <c r="E2138">
        <v>5.8</v>
      </c>
      <c r="F2138">
        <v>2.702</v>
      </c>
      <c r="H2138" s="4" t="str">
        <f t="array" aca="1" ref="H2138" ca="1">SUBSTITUTE(SUBSTITUTE(_xlfn.TEXTJOIN("",TRUE,IF(ISERR(MID(C2138,ROW(INDIRECT("1:100")),1)+0),MID(C2138,ROW(INDIRECT("1:100")),1),"")),")",""),"(","")</f>
        <v>All items less food, shelter, and energy</v>
      </c>
    </row>
    <row r="2139" spans="1:8" x14ac:dyDescent="0.25">
      <c r="A2139">
        <v>2021</v>
      </c>
      <c r="B2139">
        <v>6</v>
      </c>
      <c r="C2139" t="s">
        <v>23</v>
      </c>
      <c r="D2139">
        <v>43.183999999999997</v>
      </c>
      <c r="E2139">
        <v>3.6</v>
      </c>
      <c r="F2139">
        <v>1.5609999999999999</v>
      </c>
      <c r="H2139" s="4" t="str">
        <f t="array" aca="1" ref="H2139" ca="1">SUBSTITUTE(SUBSTITUTE(_xlfn.TEXTJOIN("",TRUE,IF(ISERR(MID(C2139,ROW(INDIRECT("1:100")),1)+0),MID(C2139,ROW(INDIRECT("1:100")),1),"")),")",""),"(","")</f>
        <v>All items less food, shelter, energy, and used cars and trucks</v>
      </c>
    </row>
    <row r="2140" spans="1:8" x14ac:dyDescent="0.25">
      <c r="A2140">
        <v>2021</v>
      </c>
      <c r="B2140">
        <v>6</v>
      </c>
      <c r="C2140" t="s">
        <v>24</v>
      </c>
      <c r="D2140">
        <v>91.332999999999998</v>
      </c>
      <c r="E2140">
        <v>5.9</v>
      </c>
      <c r="F2140">
        <v>5.3520000000000003</v>
      </c>
      <c r="H2140" s="4" t="str">
        <f t="array" aca="1" ref="H2140" ca="1">SUBSTITUTE(SUBSTITUTE(_xlfn.TEXTJOIN("",TRUE,IF(ISERR(MID(C2140,ROW(INDIRECT("1:100")),1)+0),MID(C2140,ROW(INDIRECT("1:100")),1),"")),")",""),"(","")</f>
        <v>All items less medical care</v>
      </c>
    </row>
    <row r="2141" spans="1:8" x14ac:dyDescent="0.25">
      <c r="A2141">
        <v>2021</v>
      </c>
      <c r="B2141">
        <v>6</v>
      </c>
      <c r="C2141" t="s">
        <v>25</v>
      </c>
      <c r="D2141">
        <v>92.927000000000007</v>
      </c>
      <c r="E2141">
        <v>4.2</v>
      </c>
      <c r="F2141">
        <v>3.9049999999999998</v>
      </c>
      <c r="H2141" s="4" t="str">
        <f t="array" aca="1" ref="H2141" ca="1">SUBSTITUTE(SUBSTITUTE(_xlfn.TEXTJOIN("",TRUE,IF(ISERR(MID(C2141,ROW(INDIRECT("1:100")),1)+0),MID(C2141,ROW(INDIRECT("1:100")),1),"")),")",""),"(","")</f>
        <v>All items less energy</v>
      </c>
    </row>
    <row r="2142" spans="1:8" x14ac:dyDescent="0.25">
      <c r="A2142">
        <v>2021</v>
      </c>
      <c r="B2142">
        <v>6</v>
      </c>
      <c r="C2142" t="s">
        <v>26</v>
      </c>
      <c r="D2142">
        <v>38.276000000000003</v>
      </c>
      <c r="E2142">
        <v>9</v>
      </c>
      <c r="F2142">
        <v>3.3639999999999999</v>
      </c>
      <c r="H2142" s="4" t="str">
        <f t="array" aca="1" ref="H2142" ca="1">SUBSTITUTE(SUBSTITUTE(_xlfn.TEXTJOIN("",TRUE,IF(ISERR(MID(C2142,ROW(INDIRECT("1:100")),1)+0),MID(C2142,ROW(INDIRECT("1:100")),1),"")),")",""),"(","")</f>
        <v>Commodities</v>
      </c>
    </row>
    <row r="2143" spans="1:8" x14ac:dyDescent="0.25">
      <c r="A2143">
        <v>2021</v>
      </c>
      <c r="B2143">
        <v>6</v>
      </c>
      <c r="C2143" t="s">
        <v>27</v>
      </c>
      <c r="D2143">
        <v>61.723999999999997</v>
      </c>
      <c r="E2143">
        <v>3.2</v>
      </c>
      <c r="F2143">
        <v>2.0270000000000001</v>
      </c>
      <c r="H2143" s="4" t="str">
        <f t="array" aca="1" ref="H2143" ca="1">SUBSTITUTE(SUBSTITUTE(_xlfn.TEXTJOIN("",TRUE,IF(ISERR(MID(C2143,ROW(INDIRECT("1:100")),1)+0),MID(C2143,ROW(INDIRECT("1:100")),1),"")),")",""),"(","")</f>
        <v>Services</v>
      </c>
    </row>
    <row r="2144" spans="1:8" x14ac:dyDescent="0.25">
      <c r="A2144">
        <v>2021</v>
      </c>
      <c r="B2144">
        <v>6</v>
      </c>
      <c r="C2144" t="s">
        <v>28</v>
      </c>
      <c r="D2144">
        <v>11.311</v>
      </c>
      <c r="E2144">
        <v>14.6</v>
      </c>
      <c r="F2144">
        <v>1.5649999999999999</v>
      </c>
      <c r="H2144" s="4" t="str">
        <f t="array" aca="1" ref="H2144" ca="1">SUBSTITUTE(SUBSTITUTE(_xlfn.TEXTJOIN("",TRUE,IF(ISERR(MID(C2144,ROW(INDIRECT("1:100")),1)+0),MID(C2144,ROW(INDIRECT("1:100")),1),"")),")",""),"(","")</f>
        <v>Durables</v>
      </c>
    </row>
    <row r="2145" spans="1:8" x14ac:dyDescent="0.25">
      <c r="A2145">
        <v>2021</v>
      </c>
      <c r="B2145">
        <v>6</v>
      </c>
      <c r="C2145" t="s">
        <v>29</v>
      </c>
      <c r="D2145">
        <v>26.965</v>
      </c>
      <c r="E2145">
        <v>6.8</v>
      </c>
      <c r="F2145">
        <v>1.7989999999999999</v>
      </c>
      <c r="H2145" s="4" t="str">
        <f t="array" aca="1" ref="H2145" ca="1">SUBSTITUTE(SUBSTITUTE(_xlfn.TEXTJOIN("",TRUE,IF(ISERR(MID(C2145,ROW(INDIRECT("1:100")),1)+0),MID(C2145,ROW(INDIRECT("1:100")),1),"")),")",""),"(","")</f>
        <v>Nondurables</v>
      </c>
    </row>
    <row r="2146" spans="1:8" x14ac:dyDescent="0.25">
      <c r="A2146">
        <v>2021</v>
      </c>
      <c r="B2146">
        <v>6</v>
      </c>
      <c r="C2146" t="s">
        <v>8</v>
      </c>
      <c r="D2146">
        <v>41.756</v>
      </c>
      <c r="E2146">
        <v>3.1</v>
      </c>
      <c r="F2146">
        <v>1.335</v>
      </c>
      <c r="H2146" s="4" t="str">
        <f t="array" aca="1" ref="H2146" ca="1">SUBSTITUTE(SUBSTITUTE(_xlfn.TEXTJOIN("",TRUE,IF(ISERR(MID(C2146,ROW(INDIRECT("1:100")),1)+0),MID(C2146,ROW(INDIRECT("1:100")),1),"")),")",""),"(","")</f>
        <v>Housing</v>
      </c>
    </row>
    <row r="2147" spans="1:8" x14ac:dyDescent="0.25">
      <c r="A2147">
        <v>2021</v>
      </c>
      <c r="B2147">
        <v>6</v>
      </c>
      <c r="C2147" t="s">
        <v>30</v>
      </c>
      <c r="D2147">
        <v>6.61</v>
      </c>
      <c r="E2147">
        <v>2.1</v>
      </c>
      <c r="F2147">
        <v>0.14199999999999999</v>
      </c>
      <c r="H2147" s="4" t="str">
        <f t="array" aca="1" ref="H2147" ca="1">SUBSTITUTE(SUBSTITUTE(_xlfn.TEXTJOIN("",TRUE,IF(ISERR(MID(C2147,ROW(INDIRECT("1:100")),1)+0),MID(C2147,ROW(INDIRECT("1:100")),1),"")),")",""),"(","")</f>
        <v>Education and communication</v>
      </c>
    </row>
    <row r="2148" spans="1:8" x14ac:dyDescent="0.25">
      <c r="A2148">
        <v>2021</v>
      </c>
      <c r="B2148">
        <v>6</v>
      </c>
      <c r="C2148" t="s">
        <v>31</v>
      </c>
      <c r="D2148">
        <v>5.7039999999999997</v>
      </c>
      <c r="E2148">
        <v>2.4</v>
      </c>
      <c r="F2148">
        <v>0.13700000000000001</v>
      </c>
      <c r="H2148" s="4" t="str">
        <f t="array" aca="1" ref="H2148" ca="1">SUBSTITUTE(SUBSTITUTE(_xlfn.TEXTJOIN("",TRUE,IF(ISERR(MID(C2148,ROW(INDIRECT("1:100")),1)+0),MID(C2148,ROW(INDIRECT("1:100")),1),"")),")",""),"(","")</f>
        <v>Recreation</v>
      </c>
    </row>
    <row r="2149" spans="1:8" x14ac:dyDescent="0.25">
      <c r="A2149">
        <v>2021</v>
      </c>
      <c r="B2149">
        <v>6</v>
      </c>
      <c r="C2149" t="s">
        <v>6</v>
      </c>
      <c r="D2149">
        <v>14.885999999999999</v>
      </c>
      <c r="E2149">
        <v>2.4</v>
      </c>
      <c r="F2149">
        <v>0.36</v>
      </c>
      <c r="H2149" s="4" t="str">
        <f t="array" aca="1" ref="H2149" ca="1">SUBSTITUTE(SUBSTITUTE(_xlfn.TEXTJOIN("",TRUE,IF(ISERR(MID(C2149,ROW(INDIRECT("1:100")),1)+0),MID(C2149,ROW(INDIRECT("1:100")),1),"")),")",""),"(","")</f>
        <v>Food and beverages</v>
      </c>
    </row>
    <row r="2150" spans="1:8" x14ac:dyDescent="0.25">
      <c r="A2150">
        <v>2021</v>
      </c>
      <c r="B2150">
        <v>6</v>
      </c>
      <c r="C2150" t="s">
        <v>32</v>
      </c>
      <c r="D2150">
        <v>11.473000000000001</v>
      </c>
      <c r="E2150">
        <v>2.2000000000000002</v>
      </c>
      <c r="F2150">
        <v>0.26200000000000001</v>
      </c>
      <c r="H2150" s="4" t="str">
        <f t="array" aca="1" ref="H2150" ca="1">SUBSTITUTE(SUBSTITUTE(_xlfn.TEXTJOIN("",TRUE,IF(ISERR(MID(C2150,ROW(INDIRECT("1:100")),1)+0),MID(C2150,ROW(INDIRECT("1:100")),1),"")),")",""),"(","")</f>
        <v>Other services</v>
      </c>
    </row>
    <row r="2151" spans="1:8" x14ac:dyDescent="0.25">
      <c r="A2151">
        <v>2021</v>
      </c>
      <c r="B2151">
        <v>6</v>
      </c>
      <c r="C2151" t="s">
        <v>33</v>
      </c>
      <c r="D2151">
        <v>2.0720000000000001</v>
      </c>
      <c r="E2151">
        <v>4.4000000000000004</v>
      </c>
      <c r="F2151">
        <v>0.09</v>
      </c>
      <c r="H2151" s="4" t="str">
        <f t="array" aca="1" ref="H2151" ca="1">SUBSTITUTE(SUBSTITUTE(_xlfn.TEXTJOIN("",TRUE,IF(ISERR(MID(C2151,ROW(INDIRECT("1:100")),1)+0),MID(C2151,ROW(INDIRECT("1:100")),1),"")),")",""),"(","")</f>
        <v>Apparel less footwear</v>
      </c>
    </row>
    <row r="2152" spans="1:8" x14ac:dyDescent="0.25">
      <c r="A2152">
        <v>2021</v>
      </c>
      <c r="B2152">
        <v>6</v>
      </c>
      <c r="C2152" t="s">
        <v>34</v>
      </c>
      <c r="D2152">
        <v>4.3890000000000002</v>
      </c>
      <c r="E2152">
        <v>6.4</v>
      </c>
      <c r="F2152">
        <v>0.28100000000000003</v>
      </c>
      <c r="H2152" s="4" t="str">
        <f t="array" aca="1" ref="H2152" ca="1">SUBSTITUTE(SUBSTITUTE(_xlfn.TEXTJOIN("",TRUE,IF(ISERR(MID(C2152,ROW(INDIRECT("1:100")),1)+0),MID(C2152,ROW(INDIRECT("1:100")),1),"")),")",""),"(","")</f>
        <v>Fuels and utilities</v>
      </c>
    </row>
    <row r="2153" spans="1:8" x14ac:dyDescent="0.25">
      <c r="A2153">
        <v>2021</v>
      </c>
      <c r="B2153">
        <v>6</v>
      </c>
      <c r="C2153" t="s">
        <v>11</v>
      </c>
      <c r="D2153">
        <v>8.6669999999999998</v>
      </c>
      <c r="E2153">
        <v>0.4</v>
      </c>
      <c r="F2153">
        <v>3.9E-2</v>
      </c>
      <c r="H2153" s="4" t="str">
        <f t="array" aca="1" ref="H2153" ca="1">SUBSTITUTE(SUBSTITUTE(_xlfn.TEXTJOIN("",TRUE,IF(ISERR(MID(C2153,ROW(INDIRECT("1:100")),1)+0),MID(C2153,ROW(INDIRECT("1:100")),1),"")),")",""),"(","")</f>
        <v>Medical care</v>
      </c>
    </row>
    <row r="2154" spans="1:8" x14ac:dyDescent="0.25">
      <c r="A2154">
        <v>2021</v>
      </c>
      <c r="B2154">
        <v>6</v>
      </c>
      <c r="C2154" t="s">
        <v>7</v>
      </c>
      <c r="D2154">
        <v>16.552</v>
      </c>
      <c r="E2154">
        <v>21.5</v>
      </c>
      <c r="F2154">
        <v>3.1669999999999998</v>
      </c>
      <c r="H2154" s="4" t="str">
        <f t="array" aca="1" ref="H2154" ca="1">SUBSTITUTE(SUBSTITUTE(_xlfn.TEXTJOIN("",TRUE,IF(ISERR(MID(C2154,ROW(INDIRECT("1:100")),1)+0),MID(C2154,ROW(INDIRECT("1:100")),1),"")),")",""),"(","")</f>
        <v>Transportation</v>
      </c>
    </row>
    <row r="2155" spans="1:8" x14ac:dyDescent="0.25">
      <c r="A2155">
        <v>2021</v>
      </c>
      <c r="B2155">
        <v>6</v>
      </c>
      <c r="C2155" t="s">
        <v>35</v>
      </c>
      <c r="D2155">
        <v>8.9190000000000005</v>
      </c>
      <c r="E2155">
        <v>6.7</v>
      </c>
      <c r="F2155">
        <v>0.59199999999999997</v>
      </c>
      <c r="H2155" s="4" t="str">
        <f t="array" aca="1" ref="H2155" ca="1">SUBSTITUTE(SUBSTITUTE(_xlfn.TEXTJOIN("",TRUE,IF(ISERR(MID(C2155,ROW(INDIRECT("1:100")),1)+0),MID(C2155,ROW(INDIRECT("1:100")),1),"")),")",""),"(","")</f>
        <v>Utilities and public transportation</v>
      </c>
    </row>
    <row r="2156" spans="1:8" x14ac:dyDescent="0.25">
      <c r="A2156">
        <v>2021</v>
      </c>
      <c r="B2156">
        <v>6</v>
      </c>
      <c r="C2156" t="s">
        <v>36</v>
      </c>
      <c r="D2156">
        <v>4.6630000000000003</v>
      </c>
      <c r="E2156">
        <v>4.0999999999999996</v>
      </c>
      <c r="F2156">
        <v>0.191</v>
      </c>
      <c r="H2156" s="4" t="str">
        <f t="array" aca="1" ref="H2156" ca="1">SUBSTITUTE(SUBSTITUTE(_xlfn.TEXTJOIN("",TRUE,IF(ISERR(MID(C2156,ROW(INDIRECT("1:100")),1)+0),MID(C2156,ROW(INDIRECT("1:100")),1),"")),")",""),"(","")</f>
        <v>Household furnishings and operations</v>
      </c>
    </row>
    <row r="2157" spans="1:8" x14ac:dyDescent="0.25">
      <c r="A2157">
        <v>2021</v>
      </c>
      <c r="B2157">
        <v>6</v>
      </c>
      <c r="C2157" t="s">
        <v>12</v>
      </c>
      <c r="D2157">
        <v>3.1</v>
      </c>
      <c r="E2157">
        <v>2.5</v>
      </c>
      <c r="F2157">
        <v>7.9000000000000001E-2</v>
      </c>
      <c r="H2157" s="4" t="str">
        <f t="array" aca="1" ref="H2157" ca="1">SUBSTITUTE(SUBSTITUTE(_xlfn.TEXTJOIN("",TRUE,IF(ISERR(MID(C2157,ROW(INDIRECT("1:100")),1)+0),MID(C2157,ROW(INDIRECT("1:100")),1),"")),")",""),"(","")</f>
        <v>Other goods and services</v>
      </c>
    </row>
    <row r="2158" spans="1:8" x14ac:dyDescent="0.25">
      <c r="A2158">
        <v>2021</v>
      </c>
      <c r="B2158">
        <v>7</v>
      </c>
      <c r="C2158" t="s">
        <v>14</v>
      </c>
      <c r="D2158">
        <v>100</v>
      </c>
      <c r="E2158">
        <v>5.4</v>
      </c>
      <c r="H2158" s="4" t="str">
        <f t="array" aca="1" ref="H2158" ca="1">SUBSTITUTE(SUBSTITUTE(_xlfn.TEXTJOIN("",TRUE,IF(ISERR(MID(C2158,ROW(INDIRECT("1:100")),1)+0),MID(C2158,ROW(INDIRECT("1:100")),1),"")),")",""),"(","")</f>
        <v>All items</v>
      </c>
    </row>
    <row r="2159" spans="1:8" x14ac:dyDescent="0.25">
      <c r="A2159">
        <v>2021</v>
      </c>
      <c r="B2159">
        <v>7</v>
      </c>
      <c r="C2159" t="s">
        <v>15</v>
      </c>
      <c r="D2159">
        <v>13.846</v>
      </c>
      <c r="E2159">
        <v>3.4</v>
      </c>
      <c r="F2159">
        <v>0.48699999999999999</v>
      </c>
      <c r="H2159" s="4" t="str">
        <f t="array" aca="1" ref="H2159" ca="1">SUBSTITUTE(SUBSTITUTE(_xlfn.TEXTJOIN("",TRUE,IF(ISERR(MID(C2159,ROW(INDIRECT("1:100")),1)+0),MID(C2159,ROW(INDIRECT("1:100")),1),"")),")",""),"(","")</f>
        <v>Food</v>
      </c>
    </row>
    <row r="2160" spans="1:8" x14ac:dyDescent="0.25">
      <c r="A2160">
        <v>2021</v>
      </c>
      <c r="B2160">
        <v>7</v>
      </c>
      <c r="C2160" t="s">
        <v>16</v>
      </c>
      <c r="D2160">
        <v>7.1680000000000001</v>
      </c>
      <c r="E2160">
        <v>23.8</v>
      </c>
      <c r="F2160">
        <v>1.472</v>
      </c>
      <c r="H2160" s="4" t="str">
        <f t="array" aca="1" ref="H2160" ca="1">SUBSTITUTE(SUBSTITUTE(_xlfn.TEXTJOIN("",TRUE,IF(ISERR(MID(C2160,ROW(INDIRECT("1:100")),1)+0),MID(C2160,ROW(INDIRECT("1:100")),1),"")),")",""),"(","")</f>
        <v>Energy</v>
      </c>
    </row>
    <row r="2161" spans="1:8" x14ac:dyDescent="0.25">
      <c r="A2161">
        <v>2021</v>
      </c>
      <c r="B2161">
        <v>7</v>
      </c>
      <c r="C2161" t="s">
        <v>17</v>
      </c>
      <c r="D2161">
        <v>78.986000000000004</v>
      </c>
      <c r="E2161">
        <v>4.3</v>
      </c>
      <c r="F2161">
        <v>3.407</v>
      </c>
      <c r="H2161" s="4" t="str">
        <f t="array" aca="1" ref="H2161" ca="1">SUBSTITUTE(SUBSTITUTE(_xlfn.TEXTJOIN("",TRUE,IF(ISERR(MID(C2161,ROW(INDIRECT("1:100")),1)+0),MID(C2161,ROW(INDIRECT("1:100")),1),"")),")",""),"(","")</f>
        <v>All items less food and energy</v>
      </c>
    </row>
    <row r="2162" spans="1:8" x14ac:dyDescent="0.25">
      <c r="A2162">
        <v>2021</v>
      </c>
      <c r="B2162">
        <v>7</v>
      </c>
      <c r="C2162" t="s">
        <v>18</v>
      </c>
      <c r="H2162" s="4" t="str">
        <f t="array" aca="1" ref="H2162" ca="1">SUBSTITUTE(SUBSTITUTE(_xlfn.TEXTJOIN("",TRUE,IF(ISERR(MID(C2162,ROW(INDIRECT("1:100")),1)+0),MID(C2162,ROW(INDIRECT("1:100")),1),"")),")",""),"(","")</f>
        <v>Special aggregate indexes</v>
      </c>
    </row>
    <row r="2163" spans="1:8" x14ac:dyDescent="0.25">
      <c r="A2163">
        <v>2021</v>
      </c>
      <c r="B2163">
        <v>7</v>
      </c>
      <c r="C2163" t="s">
        <v>19</v>
      </c>
      <c r="D2163">
        <v>86.153999999999996</v>
      </c>
      <c r="E2163">
        <v>5.7</v>
      </c>
      <c r="F2163">
        <v>4.8780000000000001</v>
      </c>
      <c r="H2163" s="4" t="str">
        <f t="array" aca="1" ref="H2163" ca="1">SUBSTITUTE(SUBSTITUTE(_xlfn.TEXTJOIN("",TRUE,IF(ISERR(MID(C2163,ROW(INDIRECT("1:100")),1)+0),MID(C2163,ROW(INDIRECT("1:100")),1),"")),")",""),"(","")</f>
        <v>All items less food</v>
      </c>
    </row>
    <row r="2164" spans="1:8" x14ac:dyDescent="0.25">
      <c r="A2164">
        <v>2021</v>
      </c>
      <c r="B2164">
        <v>7</v>
      </c>
      <c r="C2164" t="s">
        <v>20</v>
      </c>
      <c r="D2164">
        <v>67.424999999999997</v>
      </c>
      <c r="E2164">
        <v>6.6</v>
      </c>
      <c r="F2164">
        <v>4.4219999999999997</v>
      </c>
      <c r="H2164" s="4" t="str">
        <f t="array" aca="1" ref="H2164" ca="1">SUBSTITUTE(SUBSTITUTE(_xlfn.TEXTJOIN("",TRUE,IF(ISERR(MID(C2164,ROW(INDIRECT("1:100")),1)+0),MID(C2164,ROW(INDIRECT("1:100")),1),"")),")",""),"(","")</f>
        <v>All items less shelter</v>
      </c>
    </row>
    <row r="2165" spans="1:8" x14ac:dyDescent="0.25">
      <c r="A2165">
        <v>2021</v>
      </c>
      <c r="B2165">
        <v>7</v>
      </c>
      <c r="C2165" t="s">
        <v>21</v>
      </c>
      <c r="D2165">
        <v>53.579000000000001</v>
      </c>
      <c r="E2165">
        <v>7.5</v>
      </c>
      <c r="F2165">
        <v>3.9350000000000001</v>
      </c>
      <c r="H2165" s="4" t="str">
        <f t="array" aca="1" ref="H2165" ca="1">SUBSTITUTE(SUBSTITUTE(_xlfn.TEXTJOIN("",TRUE,IF(ISERR(MID(C2165,ROW(INDIRECT("1:100")),1)+0),MID(C2165,ROW(INDIRECT("1:100")),1),"")),")",""),"(","")</f>
        <v>All items less food and shelter</v>
      </c>
    </row>
    <row r="2166" spans="1:8" x14ac:dyDescent="0.25">
      <c r="A2166">
        <v>2021</v>
      </c>
      <c r="B2166">
        <v>7</v>
      </c>
      <c r="C2166" t="s">
        <v>22</v>
      </c>
      <c r="D2166">
        <v>46.411000000000001</v>
      </c>
      <c r="E2166">
        <v>5.3</v>
      </c>
      <c r="F2166">
        <v>2.4630000000000001</v>
      </c>
      <c r="H2166" s="4" t="str">
        <f t="array" aca="1" ref="H2166" ca="1">SUBSTITUTE(SUBSTITUTE(_xlfn.TEXTJOIN("",TRUE,IF(ISERR(MID(C2166,ROW(INDIRECT("1:100")),1)+0),MID(C2166,ROW(INDIRECT("1:100")),1),"")),")",""),"(","")</f>
        <v>All items less food, shelter, and energy</v>
      </c>
    </row>
    <row r="2167" spans="1:8" x14ac:dyDescent="0.25">
      <c r="A2167">
        <v>2021</v>
      </c>
      <c r="B2167">
        <v>7</v>
      </c>
      <c r="C2167" t="s">
        <v>23</v>
      </c>
      <c r="D2167">
        <v>42.936999999999998</v>
      </c>
      <c r="E2167">
        <v>3.2</v>
      </c>
      <c r="F2167">
        <v>1.383</v>
      </c>
      <c r="H2167" s="4" t="str">
        <f t="array" aca="1" ref="H2167" ca="1">SUBSTITUTE(SUBSTITUTE(_xlfn.TEXTJOIN("",TRUE,IF(ISERR(MID(C2167,ROW(INDIRECT("1:100")),1)+0),MID(C2167,ROW(INDIRECT("1:100")),1),"")),")",""),"(","")</f>
        <v>All items less food, shelter, energy, and used cars and trucks</v>
      </c>
    </row>
    <row r="2168" spans="1:8" x14ac:dyDescent="0.25">
      <c r="A2168">
        <v>2021</v>
      </c>
      <c r="B2168">
        <v>7</v>
      </c>
      <c r="C2168" t="s">
        <v>24</v>
      </c>
      <c r="D2168">
        <v>91.427999999999997</v>
      </c>
      <c r="E2168">
        <v>5.9</v>
      </c>
      <c r="F2168">
        <v>5.3390000000000004</v>
      </c>
      <c r="H2168" s="4" t="str">
        <f t="array" aca="1" ref="H2168" ca="1">SUBSTITUTE(SUBSTITUTE(_xlfn.TEXTJOIN("",TRUE,IF(ISERR(MID(C2168,ROW(INDIRECT("1:100")),1)+0),MID(C2168,ROW(INDIRECT("1:100")),1),"")),")",""),"(","")</f>
        <v>All items less medical care</v>
      </c>
    </row>
    <row r="2169" spans="1:8" x14ac:dyDescent="0.25">
      <c r="A2169">
        <v>2021</v>
      </c>
      <c r="B2169">
        <v>7</v>
      </c>
      <c r="C2169" t="s">
        <v>25</v>
      </c>
      <c r="D2169">
        <v>92.831999999999994</v>
      </c>
      <c r="E2169">
        <v>4.0999999999999996</v>
      </c>
      <c r="F2169">
        <v>3.8940000000000001</v>
      </c>
      <c r="H2169" s="4" t="str">
        <f t="array" aca="1" ref="H2169" ca="1">SUBSTITUTE(SUBSTITUTE(_xlfn.TEXTJOIN("",TRUE,IF(ISERR(MID(C2169,ROW(INDIRECT("1:100")),1)+0),MID(C2169,ROW(INDIRECT("1:100")),1),"")),")",""),"(","")</f>
        <v>All items less energy</v>
      </c>
    </row>
    <row r="2170" spans="1:8" x14ac:dyDescent="0.25">
      <c r="A2170">
        <v>2021</v>
      </c>
      <c r="B2170">
        <v>7</v>
      </c>
      <c r="C2170" t="s">
        <v>26</v>
      </c>
      <c r="D2170">
        <v>38.518000000000001</v>
      </c>
      <c r="E2170">
        <v>9.1999999999999993</v>
      </c>
      <c r="F2170">
        <v>3.4350000000000001</v>
      </c>
      <c r="H2170" s="4" t="str">
        <f t="array" aca="1" ref="H2170" ca="1">SUBSTITUTE(SUBSTITUTE(_xlfn.TEXTJOIN("",TRUE,IF(ISERR(MID(C2170,ROW(INDIRECT("1:100")),1)+0),MID(C2170,ROW(INDIRECT("1:100")),1),"")),")",""),"(","")</f>
        <v>Commodities</v>
      </c>
    </row>
    <row r="2171" spans="1:8" x14ac:dyDescent="0.25">
      <c r="A2171">
        <v>2021</v>
      </c>
      <c r="B2171">
        <v>7</v>
      </c>
      <c r="C2171" t="s">
        <v>27</v>
      </c>
      <c r="D2171">
        <v>61.481999999999999</v>
      </c>
      <c r="E2171">
        <v>3.1</v>
      </c>
      <c r="F2171">
        <v>1.931</v>
      </c>
      <c r="H2171" s="4" t="str">
        <f t="array" aca="1" ref="H2171" ca="1">SUBSTITUTE(SUBSTITUTE(_xlfn.TEXTJOIN("",TRUE,IF(ISERR(MID(C2171,ROW(INDIRECT("1:100")),1)+0),MID(C2171,ROW(INDIRECT("1:100")),1),"")),")",""),"(","")</f>
        <v>Services</v>
      </c>
    </row>
    <row r="2172" spans="1:8" x14ac:dyDescent="0.25">
      <c r="A2172">
        <v>2021</v>
      </c>
      <c r="B2172">
        <v>7</v>
      </c>
      <c r="C2172" t="s">
        <v>28</v>
      </c>
      <c r="D2172">
        <v>11.634</v>
      </c>
      <c r="E2172">
        <v>14.3</v>
      </c>
      <c r="F2172">
        <v>1.538</v>
      </c>
      <c r="H2172" s="4" t="str">
        <f t="array" aca="1" ref="H2172" ca="1">SUBSTITUTE(SUBSTITUTE(_xlfn.TEXTJOIN("",TRUE,IF(ISERR(MID(C2172,ROW(INDIRECT("1:100")),1)+0),MID(C2172,ROW(INDIRECT("1:100")),1),"")),")",""),"(","")</f>
        <v>Durables</v>
      </c>
    </row>
    <row r="2173" spans="1:8" x14ac:dyDescent="0.25">
      <c r="A2173">
        <v>2021</v>
      </c>
      <c r="B2173">
        <v>7</v>
      </c>
      <c r="C2173" t="s">
        <v>29</v>
      </c>
      <c r="D2173">
        <v>26.885000000000002</v>
      </c>
      <c r="E2173">
        <v>7.2</v>
      </c>
      <c r="F2173">
        <v>1.897</v>
      </c>
      <c r="H2173" s="4" t="str">
        <f t="array" aca="1" ref="H2173" ca="1">SUBSTITUTE(SUBSTITUTE(_xlfn.TEXTJOIN("",TRUE,IF(ISERR(MID(C2173,ROW(INDIRECT("1:100")),1)+0),MID(C2173,ROW(INDIRECT("1:100")),1),"")),")",""),"(","")</f>
        <v>Nondurables</v>
      </c>
    </row>
    <row r="2174" spans="1:8" x14ac:dyDescent="0.25">
      <c r="A2174">
        <v>2021</v>
      </c>
      <c r="B2174">
        <v>7</v>
      </c>
      <c r="C2174" t="s">
        <v>8</v>
      </c>
      <c r="D2174">
        <v>41.625999999999998</v>
      </c>
      <c r="E2174">
        <v>3.4</v>
      </c>
      <c r="F2174">
        <v>1.4259999999999999</v>
      </c>
      <c r="H2174" s="4" t="str">
        <f t="array" aca="1" ref="H2174" ca="1">SUBSTITUTE(SUBSTITUTE(_xlfn.TEXTJOIN("",TRUE,IF(ISERR(MID(C2174,ROW(INDIRECT("1:100")),1)+0),MID(C2174,ROW(INDIRECT("1:100")),1),"")),")",""),"(","")</f>
        <v>Housing</v>
      </c>
    </row>
    <row r="2175" spans="1:8" x14ac:dyDescent="0.25">
      <c r="A2175">
        <v>2021</v>
      </c>
      <c r="B2175">
        <v>7</v>
      </c>
      <c r="C2175" t="s">
        <v>30</v>
      </c>
      <c r="D2175">
        <v>6.5570000000000004</v>
      </c>
      <c r="E2175">
        <v>1.1000000000000001</v>
      </c>
      <c r="F2175">
        <v>7.6999999999999999E-2</v>
      </c>
      <c r="H2175" s="4" t="str">
        <f t="array" aca="1" ref="H2175" ca="1">SUBSTITUTE(SUBSTITUTE(_xlfn.TEXTJOIN("",TRUE,IF(ISERR(MID(C2175,ROW(INDIRECT("1:100")),1)+0),MID(C2175,ROW(INDIRECT("1:100")),1),"")),")",""),"(","")</f>
        <v>Education and communication</v>
      </c>
    </row>
    <row r="2176" spans="1:8" x14ac:dyDescent="0.25">
      <c r="A2176">
        <v>2021</v>
      </c>
      <c r="B2176">
        <v>7</v>
      </c>
      <c r="C2176" t="s">
        <v>31</v>
      </c>
      <c r="D2176">
        <v>5.657</v>
      </c>
      <c r="E2176">
        <v>3.5</v>
      </c>
      <c r="F2176">
        <v>0.20399999999999999</v>
      </c>
      <c r="H2176" s="4" t="str">
        <f t="array" aca="1" ref="H2176" ca="1">SUBSTITUTE(SUBSTITUTE(_xlfn.TEXTJOIN("",TRUE,IF(ISERR(MID(C2176,ROW(INDIRECT("1:100")),1)+0),MID(C2176,ROW(INDIRECT("1:100")),1),"")),")",""),"(","")</f>
        <v>Recreation</v>
      </c>
    </row>
    <row r="2177" spans="1:8" x14ac:dyDescent="0.25">
      <c r="A2177">
        <v>2021</v>
      </c>
      <c r="B2177">
        <v>7</v>
      </c>
      <c r="C2177" t="s">
        <v>6</v>
      </c>
      <c r="D2177">
        <v>14.853999999999999</v>
      </c>
      <c r="E2177">
        <v>3.4</v>
      </c>
      <c r="F2177">
        <v>0.51200000000000001</v>
      </c>
      <c r="H2177" s="4" t="str">
        <f t="array" aca="1" ref="H2177" ca="1">SUBSTITUTE(SUBSTITUTE(_xlfn.TEXTJOIN("",TRUE,IF(ISERR(MID(C2177,ROW(INDIRECT("1:100")),1)+0),MID(C2177,ROW(INDIRECT("1:100")),1),"")),")",""),"(","")</f>
        <v>Food and beverages</v>
      </c>
    </row>
    <row r="2178" spans="1:8" x14ac:dyDescent="0.25">
      <c r="A2178">
        <v>2021</v>
      </c>
      <c r="B2178">
        <v>7</v>
      </c>
      <c r="C2178" t="s">
        <v>32</v>
      </c>
      <c r="D2178">
        <v>11.391999999999999</v>
      </c>
      <c r="E2178">
        <v>2.2999999999999998</v>
      </c>
      <c r="F2178">
        <v>0.26900000000000002</v>
      </c>
      <c r="H2178" s="4" t="str">
        <f t="array" aca="1" ref="H2178" ca="1">SUBSTITUTE(SUBSTITUTE(_xlfn.TEXTJOIN("",TRUE,IF(ISERR(MID(C2178,ROW(INDIRECT("1:100")),1)+0),MID(C2178,ROW(INDIRECT("1:100")),1),"")),")",""),"(","")</f>
        <v>Other services</v>
      </c>
    </row>
    <row r="2179" spans="1:8" x14ac:dyDescent="0.25">
      <c r="A2179">
        <v>2021</v>
      </c>
      <c r="B2179">
        <v>7</v>
      </c>
      <c r="C2179" t="s">
        <v>33</v>
      </c>
      <c r="D2179">
        <v>2.0409999999999999</v>
      </c>
      <c r="E2179">
        <v>4.0999999999999996</v>
      </c>
      <c r="F2179">
        <v>8.3000000000000004E-2</v>
      </c>
      <c r="H2179" s="4" t="str">
        <f t="array" aca="1" ref="H2179" ca="1">SUBSTITUTE(SUBSTITUTE(_xlfn.TEXTJOIN("",TRUE,IF(ISERR(MID(C2179,ROW(INDIRECT("1:100")),1)+0),MID(C2179,ROW(INDIRECT("1:100")),1),"")),")",""),"(","")</f>
        <v>Apparel less footwear</v>
      </c>
    </row>
    <row r="2180" spans="1:8" x14ac:dyDescent="0.25">
      <c r="A2180">
        <v>2021</v>
      </c>
      <c r="B2180">
        <v>7</v>
      </c>
      <c r="C2180" t="s">
        <v>34</v>
      </c>
      <c r="D2180">
        <v>4.43</v>
      </c>
      <c r="E2180">
        <v>7</v>
      </c>
      <c r="F2180">
        <v>0.307</v>
      </c>
      <c r="H2180" s="4" t="str">
        <f t="array" aca="1" ref="H2180" ca="1">SUBSTITUTE(SUBSTITUTE(_xlfn.TEXTJOIN("",TRUE,IF(ISERR(MID(C2180,ROW(INDIRECT("1:100")),1)+0),MID(C2180,ROW(INDIRECT("1:100")),1),"")),")",""),"(","")</f>
        <v>Fuels and utilities</v>
      </c>
    </row>
    <row r="2181" spans="1:8" x14ac:dyDescent="0.25">
      <c r="A2181">
        <v>2021</v>
      </c>
      <c r="B2181">
        <v>7</v>
      </c>
      <c r="C2181" t="s">
        <v>11</v>
      </c>
      <c r="D2181">
        <v>8.5719999999999992</v>
      </c>
      <c r="E2181">
        <v>0.3</v>
      </c>
      <c r="F2181">
        <v>2.5999999999999999E-2</v>
      </c>
      <c r="H2181" s="4" t="str">
        <f t="array" aca="1" ref="H2181" ca="1">SUBSTITUTE(SUBSTITUTE(_xlfn.TEXTJOIN("",TRUE,IF(ISERR(MID(C2181,ROW(INDIRECT("1:100")),1)+0),MID(C2181,ROW(INDIRECT("1:100")),1),"")),")",""),"(","")</f>
        <v>Medical care</v>
      </c>
    </row>
    <row r="2182" spans="1:8" x14ac:dyDescent="0.25">
      <c r="A2182">
        <v>2021</v>
      </c>
      <c r="B2182">
        <v>7</v>
      </c>
      <c r="C2182" t="s">
        <v>7</v>
      </c>
      <c r="D2182">
        <v>16.972000000000001</v>
      </c>
      <c r="E2182">
        <v>19.399999999999999</v>
      </c>
      <c r="F2182">
        <v>2.9169999999999998</v>
      </c>
      <c r="H2182" s="4" t="str">
        <f t="array" aca="1" ref="H2182" ca="1">SUBSTITUTE(SUBSTITUTE(_xlfn.TEXTJOIN("",TRUE,IF(ISERR(MID(C2182,ROW(INDIRECT("1:100")),1)+0),MID(C2182,ROW(INDIRECT("1:100")),1),"")),")",""),"(","")</f>
        <v>Transportation</v>
      </c>
    </row>
    <row r="2183" spans="1:8" x14ac:dyDescent="0.25">
      <c r="A2183">
        <v>2021</v>
      </c>
      <c r="B2183">
        <v>7</v>
      </c>
      <c r="C2183" t="s">
        <v>35</v>
      </c>
      <c r="D2183">
        <v>8.9529999999999994</v>
      </c>
      <c r="E2183">
        <v>5.7</v>
      </c>
      <c r="F2183">
        <v>0.50600000000000001</v>
      </c>
      <c r="H2183" s="4" t="str">
        <f t="array" aca="1" ref="H2183" ca="1">SUBSTITUTE(SUBSTITUTE(_xlfn.TEXTJOIN("",TRUE,IF(ISERR(MID(C2183,ROW(INDIRECT("1:100")),1)+0),MID(C2183,ROW(INDIRECT("1:100")),1),"")),")",""),"(","")</f>
        <v>Utilities and public transportation</v>
      </c>
    </row>
    <row r="2184" spans="1:8" x14ac:dyDescent="0.25">
      <c r="A2184">
        <v>2021</v>
      </c>
      <c r="B2184">
        <v>7</v>
      </c>
      <c r="C2184" t="s">
        <v>36</v>
      </c>
      <c r="D2184">
        <v>4.6210000000000004</v>
      </c>
      <c r="E2184">
        <v>3.8</v>
      </c>
      <c r="F2184">
        <v>0.17599999999999999</v>
      </c>
      <c r="H2184" s="4" t="str">
        <f t="array" aca="1" ref="H2184" ca="1">SUBSTITUTE(SUBSTITUTE(_xlfn.TEXTJOIN("",TRUE,IF(ISERR(MID(C2184,ROW(INDIRECT("1:100")),1)+0),MID(C2184,ROW(INDIRECT("1:100")),1),"")),")",""),"(","")</f>
        <v>Household furnishings and operations</v>
      </c>
    </row>
    <row r="2185" spans="1:8" x14ac:dyDescent="0.25">
      <c r="A2185">
        <v>2021</v>
      </c>
      <c r="B2185">
        <v>7</v>
      </c>
      <c r="C2185" t="s">
        <v>12</v>
      </c>
      <c r="D2185">
        <v>3.0760000000000001</v>
      </c>
      <c r="E2185">
        <v>2.9</v>
      </c>
      <c r="F2185">
        <v>9.0999999999999998E-2</v>
      </c>
      <c r="H2185" s="4" t="str">
        <f t="array" aca="1" ref="H2185" ca="1">SUBSTITUTE(SUBSTITUTE(_xlfn.TEXTJOIN("",TRUE,IF(ISERR(MID(C2185,ROW(INDIRECT("1:100")),1)+0),MID(C2185,ROW(INDIRECT("1:100")),1),"")),")",""),"(","")</f>
        <v>Other goods and services</v>
      </c>
    </row>
    <row r="2186" spans="1:8" x14ac:dyDescent="0.25">
      <c r="A2186">
        <v>2021</v>
      </c>
      <c r="B2186">
        <v>8</v>
      </c>
      <c r="C2186" t="s">
        <v>14</v>
      </c>
      <c r="D2186">
        <v>100</v>
      </c>
      <c r="E2186">
        <v>5.3</v>
      </c>
      <c r="H2186" s="4" t="str">
        <f t="array" aca="1" ref="H2186" ca="1">SUBSTITUTE(SUBSTITUTE(_xlfn.TEXTJOIN("",TRUE,IF(ISERR(MID(C2186,ROW(INDIRECT("1:100")),1)+0),MID(C2186,ROW(INDIRECT("1:100")),1),"")),")",""),"(","")</f>
        <v>All items</v>
      </c>
    </row>
    <row r="2187" spans="1:8" x14ac:dyDescent="0.25">
      <c r="A2187">
        <v>2021</v>
      </c>
      <c r="B2187">
        <v>8</v>
      </c>
      <c r="C2187" t="s">
        <v>15</v>
      </c>
      <c r="D2187">
        <v>13.875</v>
      </c>
      <c r="E2187">
        <v>3.7</v>
      </c>
      <c r="F2187">
        <v>0.52700000000000002</v>
      </c>
      <c r="H2187" s="4" t="str">
        <f t="array" aca="1" ref="H2187" ca="1">SUBSTITUTE(SUBSTITUTE(_xlfn.TEXTJOIN("",TRUE,IF(ISERR(MID(C2187,ROW(INDIRECT("1:100")),1)+0),MID(C2187,ROW(INDIRECT("1:100")),1),"")),")",""),"(","")</f>
        <v>Food</v>
      </c>
    </row>
    <row r="2188" spans="1:8" x14ac:dyDescent="0.25">
      <c r="A2188">
        <v>2021</v>
      </c>
      <c r="B2188">
        <v>8</v>
      </c>
      <c r="C2188" t="s">
        <v>16</v>
      </c>
      <c r="D2188">
        <v>7.2549999999999999</v>
      </c>
      <c r="E2188">
        <v>25</v>
      </c>
      <c r="F2188">
        <v>1.534</v>
      </c>
      <c r="H2188" s="4" t="str">
        <f t="array" aca="1" ref="H2188" ca="1">SUBSTITUTE(SUBSTITUTE(_xlfn.TEXTJOIN("",TRUE,IF(ISERR(MID(C2188,ROW(INDIRECT("1:100")),1)+0),MID(C2188,ROW(INDIRECT("1:100")),1),"")),")",""),"(","")</f>
        <v>Energy</v>
      </c>
    </row>
    <row r="2189" spans="1:8" x14ac:dyDescent="0.25">
      <c r="A2189">
        <v>2021</v>
      </c>
      <c r="B2189">
        <v>8</v>
      </c>
      <c r="C2189" t="s">
        <v>17</v>
      </c>
      <c r="D2189">
        <v>78.87</v>
      </c>
      <c r="E2189">
        <v>4</v>
      </c>
      <c r="F2189">
        <v>3.19</v>
      </c>
      <c r="H2189" s="4" t="str">
        <f t="array" aca="1" ref="H2189" ca="1">SUBSTITUTE(SUBSTITUTE(_xlfn.TEXTJOIN("",TRUE,IF(ISERR(MID(C2189,ROW(INDIRECT("1:100")),1)+0),MID(C2189,ROW(INDIRECT("1:100")),1),"")),")",""),"(","")</f>
        <v>All items less food and energy</v>
      </c>
    </row>
    <row r="2190" spans="1:8" x14ac:dyDescent="0.25">
      <c r="A2190">
        <v>2021</v>
      </c>
      <c r="B2190">
        <v>8</v>
      </c>
      <c r="C2190" t="s">
        <v>18</v>
      </c>
      <c r="H2190" s="4" t="str">
        <f t="array" aca="1" ref="H2190" ca="1">SUBSTITUTE(SUBSTITUTE(_xlfn.TEXTJOIN("",TRUE,IF(ISERR(MID(C2190,ROW(INDIRECT("1:100")),1)+0),MID(C2190,ROW(INDIRECT("1:100")),1),"")),")",""),"(","")</f>
        <v>Special aggregate indexes</v>
      </c>
    </row>
    <row r="2191" spans="1:8" x14ac:dyDescent="0.25">
      <c r="A2191">
        <v>2021</v>
      </c>
      <c r="B2191">
        <v>8</v>
      </c>
      <c r="C2191" t="s">
        <v>19</v>
      </c>
      <c r="D2191">
        <v>86.125</v>
      </c>
      <c r="E2191">
        <v>5.5</v>
      </c>
      <c r="F2191">
        <v>4.7240000000000002</v>
      </c>
      <c r="H2191" s="4" t="str">
        <f t="array" aca="1" ref="H2191" ca="1">SUBSTITUTE(SUBSTITUTE(_xlfn.TEXTJOIN("",TRUE,IF(ISERR(MID(C2191,ROW(INDIRECT("1:100")),1)+0),MID(C2191,ROW(INDIRECT("1:100")),1),"")),")",""),"(","")</f>
        <v>All items less food</v>
      </c>
    </row>
    <row r="2192" spans="1:8" x14ac:dyDescent="0.25">
      <c r="A2192">
        <v>2021</v>
      </c>
      <c r="B2192">
        <v>8</v>
      </c>
      <c r="C2192" t="s">
        <v>20</v>
      </c>
      <c r="D2192">
        <v>67.427000000000007</v>
      </c>
      <c r="E2192">
        <v>6.5</v>
      </c>
      <c r="F2192">
        <v>4.3049999999999997</v>
      </c>
      <c r="H2192" s="4" t="str">
        <f t="array" aca="1" ref="H2192" ca="1">SUBSTITUTE(SUBSTITUTE(_xlfn.TEXTJOIN("",TRUE,IF(ISERR(MID(C2192,ROW(INDIRECT("1:100")),1)+0),MID(C2192,ROW(INDIRECT("1:100")),1),"")),")",""),"(","")</f>
        <v>All items less shelter</v>
      </c>
    </row>
    <row r="2193" spans="1:8" x14ac:dyDescent="0.25">
      <c r="A2193">
        <v>2021</v>
      </c>
      <c r="B2193">
        <v>8</v>
      </c>
      <c r="C2193" t="s">
        <v>21</v>
      </c>
      <c r="D2193">
        <v>53.551000000000002</v>
      </c>
      <c r="E2193">
        <v>7.2</v>
      </c>
      <c r="F2193">
        <v>3.778</v>
      </c>
      <c r="H2193" s="4" t="str">
        <f t="array" aca="1" ref="H2193" ca="1">SUBSTITUTE(SUBSTITUTE(_xlfn.TEXTJOIN("",TRUE,IF(ISERR(MID(C2193,ROW(INDIRECT("1:100")),1)+0),MID(C2193,ROW(INDIRECT("1:100")),1),"")),")",""),"(","")</f>
        <v>All items less food and shelter</v>
      </c>
    </row>
    <row r="2194" spans="1:8" x14ac:dyDescent="0.25">
      <c r="A2194">
        <v>2021</v>
      </c>
      <c r="B2194">
        <v>8</v>
      </c>
      <c r="C2194" t="s">
        <v>22</v>
      </c>
      <c r="D2194">
        <v>46.295999999999999</v>
      </c>
      <c r="E2194">
        <v>4.8</v>
      </c>
      <c r="F2194">
        <v>2.2440000000000002</v>
      </c>
      <c r="H2194" s="4" t="str">
        <f t="array" aca="1" ref="H2194" ca="1">SUBSTITUTE(SUBSTITUTE(_xlfn.TEXTJOIN("",TRUE,IF(ISERR(MID(C2194,ROW(INDIRECT("1:100")),1)+0),MID(C2194,ROW(INDIRECT("1:100")),1),"")),")",""),"(","")</f>
        <v>All items less food, shelter, and energy</v>
      </c>
    </row>
    <row r="2195" spans="1:8" x14ac:dyDescent="0.25">
      <c r="A2195">
        <v>2021</v>
      </c>
      <c r="B2195">
        <v>8</v>
      </c>
      <c r="C2195" t="s">
        <v>23</v>
      </c>
      <c r="D2195">
        <v>42.811999999999998</v>
      </c>
      <c r="E2195">
        <v>3.1</v>
      </c>
      <c r="F2195">
        <v>1.3720000000000001</v>
      </c>
      <c r="H2195" s="4" t="str">
        <f t="array" aca="1" ref="H2195" ca="1">SUBSTITUTE(SUBSTITUTE(_xlfn.TEXTJOIN("",TRUE,IF(ISERR(MID(C2195,ROW(INDIRECT("1:100")),1)+0),MID(C2195,ROW(INDIRECT("1:100")),1),"")),")",""),"(","")</f>
        <v>All items less food, shelter, energy, and used cars and trucks</v>
      </c>
    </row>
    <row r="2196" spans="1:8" x14ac:dyDescent="0.25">
      <c r="A2196">
        <v>2021</v>
      </c>
      <c r="B2196">
        <v>8</v>
      </c>
      <c r="C2196" t="s">
        <v>24</v>
      </c>
      <c r="D2196">
        <v>91.448999999999998</v>
      </c>
      <c r="E2196">
        <v>5.7</v>
      </c>
      <c r="F2196">
        <v>5.218</v>
      </c>
      <c r="H2196" s="4" t="str">
        <f t="array" aca="1" ref="H2196" ca="1">SUBSTITUTE(SUBSTITUTE(_xlfn.TEXTJOIN("",TRUE,IF(ISERR(MID(C2196,ROW(INDIRECT("1:100")),1)+0),MID(C2196,ROW(INDIRECT("1:100")),1),"")),")",""),"(","")</f>
        <v>All items less medical care</v>
      </c>
    </row>
    <row r="2197" spans="1:8" x14ac:dyDescent="0.25">
      <c r="A2197">
        <v>2021</v>
      </c>
      <c r="B2197">
        <v>8</v>
      </c>
      <c r="C2197" t="s">
        <v>25</v>
      </c>
      <c r="D2197">
        <v>92.745000000000005</v>
      </c>
      <c r="E2197">
        <v>4</v>
      </c>
      <c r="F2197">
        <v>3.7170000000000001</v>
      </c>
      <c r="H2197" s="4" t="str">
        <f t="array" aca="1" ref="H2197" ca="1">SUBSTITUTE(SUBSTITUTE(_xlfn.TEXTJOIN("",TRUE,IF(ISERR(MID(C2197,ROW(INDIRECT("1:100")),1)+0),MID(C2197,ROW(INDIRECT("1:100")),1),"")),")",""),"(","")</f>
        <v>All items less energy</v>
      </c>
    </row>
    <row r="2198" spans="1:8" x14ac:dyDescent="0.25">
      <c r="A2198">
        <v>2021</v>
      </c>
      <c r="B2198">
        <v>8</v>
      </c>
      <c r="C2198" t="s">
        <v>26</v>
      </c>
      <c r="D2198">
        <v>38.603000000000002</v>
      </c>
      <c r="E2198">
        <v>9</v>
      </c>
      <c r="F2198">
        <v>3.3519999999999999</v>
      </c>
      <c r="H2198" s="4" t="str">
        <f t="array" aca="1" ref="H2198" ca="1">SUBSTITUTE(SUBSTITUTE(_xlfn.TEXTJOIN("",TRUE,IF(ISERR(MID(C2198,ROW(INDIRECT("1:100")),1)+0),MID(C2198,ROW(INDIRECT("1:100")),1),"")),")",""),"(","")</f>
        <v>Commodities</v>
      </c>
    </row>
    <row r="2199" spans="1:8" x14ac:dyDescent="0.25">
      <c r="A2199">
        <v>2021</v>
      </c>
      <c r="B2199">
        <v>8</v>
      </c>
      <c r="C2199" t="s">
        <v>27</v>
      </c>
      <c r="D2199">
        <v>61.396999999999998</v>
      </c>
      <c r="E2199">
        <v>3</v>
      </c>
      <c r="F2199">
        <v>1.9</v>
      </c>
      <c r="H2199" s="4" t="str">
        <f t="array" aca="1" ref="H2199" ca="1">SUBSTITUTE(SUBSTITUTE(_xlfn.TEXTJOIN("",TRUE,IF(ISERR(MID(C2199,ROW(INDIRECT("1:100")),1)+0),MID(C2199,ROW(INDIRECT("1:100")),1),"")),")",""),"(","")</f>
        <v>Services</v>
      </c>
    </row>
    <row r="2200" spans="1:8" x14ac:dyDescent="0.25">
      <c r="A2200">
        <v>2021</v>
      </c>
      <c r="B2200">
        <v>8</v>
      </c>
      <c r="C2200" t="s">
        <v>28</v>
      </c>
      <c r="D2200">
        <v>11.663</v>
      </c>
      <c r="E2200">
        <v>12.8</v>
      </c>
      <c r="F2200">
        <v>1.3939999999999999</v>
      </c>
      <c r="H2200" s="4" t="str">
        <f t="array" aca="1" ref="H2200" ca="1">SUBSTITUTE(SUBSTITUTE(_xlfn.TEXTJOIN("",TRUE,IF(ISERR(MID(C2200,ROW(INDIRECT("1:100")),1)+0),MID(C2200,ROW(INDIRECT("1:100")),1),"")),")",""),"(","")</f>
        <v>Durables</v>
      </c>
    </row>
    <row r="2201" spans="1:8" x14ac:dyDescent="0.25">
      <c r="A2201">
        <v>2021</v>
      </c>
      <c r="B2201">
        <v>8</v>
      </c>
      <c r="C2201" t="s">
        <v>29</v>
      </c>
      <c r="D2201">
        <v>26.94</v>
      </c>
      <c r="E2201">
        <v>7.4</v>
      </c>
      <c r="F2201">
        <v>1.9570000000000001</v>
      </c>
      <c r="H2201" s="4" t="str">
        <f t="array" aca="1" ref="H2201" ca="1">SUBSTITUTE(SUBSTITUTE(_xlfn.TEXTJOIN("",TRUE,IF(ISERR(MID(C2201,ROW(INDIRECT("1:100")),1)+0),MID(C2201,ROW(INDIRECT("1:100")),1),"")),")",""),"(","")</f>
        <v>Nondurables</v>
      </c>
    </row>
    <row r="2202" spans="1:8" x14ac:dyDescent="0.25">
      <c r="A2202">
        <v>2021</v>
      </c>
      <c r="B2202">
        <v>8</v>
      </c>
      <c r="C2202" t="s">
        <v>8</v>
      </c>
      <c r="D2202">
        <v>41.61</v>
      </c>
      <c r="E2202">
        <v>3.5</v>
      </c>
      <c r="F2202">
        <v>1.478</v>
      </c>
      <c r="H2202" s="4" t="str">
        <f t="array" aca="1" ref="H2202" ca="1">SUBSTITUTE(SUBSTITUTE(_xlfn.TEXTJOIN("",TRUE,IF(ISERR(MID(C2202,ROW(INDIRECT("1:100")),1)+0),MID(C2202,ROW(INDIRECT("1:100")),1),"")),")",""),"(","")</f>
        <v>Housing</v>
      </c>
    </row>
    <row r="2203" spans="1:8" x14ac:dyDescent="0.25">
      <c r="A2203">
        <v>2021</v>
      </c>
      <c r="B2203">
        <v>8</v>
      </c>
      <c r="C2203" t="s">
        <v>30</v>
      </c>
      <c r="D2203">
        <v>6.5359999999999996</v>
      </c>
      <c r="E2203">
        <v>1.2</v>
      </c>
      <c r="F2203">
        <v>8.2000000000000003E-2</v>
      </c>
      <c r="H2203" s="4" t="str">
        <f t="array" aca="1" ref="H2203" ca="1">SUBSTITUTE(SUBSTITUTE(_xlfn.TEXTJOIN("",TRUE,IF(ISERR(MID(C2203,ROW(INDIRECT("1:100")),1)+0),MID(C2203,ROW(INDIRECT("1:100")),1),"")),")",""),"(","")</f>
        <v>Education and communication</v>
      </c>
    </row>
    <row r="2204" spans="1:8" x14ac:dyDescent="0.25">
      <c r="A2204">
        <v>2021</v>
      </c>
      <c r="B2204">
        <v>8</v>
      </c>
      <c r="C2204" t="s">
        <v>31</v>
      </c>
      <c r="D2204">
        <v>5.6609999999999996</v>
      </c>
      <c r="E2204">
        <v>3.4</v>
      </c>
      <c r="F2204">
        <v>0.19700000000000001</v>
      </c>
      <c r="H2204" s="4" t="str">
        <f t="array" aca="1" ref="H2204" ca="1">SUBSTITUTE(SUBSTITUTE(_xlfn.TEXTJOIN("",TRUE,IF(ISERR(MID(C2204,ROW(INDIRECT("1:100")),1)+0),MID(C2204,ROW(INDIRECT("1:100")),1),"")),")",""),"(","")</f>
        <v>Recreation</v>
      </c>
    </row>
    <row r="2205" spans="1:8" x14ac:dyDescent="0.25">
      <c r="A2205">
        <v>2021</v>
      </c>
      <c r="B2205">
        <v>8</v>
      </c>
      <c r="C2205" t="s">
        <v>6</v>
      </c>
      <c r="D2205">
        <v>14.88</v>
      </c>
      <c r="E2205">
        <v>3.7</v>
      </c>
      <c r="F2205">
        <v>0.55400000000000005</v>
      </c>
      <c r="H2205" s="4" t="str">
        <f t="array" aca="1" ref="H2205" ca="1">SUBSTITUTE(SUBSTITUTE(_xlfn.TEXTJOIN("",TRUE,IF(ISERR(MID(C2205,ROW(INDIRECT("1:100")),1)+0),MID(C2205,ROW(INDIRECT("1:100")),1),"")),")",""),"(","")</f>
        <v>Food and beverages</v>
      </c>
    </row>
    <row r="2206" spans="1:8" x14ac:dyDescent="0.25">
      <c r="A2206">
        <v>2021</v>
      </c>
      <c r="B2206">
        <v>8</v>
      </c>
      <c r="C2206" t="s">
        <v>32</v>
      </c>
      <c r="D2206">
        <v>11.384</v>
      </c>
      <c r="E2206">
        <v>2.2999999999999998</v>
      </c>
      <c r="F2206">
        <v>0.27500000000000002</v>
      </c>
      <c r="H2206" s="4" t="str">
        <f t="array" aca="1" ref="H2206" ca="1">SUBSTITUTE(SUBSTITUTE(_xlfn.TEXTJOIN("",TRUE,IF(ISERR(MID(C2206,ROW(INDIRECT("1:100")),1)+0),MID(C2206,ROW(INDIRECT("1:100")),1),"")),")",""),"(","")</f>
        <v>Other services</v>
      </c>
    </row>
    <row r="2207" spans="1:8" x14ac:dyDescent="0.25">
      <c r="A2207">
        <v>2021</v>
      </c>
      <c r="B2207">
        <v>8</v>
      </c>
      <c r="C2207" t="s">
        <v>33</v>
      </c>
      <c r="D2207">
        <v>2.0089999999999999</v>
      </c>
      <c r="E2207">
        <v>3.9</v>
      </c>
      <c r="F2207">
        <v>8.1000000000000003E-2</v>
      </c>
      <c r="H2207" s="4" t="str">
        <f t="array" aca="1" ref="H2207" ca="1">SUBSTITUTE(SUBSTITUTE(_xlfn.TEXTJOIN("",TRUE,IF(ISERR(MID(C2207,ROW(INDIRECT("1:100")),1)+0),MID(C2207,ROW(INDIRECT("1:100")),1),"")),")",""),"(","")</f>
        <v>Apparel less footwear</v>
      </c>
    </row>
    <row r="2208" spans="1:8" x14ac:dyDescent="0.25">
      <c r="A2208">
        <v>2021</v>
      </c>
      <c r="B2208">
        <v>8</v>
      </c>
      <c r="C2208" t="s">
        <v>34</v>
      </c>
      <c r="D2208">
        <v>4.4409999999999998</v>
      </c>
      <c r="E2208">
        <v>7.9</v>
      </c>
      <c r="F2208">
        <v>0.34399999999999997</v>
      </c>
      <c r="H2208" s="4" t="str">
        <f t="array" aca="1" ref="H2208" ca="1">SUBSTITUTE(SUBSTITUTE(_xlfn.TEXTJOIN("",TRUE,IF(ISERR(MID(C2208,ROW(INDIRECT("1:100")),1)+0),MID(C2208,ROW(INDIRECT("1:100")),1),"")),")",""),"(","")</f>
        <v>Fuels and utilities</v>
      </c>
    </row>
    <row r="2209" spans="1:8" x14ac:dyDescent="0.25">
      <c r="A2209">
        <v>2021</v>
      </c>
      <c r="B2209">
        <v>8</v>
      </c>
      <c r="C2209" t="s">
        <v>11</v>
      </c>
      <c r="D2209">
        <v>8.5510000000000002</v>
      </c>
      <c r="E2209">
        <v>0.4</v>
      </c>
      <c r="F2209">
        <v>3.3000000000000002E-2</v>
      </c>
      <c r="H2209" s="4" t="str">
        <f t="array" aca="1" ref="H2209" ca="1">SUBSTITUTE(SUBSTITUTE(_xlfn.TEXTJOIN("",TRUE,IF(ISERR(MID(C2209,ROW(INDIRECT("1:100")),1)+0),MID(C2209,ROW(INDIRECT("1:100")),1),"")),")",""),"(","")</f>
        <v>Medical care</v>
      </c>
    </row>
    <row r="2210" spans="1:8" x14ac:dyDescent="0.25">
      <c r="A2210">
        <v>2021</v>
      </c>
      <c r="B2210">
        <v>8</v>
      </c>
      <c r="C2210" t="s">
        <v>7</v>
      </c>
      <c r="D2210">
        <v>17.033999999999999</v>
      </c>
      <c r="E2210">
        <v>17.8</v>
      </c>
      <c r="F2210">
        <v>2.6829999999999998</v>
      </c>
      <c r="H2210" s="4" t="str">
        <f t="array" aca="1" ref="H2210" ca="1">SUBSTITUTE(SUBSTITUTE(_xlfn.TEXTJOIN("",TRUE,IF(ISERR(MID(C2210,ROW(INDIRECT("1:100")),1)+0),MID(C2210,ROW(INDIRECT("1:100")),1),"")),")",""),"(","")</f>
        <v>Transportation</v>
      </c>
    </row>
    <row r="2211" spans="1:8" x14ac:dyDescent="0.25">
      <c r="A2211">
        <v>2021</v>
      </c>
      <c r="B2211">
        <v>8</v>
      </c>
      <c r="C2211" t="s">
        <v>35</v>
      </c>
      <c r="D2211">
        <v>8.9090000000000007</v>
      </c>
      <c r="E2211">
        <v>5.3</v>
      </c>
      <c r="F2211">
        <v>0.46500000000000002</v>
      </c>
      <c r="H2211" s="4" t="str">
        <f t="array" aca="1" ref="H2211" ca="1">SUBSTITUTE(SUBSTITUTE(_xlfn.TEXTJOIN("",TRUE,IF(ISERR(MID(C2211,ROW(INDIRECT("1:100")),1)+0),MID(C2211,ROW(INDIRECT("1:100")),1),"")),")",""),"(","")</f>
        <v>Utilities and public transportation</v>
      </c>
    </row>
    <row r="2212" spans="1:8" x14ac:dyDescent="0.25">
      <c r="A2212">
        <v>2021</v>
      </c>
      <c r="B2212">
        <v>8</v>
      </c>
      <c r="C2212" t="s">
        <v>36</v>
      </c>
      <c r="D2212">
        <v>4.5949999999999998</v>
      </c>
      <c r="E2212">
        <v>4</v>
      </c>
      <c r="F2212">
        <v>0.188</v>
      </c>
      <c r="H2212" s="4" t="str">
        <f t="array" aca="1" ref="H2212" ca="1">SUBSTITUTE(SUBSTITUTE(_xlfn.TEXTJOIN("",TRUE,IF(ISERR(MID(C2212,ROW(INDIRECT("1:100")),1)+0),MID(C2212,ROW(INDIRECT("1:100")),1),"")),")",""),"(","")</f>
        <v>Household furnishings and operations</v>
      </c>
    </row>
    <row r="2213" spans="1:8" x14ac:dyDescent="0.25">
      <c r="A2213">
        <v>2021</v>
      </c>
      <c r="B2213">
        <v>8</v>
      </c>
      <c r="C2213" t="s">
        <v>12</v>
      </c>
      <c r="D2213">
        <v>3.0830000000000002</v>
      </c>
      <c r="E2213">
        <v>3.5</v>
      </c>
      <c r="F2213">
        <v>0.11</v>
      </c>
      <c r="H2213" s="4" t="str">
        <f t="array" aca="1" ref="H2213" ca="1">SUBSTITUTE(SUBSTITUTE(_xlfn.TEXTJOIN("",TRUE,IF(ISERR(MID(C2213,ROW(INDIRECT("1:100")),1)+0),MID(C2213,ROW(INDIRECT("1:100")),1),"")),")",""),"(","")</f>
        <v>Other goods and services</v>
      </c>
    </row>
    <row r="2214" spans="1:8" x14ac:dyDescent="0.25">
      <c r="A2214">
        <v>2021</v>
      </c>
      <c r="B2214">
        <v>9</v>
      </c>
      <c r="C2214" t="s">
        <v>14</v>
      </c>
      <c r="D2214">
        <v>100</v>
      </c>
      <c r="E2214">
        <v>5.4</v>
      </c>
      <c r="H2214" s="4" t="str">
        <f t="array" aca="1" ref="H2214" ca="1">SUBSTITUTE(SUBSTITUTE(_xlfn.TEXTJOIN("",TRUE,IF(ISERR(MID(C2214,ROW(INDIRECT("1:100")),1)+0),MID(C2214,ROW(INDIRECT("1:100")),1),"")),")",""),"(","")</f>
        <v>All items</v>
      </c>
    </row>
    <row r="2215" spans="1:8" x14ac:dyDescent="0.25">
      <c r="A2215">
        <v>2021</v>
      </c>
      <c r="B2215">
        <v>9</v>
      </c>
      <c r="C2215" t="s">
        <v>15</v>
      </c>
      <c r="D2215">
        <v>13.897</v>
      </c>
      <c r="E2215">
        <v>4.5999999999999996</v>
      </c>
      <c r="F2215">
        <v>0.64600000000000002</v>
      </c>
      <c r="H2215" s="4" t="str">
        <f t="array" aca="1" ref="H2215" ca="1">SUBSTITUTE(SUBSTITUTE(_xlfn.TEXTJOIN("",TRUE,IF(ISERR(MID(C2215,ROW(INDIRECT("1:100")),1)+0),MID(C2215,ROW(INDIRECT("1:100")),1),"")),")",""),"(","")</f>
        <v>Food</v>
      </c>
    </row>
    <row r="2216" spans="1:8" x14ac:dyDescent="0.25">
      <c r="A2216">
        <v>2021</v>
      </c>
      <c r="B2216">
        <v>9</v>
      </c>
      <c r="C2216" t="s">
        <v>16</v>
      </c>
      <c r="D2216">
        <v>7.2939999999999996</v>
      </c>
      <c r="E2216">
        <v>24.8</v>
      </c>
      <c r="F2216">
        <v>1.5349999999999999</v>
      </c>
      <c r="H2216" s="4" t="str">
        <f t="array" aca="1" ref="H2216" ca="1">SUBSTITUTE(SUBSTITUTE(_xlfn.TEXTJOIN("",TRUE,IF(ISERR(MID(C2216,ROW(INDIRECT("1:100")),1)+0),MID(C2216,ROW(INDIRECT("1:100")),1),"")),")",""),"(","")</f>
        <v>Energy</v>
      </c>
    </row>
    <row r="2217" spans="1:8" x14ac:dyDescent="0.25">
      <c r="A2217">
        <v>2021</v>
      </c>
      <c r="B2217">
        <v>9</v>
      </c>
      <c r="C2217" t="s">
        <v>17</v>
      </c>
      <c r="D2217">
        <v>78.808999999999997</v>
      </c>
      <c r="E2217">
        <v>4</v>
      </c>
      <c r="F2217">
        <v>3.21</v>
      </c>
      <c r="H2217" s="4" t="str">
        <f t="array" aca="1" ref="H2217" ca="1">SUBSTITUTE(SUBSTITUTE(_xlfn.TEXTJOIN("",TRUE,IF(ISERR(MID(C2217,ROW(INDIRECT("1:100")),1)+0),MID(C2217,ROW(INDIRECT("1:100")),1),"")),")",""),"(","")</f>
        <v>All items less food and energy</v>
      </c>
    </row>
    <row r="2218" spans="1:8" x14ac:dyDescent="0.25">
      <c r="A2218">
        <v>2021</v>
      </c>
      <c r="B2218">
        <v>9</v>
      </c>
      <c r="C2218" t="s">
        <v>18</v>
      </c>
      <c r="H2218" s="4" t="str">
        <f t="array" aca="1" ref="H2218" ca="1">SUBSTITUTE(SUBSTITUTE(_xlfn.TEXTJOIN("",TRUE,IF(ISERR(MID(C2218,ROW(INDIRECT("1:100")),1)+0),MID(C2218,ROW(INDIRECT("1:100")),1),"")),")",""),"(","")</f>
        <v>Special aggregate indexes</v>
      </c>
    </row>
    <row r="2219" spans="1:8" x14ac:dyDescent="0.25">
      <c r="A2219">
        <v>2021</v>
      </c>
      <c r="B2219">
        <v>9</v>
      </c>
      <c r="C2219" t="s">
        <v>19</v>
      </c>
      <c r="D2219">
        <v>86.102999999999994</v>
      </c>
      <c r="E2219">
        <v>5.5</v>
      </c>
      <c r="F2219">
        <v>4.7439999999999998</v>
      </c>
      <c r="H2219" s="4" t="str">
        <f t="array" aca="1" ref="H2219" ca="1">SUBSTITUTE(SUBSTITUTE(_xlfn.TEXTJOIN("",TRUE,IF(ISERR(MID(C2219,ROW(INDIRECT("1:100")),1)+0),MID(C2219,ROW(INDIRECT("1:100")),1),"")),")",""),"(","")</f>
        <v>All items less food</v>
      </c>
    </row>
    <row r="2220" spans="1:8" x14ac:dyDescent="0.25">
      <c r="A2220">
        <v>2021</v>
      </c>
      <c r="B2220">
        <v>9</v>
      </c>
      <c r="C2220" t="s">
        <v>20</v>
      </c>
      <c r="D2220">
        <v>67.447999999999993</v>
      </c>
      <c r="E2220">
        <v>6.5</v>
      </c>
      <c r="F2220">
        <v>4.3390000000000004</v>
      </c>
      <c r="H2220" s="4" t="str">
        <f t="array" aca="1" ref="H2220" ca="1">SUBSTITUTE(SUBSTITUTE(_xlfn.TEXTJOIN("",TRUE,IF(ISERR(MID(C2220,ROW(INDIRECT("1:100")),1)+0),MID(C2220,ROW(INDIRECT("1:100")),1),"")),")",""),"(","")</f>
        <v>All items less shelter</v>
      </c>
    </row>
    <row r="2221" spans="1:8" x14ac:dyDescent="0.25">
      <c r="A2221">
        <v>2021</v>
      </c>
      <c r="B2221">
        <v>9</v>
      </c>
      <c r="C2221" t="s">
        <v>21</v>
      </c>
      <c r="D2221">
        <v>53.551000000000002</v>
      </c>
      <c r="E2221">
        <v>7</v>
      </c>
      <c r="F2221">
        <v>3.6930000000000001</v>
      </c>
      <c r="H2221" s="4" t="str">
        <f t="array" aca="1" ref="H2221" ca="1">SUBSTITUTE(SUBSTITUTE(_xlfn.TEXTJOIN("",TRUE,IF(ISERR(MID(C2221,ROW(INDIRECT("1:100")),1)+0),MID(C2221,ROW(INDIRECT("1:100")),1),"")),")",""),"(","")</f>
        <v>All items less food and shelter</v>
      </c>
    </row>
    <row r="2222" spans="1:8" x14ac:dyDescent="0.25">
      <c r="A2222">
        <v>2021</v>
      </c>
      <c r="B2222">
        <v>9</v>
      </c>
      <c r="C2222" t="s">
        <v>22</v>
      </c>
      <c r="D2222">
        <v>46.256999999999998</v>
      </c>
      <c r="E2222">
        <v>4.5999999999999996</v>
      </c>
      <c r="F2222">
        <v>2.1579999999999999</v>
      </c>
      <c r="H2222" s="4" t="str">
        <f t="array" aca="1" ref="H2222" ca="1">SUBSTITUTE(SUBSTITUTE(_xlfn.TEXTJOIN("",TRUE,IF(ISERR(MID(C2222,ROW(INDIRECT("1:100")),1)+0),MID(C2222,ROW(INDIRECT("1:100")),1),"")),")",""),"(","")</f>
        <v>All items less food, shelter, and energy</v>
      </c>
    </row>
    <row r="2223" spans="1:8" x14ac:dyDescent="0.25">
      <c r="A2223">
        <v>2021</v>
      </c>
      <c r="B2223">
        <v>9</v>
      </c>
      <c r="C2223" t="s">
        <v>23</v>
      </c>
      <c r="D2223">
        <v>42.829000000000001</v>
      </c>
      <c r="E2223">
        <v>3.4</v>
      </c>
      <c r="F2223">
        <v>1.4770000000000001</v>
      </c>
      <c r="H2223" s="4" t="str">
        <f t="array" aca="1" ref="H2223" ca="1">SUBSTITUTE(SUBSTITUTE(_xlfn.TEXTJOIN("",TRUE,IF(ISERR(MID(C2223,ROW(INDIRECT("1:100")),1)+0),MID(C2223,ROW(INDIRECT("1:100")),1),"")),")",""),"(","")</f>
        <v>All items less food, shelter, energy, and used cars and trucks</v>
      </c>
    </row>
    <row r="2224" spans="1:8" x14ac:dyDescent="0.25">
      <c r="A2224">
        <v>2021</v>
      </c>
      <c r="B2224">
        <v>9</v>
      </c>
      <c r="C2224" t="s">
        <v>24</v>
      </c>
      <c r="D2224">
        <v>91.45</v>
      </c>
      <c r="E2224">
        <v>5.9</v>
      </c>
      <c r="F2224">
        <v>5.351</v>
      </c>
      <c r="H2224" s="4" t="str">
        <f t="array" aca="1" ref="H2224" ca="1">SUBSTITUTE(SUBSTITUTE(_xlfn.TEXTJOIN("",TRUE,IF(ISERR(MID(C2224,ROW(INDIRECT("1:100")),1)+0),MID(C2224,ROW(INDIRECT("1:100")),1),"")),")",""),"(","")</f>
        <v>All items less medical care</v>
      </c>
    </row>
    <row r="2225" spans="1:8" x14ac:dyDescent="0.25">
      <c r="A2225">
        <v>2021</v>
      </c>
      <c r="B2225">
        <v>9</v>
      </c>
      <c r="C2225" t="s">
        <v>25</v>
      </c>
      <c r="D2225">
        <v>92.706000000000003</v>
      </c>
      <c r="E2225">
        <v>4.0999999999999996</v>
      </c>
      <c r="F2225">
        <v>3.855</v>
      </c>
      <c r="H2225" s="4" t="str">
        <f t="array" aca="1" ref="H2225" ca="1">SUBSTITUTE(SUBSTITUTE(_xlfn.TEXTJOIN("",TRUE,IF(ISERR(MID(C2225,ROW(INDIRECT("1:100")),1)+0),MID(C2225,ROW(INDIRECT("1:100")),1),"")),")",""),"(","")</f>
        <v>All items less energy</v>
      </c>
    </row>
    <row r="2226" spans="1:8" x14ac:dyDescent="0.25">
      <c r="A2226">
        <v>2021</v>
      </c>
      <c r="B2226">
        <v>9</v>
      </c>
      <c r="C2226" t="s">
        <v>26</v>
      </c>
      <c r="D2226">
        <v>38.692</v>
      </c>
      <c r="E2226">
        <v>9.1</v>
      </c>
      <c r="F2226">
        <v>3.39</v>
      </c>
      <c r="H2226" s="4" t="str">
        <f t="array" aca="1" ref="H2226" ca="1">SUBSTITUTE(SUBSTITUTE(_xlfn.TEXTJOIN("",TRUE,IF(ISERR(MID(C2226,ROW(INDIRECT("1:100")),1)+0),MID(C2226,ROW(INDIRECT("1:100")),1),"")),")",""),"(","")</f>
        <v>Commodities</v>
      </c>
    </row>
    <row r="2227" spans="1:8" x14ac:dyDescent="0.25">
      <c r="A2227">
        <v>2021</v>
      </c>
      <c r="B2227">
        <v>9</v>
      </c>
      <c r="C2227" t="s">
        <v>27</v>
      </c>
      <c r="D2227">
        <v>61.308</v>
      </c>
      <c r="E2227">
        <v>3.2</v>
      </c>
      <c r="F2227">
        <v>2</v>
      </c>
      <c r="H2227" s="4" t="str">
        <f t="array" aca="1" ref="H2227" ca="1">SUBSTITUTE(SUBSTITUTE(_xlfn.TEXTJOIN("",TRUE,IF(ISERR(MID(C2227,ROW(INDIRECT("1:100")),1)+0),MID(C2227,ROW(INDIRECT("1:100")),1),"")),")",""),"(","")</f>
        <v>Services</v>
      </c>
    </row>
    <row r="2228" spans="1:8" x14ac:dyDescent="0.25">
      <c r="A2228">
        <v>2021</v>
      </c>
      <c r="B2228">
        <v>9</v>
      </c>
      <c r="C2228" t="s">
        <v>28</v>
      </c>
      <c r="D2228">
        <v>11.673</v>
      </c>
      <c r="E2228">
        <v>11.8</v>
      </c>
      <c r="F2228">
        <v>1.2849999999999999</v>
      </c>
      <c r="H2228" s="4" t="str">
        <f t="array" aca="1" ref="H2228" ca="1">SUBSTITUTE(SUBSTITUTE(_xlfn.TEXTJOIN("",TRUE,IF(ISERR(MID(C2228,ROW(INDIRECT("1:100")),1)+0),MID(C2228,ROW(INDIRECT("1:100")),1),"")),")",""),"(","")</f>
        <v>Durables</v>
      </c>
    </row>
    <row r="2229" spans="1:8" x14ac:dyDescent="0.25">
      <c r="A2229">
        <v>2021</v>
      </c>
      <c r="B2229">
        <v>9</v>
      </c>
      <c r="C2229" t="s">
        <v>29</v>
      </c>
      <c r="D2229">
        <v>27.018999999999998</v>
      </c>
      <c r="E2229">
        <v>7.9</v>
      </c>
      <c r="F2229">
        <v>2.105</v>
      </c>
      <c r="H2229" s="4" t="str">
        <f t="array" aca="1" ref="H2229" ca="1">SUBSTITUTE(SUBSTITUTE(_xlfn.TEXTJOIN("",TRUE,IF(ISERR(MID(C2229,ROW(INDIRECT("1:100")),1)+0),MID(C2229,ROW(INDIRECT("1:100")),1),"")),")",""),"(","")</f>
        <v>Nondurables</v>
      </c>
    </row>
    <row r="2230" spans="1:8" x14ac:dyDescent="0.25">
      <c r="A2230">
        <v>2021</v>
      </c>
      <c r="B2230">
        <v>9</v>
      </c>
      <c r="C2230" t="s">
        <v>8</v>
      </c>
      <c r="D2230">
        <v>41.64</v>
      </c>
      <c r="E2230">
        <v>3.9</v>
      </c>
      <c r="F2230">
        <v>1.647</v>
      </c>
      <c r="H2230" s="4" t="str">
        <f t="array" aca="1" ref="H2230" ca="1">SUBSTITUTE(SUBSTITUTE(_xlfn.TEXTJOIN("",TRUE,IF(ISERR(MID(C2230,ROW(INDIRECT("1:100")),1)+0),MID(C2230,ROW(INDIRECT("1:100")),1),"")),")",""),"(","")</f>
        <v>Housing</v>
      </c>
    </row>
    <row r="2231" spans="1:8" x14ac:dyDescent="0.25">
      <c r="A2231">
        <v>2021</v>
      </c>
      <c r="B2231">
        <v>9</v>
      </c>
      <c r="C2231" t="s">
        <v>30</v>
      </c>
      <c r="D2231">
        <v>6.5510000000000002</v>
      </c>
      <c r="E2231">
        <v>1.7</v>
      </c>
      <c r="F2231">
        <v>0.11700000000000001</v>
      </c>
      <c r="H2231" s="4" t="str">
        <f t="array" aca="1" ref="H2231" ca="1">SUBSTITUTE(SUBSTITUTE(_xlfn.TEXTJOIN("",TRUE,IF(ISERR(MID(C2231,ROW(INDIRECT("1:100")),1)+0),MID(C2231,ROW(INDIRECT("1:100")),1),"")),")",""),"(","")</f>
        <v>Education and communication</v>
      </c>
    </row>
    <row r="2232" spans="1:8" x14ac:dyDescent="0.25">
      <c r="A2232">
        <v>2021</v>
      </c>
      <c r="B2232">
        <v>9</v>
      </c>
      <c r="C2232" t="s">
        <v>31</v>
      </c>
      <c r="D2232">
        <v>5.6790000000000003</v>
      </c>
      <c r="E2232">
        <v>3.5</v>
      </c>
      <c r="F2232">
        <v>0.20100000000000001</v>
      </c>
      <c r="H2232" s="4" t="str">
        <f t="array" aca="1" ref="H2232" ca="1">SUBSTITUTE(SUBSTITUTE(_xlfn.TEXTJOIN("",TRUE,IF(ISERR(MID(C2232,ROW(INDIRECT("1:100")),1)+0),MID(C2232,ROW(INDIRECT("1:100")),1),"")),")",""),"(","")</f>
        <v>Recreation</v>
      </c>
    </row>
    <row r="2233" spans="1:8" x14ac:dyDescent="0.25">
      <c r="A2233">
        <v>2021</v>
      </c>
      <c r="B2233">
        <v>9</v>
      </c>
      <c r="C2233" t="s">
        <v>6</v>
      </c>
      <c r="D2233">
        <v>14.904</v>
      </c>
      <c r="E2233">
        <v>4.5</v>
      </c>
      <c r="F2233">
        <v>0.67500000000000004</v>
      </c>
      <c r="H2233" s="4" t="str">
        <f t="array" aca="1" ref="H2233" ca="1">SUBSTITUTE(SUBSTITUTE(_xlfn.TEXTJOIN("",TRUE,IF(ISERR(MID(C2233,ROW(INDIRECT("1:100")),1)+0),MID(C2233,ROW(INDIRECT("1:100")),1),"")),")",""),"(","")</f>
        <v>Food and beverages</v>
      </c>
    </row>
    <row r="2234" spans="1:8" x14ac:dyDescent="0.25">
      <c r="A2234">
        <v>2021</v>
      </c>
      <c r="B2234">
        <v>9</v>
      </c>
      <c r="C2234" t="s">
        <v>32</v>
      </c>
      <c r="D2234">
        <v>11.406000000000001</v>
      </c>
      <c r="E2234">
        <v>2.5</v>
      </c>
      <c r="F2234">
        <v>0.29299999999999998</v>
      </c>
      <c r="H2234" s="4" t="str">
        <f t="array" aca="1" ref="H2234" ca="1">SUBSTITUTE(SUBSTITUTE(_xlfn.TEXTJOIN("",TRUE,IF(ISERR(MID(C2234,ROW(INDIRECT("1:100")),1)+0),MID(C2234,ROW(INDIRECT("1:100")),1),"")),")",""),"(","")</f>
        <v>Other services</v>
      </c>
    </row>
    <row r="2235" spans="1:8" x14ac:dyDescent="0.25">
      <c r="A2235">
        <v>2021</v>
      </c>
      <c r="B2235">
        <v>9</v>
      </c>
      <c r="C2235" t="s">
        <v>33</v>
      </c>
      <c r="D2235">
        <v>2.0409999999999999</v>
      </c>
      <c r="E2235">
        <v>2.5</v>
      </c>
      <c r="F2235">
        <v>5.1999999999999998E-2</v>
      </c>
      <c r="H2235" s="4" t="str">
        <f t="array" aca="1" ref="H2235" ca="1">SUBSTITUTE(SUBSTITUTE(_xlfn.TEXTJOIN("",TRUE,IF(ISERR(MID(C2235,ROW(INDIRECT("1:100")),1)+0),MID(C2235,ROW(INDIRECT("1:100")),1),"")),")",""),"(","")</f>
        <v>Apparel less footwear</v>
      </c>
    </row>
    <row r="2236" spans="1:8" x14ac:dyDescent="0.25">
      <c r="A2236">
        <v>2021</v>
      </c>
      <c r="B2236">
        <v>9</v>
      </c>
      <c r="C2236" t="s">
        <v>34</v>
      </c>
      <c r="D2236">
        <v>4.4660000000000002</v>
      </c>
      <c r="E2236">
        <v>8.1999999999999993</v>
      </c>
      <c r="F2236">
        <v>0.35699999999999998</v>
      </c>
      <c r="H2236" s="4" t="str">
        <f t="array" aca="1" ref="H2236" ca="1">SUBSTITUTE(SUBSTITUTE(_xlfn.TEXTJOIN("",TRUE,IF(ISERR(MID(C2236,ROW(INDIRECT("1:100")),1)+0),MID(C2236,ROW(INDIRECT("1:100")),1),"")),")",""),"(","")</f>
        <v>Fuels and utilities</v>
      </c>
    </row>
    <row r="2237" spans="1:8" x14ac:dyDescent="0.25">
      <c r="A2237">
        <v>2021</v>
      </c>
      <c r="B2237">
        <v>9</v>
      </c>
      <c r="C2237" t="s">
        <v>11</v>
      </c>
      <c r="D2237">
        <v>8.5500000000000007</v>
      </c>
      <c r="E2237">
        <v>0.4</v>
      </c>
      <c r="F2237">
        <v>3.9E-2</v>
      </c>
      <c r="H2237" s="4" t="str">
        <f t="array" aca="1" ref="H2237" ca="1">SUBSTITUTE(SUBSTITUTE(_xlfn.TEXTJOIN("",TRUE,IF(ISERR(MID(C2237,ROW(INDIRECT("1:100")),1)+0),MID(C2237,ROW(INDIRECT("1:100")),1),"")),")",""),"(","")</f>
        <v>Medical care</v>
      </c>
    </row>
    <row r="2238" spans="1:8" x14ac:dyDescent="0.25">
      <c r="A2238">
        <v>2021</v>
      </c>
      <c r="B2238">
        <v>9</v>
      </c>
      <c r="C2238" t="s">
        <v>7</v>
      </c>
      <c r="D2238">
        <v>16.901</v>
      </c>
      <c r="E2238">
        <v>16.600000000000001</v>
      </c>
      <c r="F2238">
        <v>2.5089999999999999</v>
      </c>
      <c r="H2238" s="4" t="str">
        <f t="array" aca="1" ref="H2238" ca="1">SUBSTITUTE(SUBSTITUTE(_xlfn.TEXTJOIN("",TRUE,IF(ISERR(MID(C2238,ROW(INDIRECT("1:100")),1)+0),MID(C2238,ROW(INDIRECT("1:100")),1),"")),")",""),"(","")</f>
        <v>Transportation</v>
      </c>
    </row>
    <row r="2239" spans="1:8" x14ac:dyDescent="0.25">
      <c r="A2239">
        <v>2021</v>
      </c>
      <c r="B2239">
        <v>9</v>
      </c>
      <c r="C2239" t="s">
        <v>35</v>
      </c>
      <c r="D2239">
        <v>8.8360000000000003</v>
      </c>
      <c r="E2239">
        <v>4.5</v>
      </c>
      <c r="F2239">
        <v>0.40100000000000002</v>
      </c>
      <c r="H2239" s="4" t="str">
        <f t="array" aca="1" ref="H2239" ca="1">SUBSTITUTE(SUBSTITUTE(_xlfn.TEXTJOIN("",TRUE,IF(ISERR(MID(C2239,ROW(INDIRECT("1:100")),1)+0),MID(C2239,ROW(INDIRECT("1:100")),1),"")),")",""),"(","")</f>
        <v>Utilities and public transportation</v>
      </c>
    </row>
    <row r="2240" spans="1:8" x14ac:dyDescent="0.25">
      <c r="A2240">
        <v>2021</v>
      </c>
      <c r="B2240">
        <v>9</v>
      </c>
      <c r="C2240" t="s">
        <v>36</v>
      </c>
      <c r="D2240">
        <v>4.6230000000000002</v>
      </c>
      <c r="E2240">
        <v>5.0999999999999996</v>
      </c>
      <c r="F2240">
        <v>0.23899999999999999</v>
      </c>
      <c r="H2240" s="4" t="str">
        <f t="array" aca="1" ref="H2240" ca="1">SUBSTITUTE(SUBSTITUTE(_xlfn.TEXTJOIN("",TRUE,IF(ISERR(MID(C2240,ROW(INDIRECT("1:100")),1)+0),MID(C2240,ROW(INDIRECT("1:100")),1),"")),")",""),"(","")</f>
        <v>Household furnishings and operations</v>
      </c>
    </row>
    <row r="2241" spans="1:8" x14ac:dyDescent="0.25">
      <c r="A2241">
        <v>2021</v>
      </c>
      <c r="B2241">
        <v>9</v>
      </c>
      <c r="C2241" t="s">
        <v>12</v>
      </c>
      <c r="D2241">
        <v>3.09</v>
      </c>
      <c r="E2241">
        <v>3.4</v>
      </c>
      <c r="F2241">
        <v>0.108</v>
      </c>
      <c r="H2241" s="4" t="str">
        <f t="array" aca="1" ref="H2241" ca="1">SUBSTITUTE(SUBSTITUTE(_xlfn.TEXTJOIN("",TRUE,IF(ISERR(MID(C2241,ROW(INDIRECT("1:100")),1)+0),MID(C2241,ROW(INDIRECT("1:100")),1),"")),")",""),"(","")</f>
        <v>Other goods and services</v>
      </c>
    </row>
    <row r="2242" spans="1:8" x14ac:dyDescent="0.25">
      <c r="A2242">
        <v>2021</v>
      </c>
      <c r="B2242">
        <v>10</v>
      </c>
      <c r="C2242" t="s">
        <v>14</v>
      </c>
      <c r="D2242">
        <v>100</v>
      </c>
      <c r="E2242">
        <v>6.2</v>
      </c>
      <c r="H2242" s="4" t="str">
        <f t="array" aca="1" ref="H2242" ca="1">SUBSTITUTE(SUBSTITUTE(_xlfn.TEXTJOIN("",TRUE,IF(ISERR(MID(C2242,ROW(INDIRECT("1:100")),1)+0),MID(C2242,ROW(INDIRECT("1:100")),1),"")),")",""),"(","")</f>
        <v>All items</v>
      </c>
    </row>
    <row r="2243" spans="1:8" x14ac:dyDescent="0.25">
      <c r="A2243">
        <v>2021</v>
      </c>
      <c r="B2243">
        <v>10</v>
      </c>
      <c r="C2243" t="s">
        <v>15</v>
      </c>
      <c r="D2243">
        <v>13.977</v>
      </c>
      <c r="E2243">
        <v>5.3</v>
      </c>
      <c r="F2243">
        <v>0.752</v>
      </c>
      <c r="H2243" s="4" t="str">
        <f t="array" aca="1" ref="H2243" ca="1">SUBSTITUTE(SUBSTITUTE(_xlfn.TEXTJOIN("",TRUE,IF(ISERR(MID(C2243,ROW(INDIRECT("1:100")),1)+0),MID(C2243,ROW(INDIRECT("1:100")),1),"")),")",""),"(","")</f>
        <v>Food</v>
      </c>
    </row>
    <row r="2244" spans="1:8" x14ac:dyDescent="0.25">
      <c r="A2244">
        <v>2021</v>
      </c>
      <c r="B2244">
        <v>10</v>
      </c>
      <c r="C2244" t="s">
        <v>16</v>
      </c>
      <c r="D2244">
        <v>7.3220000000000001</v>
      </c>
      <c r="E2244">
        <v>30</v>
      </c>
      <c r="F2244">
        <v>1.83</v>
      </c>
      <c r="H2244" s="4" t="str">
        <f t="array" aca="1" ref="H2244" ca="1">SUBSTITUTE(SUBSTITUTE(_xlfn.TEXTJOIN("",TRUE,IF(ISERR(MID(C2244,ROW(INDIRECT("1:100")),1)+0),MID(C2244,ROW(INDIRECT("1:100")),1),"")),")",""),"(","")</f>
        <v>Energy</v>
      </c>
    </row>
    <row r="2245" spans="1:8" x14ac:dyDescent="0.25">
      <c r="A2245">
        <v>2021</v>
      </c>
      <c r="B2245">
        <v>10</v>
      </c>
      <c r="C2245" t="s">
        <v>17</v>
      </c>
      <c r="D2245">
        <v>78.700999999999993</v>
      </c>
      <c r="E2245">
        <v>4.5999999999999996</v>
      </c>
      <c r="F2245">
        <v>3.64</v>
      </c>
      <c r="H2245" s="4" t="str">
        <f t="array" aca="1" ref="H2245" ca="1">SUBSTITUTE(SUBSTITUTE(_xlfn.TEXTJOIN("",TRUE,IF(ISERR(MID(C2245,ROW(INDIRECT("1:100")),1)+0),MID(C2245,ROW(INDIRECT("1:100")),1),"")),")",""),"(","")</f>
        <v>All items less food and energy</v>
      </c>
    </row>
    <row r="2246" spans="1:8" x14ac:dyDescent="0.25">
      <c r="A2246">
        <v>2021</v>
      </c>
      <c r="B2246">
        <v>10</v>
      </c>
      <c r="C2246" t="s">
        <v>18</v>
      </c>
      <c r="H2246" s="4" t="str">
        <f t="array" aca="1" ref="H2246" ca="1">SUBSTITUTE(SUBSTITUTE(_xlfn.TEXTJOIN("",TRUE,IF(ISERR(MID(C2246,ROW(INDIRECT("1:100")),1)+0),MID(C2246,ROW(INDIRECT("1:100")),1),"")),")",""),"(","")</f>
        <v>Special aggregate indexes</v>
      </c>
    </row>
    <row r="2247" spans="1:8" x14ac:dyDescent="0.25">
      <c r="A2247">
        <v>2021</v>
      </c>
      <c r="B2247">
        <v>10</v>
      </c>
      <c r="C2247" t="s">
        <v>19</v>
      </c>
      <c r="D2247">
        <v>86.022999999999996</v>
      </c>
      <c r="E2247">
        <v>6.4</v>
      </c>
      <c r="F2247">
        <v>5.47</v>
      </c>
      <c r="H2247" s="4" t="str">
        <f t="array" aca="1" ref="H2247" ca="1">SUBSTITUTE(SUBSTITUTE(_xlfn.TEXTJOIN("",TRUE,IF(ISERR(MID(C2247,ROW(INDIRECT("1:100")),1)+0),MID(C2247,ROW(INDIRECT("1:100")),1),"")),")",""),"(","")</f>
        <v>All items less food</v>
      </c>
    </row>
    <row r="2248" spans="1:8" x14ac:dyDescent="0.25">
      <c r="A2248">
        <v>2021</v>
      </c>
      <c r="B2248">
        <v>10</v>
      </c>
      <c r="C2248" t="s">
        <v>20</v>
      </c>
      <c r="D2248">
        <v>67.424000000000007</v>
      </c>
      <c r="E2248">
        <v>7.6</v>
      </c>
      <c r="F2248">
        <v>5.0629999999999997</v>
      </c>
      <c r="H2248" s="4" t="str">
        <f t="array" aca="1" ref="H2248" ca="1">SUBSTITUTE(SUBSTITUTE(_xlfn.TEXTJOIN("",TRUE,IF(ISERR(MID(C2248,ROW(INDIRECT("1:100")),1)+0),MID(C2248,ROW(INDIRECT("1:100")),1),"")),")",""),"(","")</f>
        <v>All items less shelter</v>
      </c>
    </row>
    <row r="2249" spans="1:8" x14ac:dyDescent="0.25">
      <c r="A2249">
        <v>2021</v>
      </c>
      <c r="B2249">
        <v>10</v>
      </c>
      <c r="C2249" t="s">
        <v>21</v>
      </c>
      <c r="D2249">
        <v>53.447000000000003</v>
      </c>
      <c r="E2249">
        <v>8.1999999999999993</v>
      </c>
      <c r="F2249">
        <v>4.3109999999999999</v>
      </c>
      <c r="H2249" s="4" t="str">
        <f t="array" aca="1" ref="H2249" ca="1">SUBSTITUTE(SUBSTITUTE(_xlfn.TEXTJOIN("",TRUE,IF(ISERR(MID(C2249,ROW(INDIRECT("1:100")),1)+0),MID(C2249,ROW(INDIRECT("1:100")),1),"")),")",""),"(","")</f>
        <v>All items less food and shelter</v>
      </c>
    </row>
    <row r="2250" spans="1:8" x14ac:dyDescent="0.25">
      <c r="A2250">
        <v>2021</v>
      </c>
      <c r="B2250">
        <v>10</v>
      </c>
      <c r="C2250" t="s">
        <v>22</v>
      </c>
      <c r="D2250">
        <v>46.125</v>
      </c>
      <c r="E2250">
        <v>5.3</v>
      </c>
      <c r="F2250">
        <v>2.4809999999999999</v>
      </c>
      <c r="H2250" s="4" t="str">
        <f t="array" aca="1" ref="H2250" ca="1">SUBSTITUTE(SUBSTITUTE(_xlfn.TEXTJOIN("",TRUE,IF(ISERR(MID(C2250,ROW(INDIRECT("1:100")),1)+0),MID(C2250,ROW(INDIRECT("1:100")),1),"")),")",""),"(","")</f>
        <v>All items less food, shelter, and energy</v>
      </c>
    </row>
    <row r="2251" spans="1:8" x14ac:dyDescent="0.25">
      <c r="A2251">
        <v>2021</v>
      </c>
      <c r="B2251">
        <v>10</v>
      </c>
      <c r="C2251" t="s">
        <v>23</v>
      </c>
      <c r="D2251">
        <v>42.834000000000003</v>
      </c>
      <c r="E2251">
        <v>4</v>
      </c>
      <c r="F2251">
        <v>1.7370000000000001</v>
      </c>
      <c r="H2251" s="4" t="str">
        <f t="array" aca="1" ref="H2251" ca="1">SUBSTITUTE(SUBSTITUTE(_xlfn.TEXTJOIN("",TRUE,IF(ISERR(MID(C2251,ROW(INDIRECT("1:100")),1)+0),MID(C2251,ROW(INDIRECT("1:100")),1),"")),")",""),"(","")</f>
        <v>All items less food, shelter, energy, and used cars and trucks</v>
      </c>
    </row>
    <row r="2252" spans="1:8" x14ac:dyDescent="0.25">
      <c r="A2252">
        <v>2021</v>
      </c>
      <c r="B2252">
        <v>10</v>
      </c>
      <c r="C2252" t="s">
        <v>24</v>
      </c>
      <c r="D2252">
        <v>91.48</v>
      </c>
      <c r="E2252">
        <v>6.7</v>
      </c>
      <c r="F2252">
        <v>6.1050000000000004</v>
      </c>
      <c r="H2252" s="4" t="str">
        <f t="array" aca="1" ref="H2252" ca="1">SUBSTITUTE(SUBSTITUTE(_xlfn.TEXTJOIN("",TRUE,IF(ISERR(MID(C2252,ROW(INDIRECT("1:100")),1)+0),MID(C2252,ROW(INDIRECT("1:100")),1),"")),")",""),"(","")</f>
        <v>All items less medical care</v>
      </c>
    </row>
    <row r="2253" spans="1:8" x14ac:dyDescent="0.25">
      <c r="A2253">
        <v>2021</v>
      </c>
      <c r="B2253">
        <v>10</v>
      </c>
      <c r="C2253" t="s">
        <v>25</v>
      </c>
      <c r="D2253">
        <v>92.677999999999997</v>
      </c>
      <c r="E2253">
        <v>4.7</v>
      </c>
      <c r="F2253">
        <v>4.3920000000000003</v>
      </c>
      <c r="H2253" s="4" t="str">
        <f t="array" aca="1" ref="H2253" ca="1">SUBSTITUTE(SUBSTITUTE(_xlfn.TEXTJOIN("",TRUE,IF(ISERR(MID(C2253,ROW(INDIRECT("1:100")),1)+0),MID(C2253,ROW(INDIRECT("1:100")),1),"")),")",""),"(","")</f>
        <v>All items less energy</v>
      </c>
    </row>
    <row r="2254" spans="1:8" x14ac:dyDescent="0.25">
      <c r="A2254">
        <v>2021</v>
      </c>
      <c r="B2254">
        <v>10</v>
      </c>
      <c r="C2254" t="s">
        <v>26</v>
      </c>
      <c r="D2254">
        <v>38.743000000000002</v>
      </c>
      <c r="E2254">
        <v>10.5</v>
      </c>
      <c r="F2254">
        <v>3.9409999999999998</v>
      </c>
      <c r="H2254" s="4" t="str">
        <f t="array" aca="1" ref="H2254" ca="1">SUBSTITUTE(SUBSTITUTE(_xlfn.TEXTJOIN("",TRUE,IF(ISERR(MID(C2254,ROW(INDIRECT("1:100")),1)+0),MID(C2254,ROW(INDIRECT("1:100")),1),"")),")",""),"(","")</f>
        <v>Commodities</v>
      </c>
    </row>
    <row r="2255" spans="1:8" x14ac:dyDescent="0.25">
      <c r="A2255">
        <v>2021</v>
      </c>
      <c r="B2255">
        <v>10</v>
      </c>
      <c r="C2255" t="s">
        <v>27</v>
      </c>
      <c r="D2255">
        <v>61.256999999999998</v>
      </c>
      <c r="E2255">
        <v>3.6</v>
      </c>
      <c r="F2255">
        <v>2.2810000000000001</v>
      </c>
      <c r="H2255" s="4" t="str">
        <f t="array" aca="1" ref="H2255" ca="1">SUBSTITUTE(SUBSTITUTE(_xlfn.TEXTJOIN("",TRUE,IF(ISERR(MID(C2255,ROW(INDIRECT("1:100")),1)+0),MID(C2255,ROW(INDIRECT("1:100")),1),"")),")",""),"(","")</f>
        <v>Services</v>
      </c>
    </row>
    <row r="2256" spans="1:8" x14ac:dyDescent="0.25">
      <c r="A2256">
        <v>2021</v>
      </c>
      <c r="B2256">
        <v>10</v>
      </c>
      <c r="C2256" t="s">
        <v>28</v>
      </c>
      <c r="D2256">
        <v>11.587999999999999</v>
      </c>
      <c r="E2256">
        <v>13.2</v>
      </c>
      <c r="F2256">
        <v>1.4510000000000001</v>
      </c>
      <c r="H2256" s="4" t="str">
        <f t="array" aca="1" ref="H2256" ca="1">SUBSTITUTE(SUBSTITUTE(_xlfn.TEXTJOIN("",TRUE,IF(ISERR(MID(C2256,ROW(INDIRECT("1:100")),1)+0),MID(C2256,ROW(INDIRECT("1:100")),1),"")),")",""),"(","")</f>
        <v>Durables</v>
      </c>
    </row>
    <row r="2257" spans="1:8" x14ac:dyDescent="0.25">
      <c r="A2257">
        <v>2021</v>
      </c>
      <c r="B2257">
        <v>10</v>
      </c>
      <c r="C2257" t="s">
        <v>29</v>
      </c>
      <c r="D2257">
        <v>27.155000000000001</v>
      </c>
      <c r="E2257">
        <v>9.4</v>
      </c>
      <c r="F2257">
        <v>2.4900000000000002</v>
      </c>
      <c r="H2257" s="4" t="str">
        <f t="array" aca="1" ref="H2257" ca="1">SUBSTITUTE(SUBSTITUTE(_xlfn.TEXTJOIN("",TRUE,IF(ISERR(MID(C2257,ROW(INDIRECT("1:100")),1)+0),MID(C2257,ROW(INDIRECT("1:100")),1),"")),")",""),"(","")</f>
        <v>Nondurables</v>
      </c>
    </row>
    <row r="2258" spans="1:8" x14ac:dyDescent="0.25">
      <c r="A2258">
        <v>2021</v>
      </c>
      <c r="B2258">
        <v>10</v>
      </c>
      <c r="C2258" t="s">
        <v>8</v>
      </c>
      <c r="D2258">
        <v>41.726999999999997</v>
      </c>
      <c r="E2258">
        <v>4.5</v>
      </c>
      <c r="F2258">
        <v>1.905</v>
      </c>
      <c r="H2258" s="4" t="str">
        <f t="array" aca="1" ref="H2258" ca="1">SUBSTITUTE(SUBSTITUTE(_xlfn.TEXTJOIN("",TRUE,IF(ISERR(MID(C2258,ROW(INDIRECT("1:100")),1)+0),MID(C2258,ROW(INDIRECT("1:100")),1),"")),")",""),"(","")</f>
        <v>Housing</v>
      </c>
    </row>
    <row r="2259" spans="1:8" x14ac:dyDescent="0.25">
      <c r="A2259">
        <v>2021</v>
      </c>
      <c r="B2259">
        <v>10</v>
      </c>
      <c r="C2259" t="s">
        <v>30</v>
      </c>
      <c r="D2259">
        <v>6.569</v>
      </c>
      <c r="E2259">
        <v>1.8</v>
      </c>
      <c r="F2259">
        <v>0.121</v>
      </c>
      <c r="H2259" s="4" t="str">
        <f t="array" aca="1" ref="H2259" ca="1">SUBSTITUTE(SUBSTITUTE(_xlfn.TEXTJOIN("",TRUE,IF(ISERR(MID(C2259,ROW(INDIRECT("1:100")),1)+0),MID(C2259,ROW(INDIRECT("1:100")),1),"")),")",""),"(","")</f>
        <v>Education and communication</v>
      </c>
    </row>
    <row r="2260" spans="1:8" x14ac:dyDescent="0.25">
      <c r="A2260">
        <v>2021</v>
      </c>
      <c r="B2260">
        <v>10</v>
      </c>
      <c r="C2260" t="s">
        <v>31</v>
      </c>
      <c r="D2260">
        <v>5.673</v>
      </c>
      <c r="E2260">
        <v>3.9</v>
      </c>
      <c r="F2260">
        <v>0.223</v>
      </c>
      <c r="H2260" s="4" t="str">
        <f t="array" aca="1" ref="H2260" ca="1">SUBSTITUTE(SUBSTITUTE(_xlfn.TEXTJOIN("",TRUE,IF(ISERR(MID(C2260,ROW(INDIRECT("1:100")),1)+0),MID(C2260,ROW(INDIRECT("1:100")),1),"")),")",""),"(","")</f>
        <v>Recreation</v>
      </c>
    </row>
    <row r="2261" spans="1:8" x14ac:dyDescent="0.25">
      <c r="A2261">
        <v>2021</v>
      </c>
      <c r="B2261">
        <v>10</v>
      </c>
      <c r="C2261" t="s">
        <v>6</v>
      </c>
      <c r="D2261">
        <v>14.983000000000001</v>
      </c>
      <c r="E2261">
        <v>5.0999999999999996</v>
      </c>
      <c r="F2261">
        <v>0.77500000000000002</v>
      </c>
      <c r="H2261" s="4" t="str">
        <f t="array" aca="1" ref="H2261" ca="1">SUBSTITUTE(SUBSTITUTE(_xlfn.TEXTJOIN("",TRUE,IF(ISERR(MID(C2261,ROW(INDIRECT("1:100")),1)+0),MID(C2261,ROW(INDIRECT("1:100")),1),"")),")",""),"(","")</f>
        <v>Food and beverages</v>
      </c>
    </row>
    <row r="2262" spans="1:8" x14ac:dyDescent="0.25">
      <c r="A2262">
        <v>2021</v>
      </c>
      <c r="B2262">
        <v>10</v>
      </c>
      <c r="C2262" t="s">
        <v>32</v>
      </c>
      <c r="D2262">
        <v>11.422000000000001</v>
      </c>
      <c r="E2262">
        <v>2.7</v>
      </c>
      <c r="F2262">
        <v>0.31900000000000001</v>
      </c>
      <c r="H2262" s="4" t="str">
        <f t="array" aca="1" ref="H2262" ca="1">SUBSTITUTE(SUBSTITUTE(_xlfn.TEXTJOIN("",TRUE,IF(ISERR(MID(C2262,ROW(INDIRECT("1:100")),1)+0),MID(C2262,ROW(INDIRECT("1:100")),1),"")),")",""),"(","")</f>
        <v>Other services</v>
      </c>
    </row>
    <row r="2263" spans="1:8" x14ac:dyDescent="0.25">
      <c r="A2263">
        <v>2021</v>
      </c>
      <c r="B2263">
        <v>10</v>
      </c>
      <c r="C2263" t="s">
        <v>33</v>
      </c>
      <c r="D2263">
        <v>2.0750000000000002</v>
      </c>
      <c r="E2263">
        <v>4.0999999999999996</v>
      </c>
      <c r="F2263">
        <v>8.5999999999999993E-2</v>
      </c>
      <c r="H2263" s="4" t="str">
        <f t="array" aca="1" ref="H2263" ca="1">SUBSTITUTE(SUBSTITUTE(_xlfn.TEXTJOIN("",TRUE,IF(ISERR(MID(C2263,ROW(INDIRECT("1:100")),1)+0),MID(C2263,ROW(INDIRECT("1:100")),1),"")),")",""),"(","")</f>
        <v>Apparel less footwear</v>
      </c>
    </row>
    <row r="2264" spans="1:8" x14ac:dyDescent="0.25">
      <c r="A2264">
        <v>2021</v>
      </c>
      <c r="B2264">
        <v>10</v>
      </c>
      <c r="C2264" t="s">
        <v>34</v>
      </c>
      <c r="D2264">
        <v>4.4909999999999997</v>
      </c>
      <c r="E2264">
        <v>10.4</v>
      </c>
      <c r="F2264">
        <v>0.45400000000000001</v>
      </c>
      <c r="H2264" s="4" t="str">
        <f t="array" aca="1" ref="H2264" ca="1">SUBSTITUTE(SUBSTITUTE(_xlfn.TEXTJOIN("",TRUE,IF(ISERR(MID(C2264,ROW(INDIRECT("1:100")),1)+0),MID(C2264,ROW(INDIRECT("1:100")),1),"")),")",""),"(","")</f>
        <v>Fuels and utilities</v>
      </c>
    </row>
    <row r="2265" spans="1:8" x14ac:dyDescent="0.25">
      <c r="A2265">
        <v>2021</v>
      </c>
      <c r="B2265">
        <v>10</v>
      </c>
      <c r="C2265" t="s">
        <v>11</v>
      </c>
      <c r="D2265">
        <v>8.52</v>
      </c>
      <c r="E2265">
        <v>1.3</v>
      </c>
      <c r="F2265">
        <v>0.11700000000000001</v>
      </c>
      <c r="H2265" s="4" t="str">
        <f t="array" aca="1" ref="H2265" ca="1">SUBSTITUTE(SUBSTITUTE(_xlfn.TEXTJOIN("",TRUE,IF(ISERR(MID(C2265,ROW(INDIRECT("1:100")),1)+0),MID(C2265,ROW(INDIRECT("1:100")),1),"")),")",""),"(","")</f>
        <v>Medical care</v>
      </c>
    </row>
    <row r="2266" spans="1:8" x14ac:dyDescent="0.25">
      <c r="A2266">
        <v>2021</v>
      </c>
      <c r="B2266">
        <v>10</v>
      </c>
      <c r="C2266" t="s">
        <v>7</v>
      </c>
      <c r="D2266">
        <v>16.716000000000001</v>
      </c>
      <c r="E2266">
        <v>18.7</v>
      </c>
      <c r="F2266">
        <v>2.8279999999999998</v>
      </c>
      <c r="H2266" s="4" t="str">
        <f t="array" aca="1" ref="H2266" ca="1">SUBSTITUTE(SUBSTITUTE(_xlfn.TEXTJOIN("",TRUE,IF(ISERR(MID(C2266,ROW(INDIRECT("1:100")),1)+0),MID(C2266,ROW(INDIRECT("1:100")),1),"")),")",""),"(","")</f>
        <v>Transportation</v>
      </c>
    </row>
    <row r="2267" spans="1:8" x14ac:dyDescent="0.25">
      <c r="A2267">
        <v>2021</v>
      </c>
      <c r="B2267">
        <v>10</v>
      </c>
      <c r="C2267" t="s">
        <v>35</v>
      </c>
      <c r="D2267">
        <v>8.8030000000000008</v>
      </c>
      <c r="E2267">
        <v>5</v>
      </c>
      <c r="F2267">
        <v>0.443</v>
      </c>
      <c r="H2267" s="4" t="str">
        <f t="array" aca="1" ref="H2267" ca="1">SUBSTITUTE(SUBSTITUTE(_xlfn.TEXTJOIN("",TRUE,IF(ISERR(MID(C2267,ROW(INDIRECT("1:100")),1)+0),MID(C2267,ROW(INDIRECT("1:100")),1),"")),")",""),"(","")</f>
        <v>Utilities and public transportation</v>
      </c>
    </row>
    <row r="2268" spans="1:8" x14ac:dyDescent="0.25">
      <c r="A2268">
        <v>2021</v>
      </c>
      <c r="B2268">
        <v>10</v>
      </c>
      <c r="C2268" t="s">
        <v>36</v>
      </c>
      <c r="D2268">
        <v>4.6589999999999998</v>
      </c>
      <c r="E2268">
        <v>6.2</v>
      </c>
      <c r="F2268">
        <v>0.29099999999999998</v>
      </c>
      <c r="H2268" s="4" t="str">
        <f t="array" aca="1" ref="H2268" ca="1">SUBSTITUTE(SUBSTITUTE(_xlfn.TEXTJOIN("",TRUE,IF(ISERR(MID(C2268,ROW(INDIRECT("1:100")),1)+0),MID(C2268,ROW(INDIRECT("1:100")),1),"")),")",""),"(","")</f>
        <v>Household furnishings and operations</v>
      </c>
    </row>
    <row r="2269" spans="1:8" x14ac:dyDescent="0.25">
      <c r="A2269">
        <v>2021</v>
      </c>
      <c r="B2269">
        <v>10</v>
      </c>
      <c r="C2269" t="s">
        <v>12</v>
      </c>
      <c r="D2269">
        <v>3.0840000000000001</v>
      </c>
      <c r="E2269">
        <v>4.2</v>
      </c>
      <c r="F2269">
        <v>0.13300000000000001</v>
      </c>
      <c r="H2269" s="4" t="str">
        <f t="array" aca="1" ref="H2269" ca="1">SUBSTITUTE(SUBSTITUTE(_xlfn.TEXTJOIN("",TRUE,IF(ISERR(MID(C2269,ROW(INDIRECT("1:100")),1)+0),MID(C2269,ROW(INDIRECT("1:100")),1),"")),")",""),"(","")</f>
        <v>Other goods and services</v>
      </c>
    </row>
    <row r="2270" spans="1:8" x14ac:dyDescent="0.25">
      <c r="A2270">
        <v>2021</v>
      </c>
      <c r="B2270">
        <v>11</v>
      </c>
      <c r="C2270" t="s">
        <v>14</v>
      </c>
      <c r="D2270">
        <v>100</v>
      </c>
      <c r="E2270">
        <v>6.8</v>
      </c>
      <c r="H2270" s="4" t="str">
        <f t="array" aca="1" ref="H2270" ca="1">SUBSTITUTE(SUBSTITUTE(_xlfn.TEXTJOIN("",TRUE,IF(ISERR(MID(C2270,ROW(INDIRECT("1:100")),1)+0),MID(C2270,ROW(INDIRECT("1:100")),1),"")),")",""),"(","")</f>
        <v>All items</v>
      </c>
    </row>
    <row r="2271" spans="1:8" x14ac:dyDescent="0.25">
      <c r="A2271">
        <v>2021</v>
      </c>
      <c r="B2271">
        <v>11</v>
      </c>
      <c r="C2271" t="s">
        <v>15</v>
      </c>
      <c r="D2271">
        <v>13.994999999999999</v>
      </c>
      <c r="E2271">
        <v>6.1</v>
      </c>
      <c r="F2271">
        <v>0.86</v>
      </c>
      <c r="H2271" s="4" t="str">
        <f t="array" aca="1" ref="H2271" ca="1">SUBSTITUTE(SUBSTITUTE(_xlfn.TEXTJOIN("",TRUE,IF(ISERR(MID(C2271,ROW(INDIRECT("1:100")),1)+0),MID(C2271,ROW(INDIRECT("1:100")),1),"")),")",""),"(","")</f>
        <v>Food</v>
      </c>
    </row>
    <row r="2272" spans="1:8" x14ac:dyDescent="0.25">
      <c r="A2272">
        <v>2021</v>
      </c>
      <c r="B2272">
        <v>11</v>
      </c>
      <c r="C2272" t="s">
        <v>16</v>
      </c>
      <c r="D2272">
        <v>7.4690000000000003</v>
      </c>
      <c r="E2272">
        <v>33.299999999999997</v>
      </c>
      <c r="F2272">
        <v>2.012</v>
      </c>
      <c r="H2272" s="4" t="str">
        <f t="array" aca="1" ref="H2272" ca="1">SUBSTITUTE(SUBSTITUTE(_xlfn.TEXTJOIN("",TRUE,IF(ISERR(MID(C2272,ROW(INDIRECT("1:100")),1)+0),MID(C2272,ROW(INDIRECT("1:100")),1),"")),")",""),"(","")</f>
        <v>Energy</v>
      </c>
    </row>
    <row r="2273" spans="1:8" x14ac:dyDescent="0.25">
      <c r="A2273">
        <v>2021</v>
      </c>
      <c r="B2273">
        <v>11</v>
      </c>
      <c r="C2273" t="s">
        <v>17</v>
      </c>
      <c r="D2273">
        <v>78.536000000000001</v>
      </c>
      <c r="E2273">
        <v>4.9000000000000004</v>
      </c>
      <c r="F2273">
        <v>3.9369999999999998</v>
      </c>
      <c r="H2273" s="4" t="str">
        <f t="array" aca="1" ref="H2273" ca="1">SUBSTITUTE(SUBSTITUTE(_xlfn.TEXTJOIN("",TRUE,IF(ISERR(MID(C2273,ROW(INDIRECT("1:100")),1)+0),MID(C2273,ROW(INDIRECT("1:100")),1),"")),")",""),"(","")</f>
        <v>All items less food and energy</v>
      </c>
    </row>
    <row r="2274" spans="1:8" x14ac:dyDescent="0.25">
      <c r="A2274">
        <v>2021</v>
      </c>
      <c r="B2274">
        <v>11</v>
      </c>
      <c r="C2274" t="s">
        <v>18</v>
      </c>
      <c r="H2274" s="4" t="str">
        <f t="array" aca="1" ref="H2274" ca="1">SUBSTITUTE(SUBSTITUTE(_xlfn.TEXTJOIN("",TRUE,IF(ISERR(MID(C2274,ROW(INDIRECT("1:100")),1)+0),MID(C2274,ROW(INDIRECT("1:100")),1),"")),")",""),"(","")</f>
        <v>Special aggregate indexes</v>
      </c>
    </row>
    <row r="2275" spans="1:8" x14ac:dyDescent="0.25">
      <c r="A2275">
        <v>2021</v>
      </c>
      <c r="B2275">
        <v>11</v>
      </c>
      <c r="C2275" t="s">
        <v>19</v>
      </c>
      <c r="D2275">
        <v>86.004999999999995</v>
      </c>
      <c r="E2275">
        <v>6.9</v>
      </c>
      <c r="F2275">
        <v>5.9489999999999998</v>
      </c>
      <c r="H2275" s="4" t="str">
        <f t="array" aca="1" ref="H2275" ca="1">SUBSTITUTE(SUBSTITUTE(_xlfn.TEXTJOIN("",TRUE,IF(ISERR(MID(C2275,ROW(INDIRECT("1:100")),1)+0),MID(C2275,ROW(INDIRECT("1:100")),1),"")),")",""),"(","")</f>
        <v>All items less food</v>
      </c>
    </row>
    <row r="2276" spans="1:8" x14ac:dyDescent="0.25">
      <c r="A2276">
        <v>2021</v>
      </c>
      <c r="B2276">
        <v>11</v>
      </c>
      <c r="C2276" t="s">
        <v>20</v>
      </c>
      <c r="D2276">
        <v>67.575000000000003</v>
      </c>
      <c r="E2276">
        <v>8.3000000000000007</v>
      </c>
      <c r="F2276">
        <v>5.5309999999999997</v>
      </c>
      <c r="H2276" s="4" t="str">
        <f t="array" aca="1" ref="H2276" ca="1">SUBSTITUTE(SUBSTITUTE(_xlfn.TEXTJOIN("",TRUE,IF(ISERR(MID(C2276,ROW(INDIRECT("1:100")),1)+0),MID(C2276,ROW(INDIRECT("1:100")),1),"")),")",""),"(","")</f>
        <v>All items less shelter</v>
      </c>
    </row>
    <row r="2277" spans="1:8" x14ac:dyDescent="0.25">
      <c r="A2277">
        <v>2021</v>
      </c>
      <c r="B2277">
        <v>11</v>
      </c>
      <c r="C2277" t="s">
        <v>21</v>
      </c>
      <c r="D2277">
        <v>53.581000000000003</v>
      </c>
      <c r="E2277">
        <v>8.9</v>
      </c>
      <c r="F2277">
        <v>4.67</v>
      </c>
      <c r="H2277" s="4" t="str">
        <f t="array" aca="1" ref="H2277" ca="1">SUBSTITUTE(SUBSTITUTE(_xlfn.TEXTJOIN("",TRUE,IF(ISERR(MID(C2277,ROW(INDIRECT("1:100")),1)+0),MID(C2277,ROW(INDIRECT("1:100")),1),"")),")",""),"(","")</f>
        <v>All items less food and shelter</v>
      </c>
    </row>
    <row r="2278" spans="1:8" x14ac:dyDescent="0.25">
      <c r="A2278">
        <v>2021</v>
      </c>
      <c r="B2278">
        <v>11</v>
      </c>
      <c r="C2278" t="s">
        <v>22</v>
      </c>
      <c r="D2278">
        <v>46.110999999999997</v>
      </c>
      <c r="E2278">
        <v>5.7</v>
      </c>
      <c r="F2278">
        <v>2.6579999999999999</v>
      </c>
      <c r="H2278" s="4" t="str">
        <f t="array" aca="1" ref="H2278" ca="1">SUBSTITUTE(SUBSTITUTE(_xlfn.TEXTJOIN("",TRUE,IF(ISERR(MID(C2278,ROW(INDIRECT("1:100")),1)+0),MID(C2278,ROW(INDIRECT("1:100")),1),"")),")",""),"(","")</f>
        <v>All items less food, shelter, and energy</v>
      </c>
    </row>
    <row r="2279" spans="1:8" x14ac:dyDescent="0.25">
      <c r="A2279">
        <v>2021</v>
      </c>
      <c r="B2279">
        <v>11</v>
      </c>
      <c r="C2279" t="s">
        <v>23</v>
      </c>
      <c r="D2279">
        <v>42.761000000000003</v>
      </c>
      <c r="E2279">
        <v>4.0999999999999996</v>
      </c>
      <c r="F2279">
        <v>1.7849999999999999</v>
      </c>
      <c r="H2279" s="4" t="str">
        <f t="array" aca="1" ref="H2279" ca="1">SUBSTITUTE(SUBSTITUTE(_xlfn.TEXTJOIN("",TRUE,IF(ISERR(MID(C2279,ROW(INDIRECT("1:100")),1)+0),MID(C2279,ROW(INDIRECT("1:100")),1),"")),")",""),"(","")</f>
        <v>All items less food, shelter, energy, and used cars and trucks</v>
      </c>
    </row>
    <row r="2280" spans="1:8" x14ac:dyDescent="0.25">
      <c r="A2280">
        <v>2021</v>
      </c>
      <c r="B2280">
        <v>11</v>
      </c>
      <c r="C2280" t="s">
        <v>24</v>
      </c>
      <c r="D2280">
        <v>91.506</v>
      </c>
      <c r="E2280">
        <v>7.3</v>
      </c>
      <c r="F2280">
        <v>6.6539999999999999</v>
      </c>
      <c r="H2280" s="4" t="str">
        <f t="array" aca="1" ref="H2280" ca="1">SUBSTITUTE(SUBSTITUTE(_xlfn.TEXTJOIN("",TRUE,IF(ISERR(MID(C2280,ROW(INDIRECT("1:100")),1)+0),MID(C2280,ROW(INDIRECT("1:100")),1),"")),")",""),"(","")</f>
        <v>All items less medical care</v>
      </c>
    </row>
    <row r="2281" spans="1:8" x14ac:dyDescent="0.25">
      <c r="A2281">
        <v>2021</v>
      </c>
      <c r="B2281">
        <v>11</v>
      </c>
      <c r="C2281" t="s">
        <v>25</v>
      </c>
      <c r="D2281">
        <v>92.531000000000006</v>
      </c>
      <c r="E2281">
        <v>5.0999999999999996</v>
      </c>
      <c r="F2281">
        <v>4.7969999999999997</v>
      </c>
      <c r="H2281" s="4" t="str">
        <f t="array" aca="1" ref="H2281" ca="1">SUBSTITUTE(SUBSTITUTE(_xlfn.TEXTJOIN("",TRUE,IF(ISERR(MID(C2281,ROW(INDIRECT("1:100")),1)+0),MID(C2281,ROW(INDIRECT("1:100")),1),"")),")",""),"(","")</f>
        <v>All items less energy</v>
      </c>
    </row>
    <row r="2282" spans="1:8" x14ac:dyDescent="0.25">
      <c r="A2282">
        <v>2021</v>
      </c>
      <c r="B2282">
        <v>11</v>
      </c>
      <c r="C2282" t="s">
        <v>26</v>
      </c>
      <c r="D2282">
        <v>38.957000000000001</v>
      </c>
      <c r="E2282">
        <v>11.9</v>
      </c>
      <c r="F2282">
        <v>4.4420000000000002</v>
      </c>
      <c r="H2282" s="4" t="str">
        <f t="array" aca="1" ref="H2282" ca="1">SUBSTITUTE(SUBSTITUTE(_xlfn.TEXTJOIN("",TRUE,IF(ISERR(MID(C2282,ROW(INDIRECT("1:100")),1)+0),MID(C2282,ROW(INDIRECT("1:100")),1),"")),")",""),"(","")</f>
        <v>Commodities</v>
      </c>
    </row>
    <row r="2283" spans="1:8" x14ac:dyDescent="0.25">
      <c r="A2283">
        <v>2021</v>
      </c>
      <c r="B2283">
        <v>11</v>
      </c>
      <c r="C2283" t="s">
        <v>27</v>
      </c>
      <c r="D2283">
        <v>61.042999999999999</v>
      </c>
      <c r="E2283">
        <v>3.8</v>
      </c>
      <c r="F2283">
        <v>2.367</v>
      </c>
      <c r="H2283" s="4" t="str">
        <f t="array" aca="1" ref="H2283" ca="1">SUBSTITUTE(SUBSTITUTE(_xlfn.TEXTJOIN("",TRUE,IF(ISERR(MID(C2283,ROW(INDIRECT("1:100")),1)+0),MID(C2283,ROW(INDIRECT("1:100")),1),"")),")",""),"(","")</f>
        <v>Services</v>
      </c>
    </row>
    <row r="2284" spans="1:8" x14ac:dyDescent="0.25">
      <c r="A2284">
        <v>2021</v>
      </c>
      <c r="B2284">
        <v>11</v>
      </c>
      <c r="C2284" t="s">
        <v>28</v>
      </c>
      <c r="D2284">
        <v>11.683</v>
      </c>
      <c r="E2284">
        <v>14.9</v>
      </c>
      <c r="F2284">
        <v>1.6339999999999999</v>
      </c>
      <c r="H2284" s="4" t="str">
        <f t="array" aca="1" ref="H2284" ca="1">SUBSTITUTE(SUBSTITUTE(_xlfn.TEXTJOIN("",TRUE,IF(ISERR(MID(C2284,ROW(INDIRECT("1:100")),1)+0),MID(C2284,ROW(INDIRECT("1:100")),1),"")),")",""),"(","")</f>
        <v>Durables</v>
      </c>
    </row>
    <row r="2285" spans="1:8" x14ac:dyDescent="0.25">
      <c r="A2285">
        <v>2021</v>
      </c>
      <c r="B2285">
        <v>11</v>
      </c>
      <c r="C2285" t="s">
        <v>29</v>
      </c>
      <c r="D2285">
        <v>27.274000000000001</v>
      </c>
      <c r="E2285">
        <v>10.7</v>
      </c>
      <c r="F2285">
        <v>2.8079999999999998</v>
      </c>
      <c r="H2285" s="4" t="str">
        <f t="array" aca="1" ref="H2285" ca="1">SUBSTITUTE(SUBSTITUTE(_xlfn.TEXTJOIN("",TRUE,IF(ISERR(MID(C2285,ROW(INDIRECT("1:100")),1)+0),MID(C2285,ROW(INDIRECT("1:100")),1),"")),")",""),"(","")</f>
        <v>Nondurables</v>
      </c>
    </row>
    <row r="2286" spans="1:8" x14ac:dyDescent="0.25">
      <c r="A2286">
        <v>2021</v>
      </c>
      <c r="B2286">
        <v>11</v>
      </c>
      <c r="C2286" t="s">
        <v>8</v>
      </c>
      <c r="D2286">
        <v>41.610999999999997</v>
      </c>
      <c r="E2286">
        <v>4.8</v>
      </c>
      <c r="F2286">
        <v>2.0179999999999998</v>
      </c>
      <c r="H2286" s="4" t="str">
        <f t="array" aca="1" ref="H2286" ca="1">SUBSTITUTE(SUBSTITUTE(_xlfn.TEXTJOIN("",TRUE,IF(ISERR(MID(C2286,ROW(INDIRECT("1:100")),1)+0),MID(C2286,ROW(INDIRECT("1:100")),1),"")),")",""),"(","")</f>
        <v>Housing</v>
      </c>
    </row>
    <row r="2287" spans="1:8" x14ac:dyDescent="0.25">
      <c r="A2287">
        <v>2021</v>
      </c>
      <c r="B2287">
        <v>11</v>
      </c>
      <c r="C2287" t="s">
        <v>30</v>
      </c>
      <c r="D2287">
        <v>6.5229999999999997</v>
      </c>
      <c r="E2287">
        <v>1.7</v>
      </c>
      <c r="F2287">
        <v>0.113</v>
      </c>
      <c r="H2287" s="4" t="str">
        <f t="array" aca="1" ref="H2287" ca="1">SUBSTITUTE(SUBSTITUTE(_xlfn.TEXTJOIN("",TRUE,IF(ISERR(MID(C2287,ROW(INDIRECT("1:100")),1)+0),MID(C2287,ROW(INDIRECT("1:100")),1),"")),")",""),"(","")</f>
        <v>Education and communication</v>
      </c>
    </row>
    <row r="2288" spans="1:8" x14ac:dyDescent="0.25">
      <c r="A2288">
        <v>2021</v>
      </c>
      <c r="B2288">
        <v>11</v>
      </c>
      <c r="C2288" t="s">
        <v>31</v>
      </c>
      <c r="D2288">
        <v>5.6639999999999997</v>
      </c>
      <c r="E2288">
        <v>3.2</v>
      </c>
      <c r="F2288">
        <v>0.186</v>
      </c>
      <c r="H2288" s="4" t="str">
        <f t="array" aca="1" ref="H2288" ca="1">SUBSTITUTE(SUBSTITUTE(_xlfn.TEXTJOIN("",TRUE,IF(ISERR(MID(C2288,ROW(INDIRECT("1:100")),1)+0),MID(C2288,ROW(INDIRECT("1:100")),1),"")),")",""),"(","")</f>
        <v>Recreation</v>
      </c>
    </row>
    <row r="2289" spans="1:8" x14ac:dyDescent="0.25">
      <c r="A2289">
        <v>2021</v>
      </c>
      <c r="B2289">
        <v>11</v>
      </c>
      <c r="C2289" t="s">
        <v>6</v>
      </c>
      <c r="D2289">
        <v>14.992000000000001</v>
      </c>
      <c r="E2289">
        <v>5.8</v>
      </c>
      <c r="F2289">
        <v>0.88</v>
      </c>
      <c r="H2289" s="4" t="str">
        <f t="array" aca="1" ref="H2289" ca="1">SUBSTITUTE(SUBSTITUTE(_xlfn.TEXTJOIN("",TRUE,IF(ISERR(MID(C2289,ROW(INDIRECT("1:100")),1)+0),MID(C2289,ROW(INDIRECT("1:100")),1),"")),")",""),"(","")</f>
        <v>Food and beverages</v>
      </c>
    </row>
    <row r="2290" spans="1:8" x14ac:dyDescent="0.25">
      <c r="A2290">
        <v>2021</v>
      </c>
      <c r="B2290">
        <v>11</v>
      </c>
      <c r="C2290" t="s">
        <v>32</v>
      </c>
      <c r="D2290">
        <v>11.378</v>
      </c>
      <c r="E2290">
        <v>2.5</v>
      </c>
      <c r="F2290">
        <v>0.28999999999999998</v>
      </c>
      <c r="H2290" s="4" t="str">
        <f t="array" aca="1" ref="H2290" ca="1">SUBSTITUTE(SUBSTITUTE(_xlfn.TEXTJOIN("",TRUE,IF(ISERR(MID(C2290,ROW(INDIRECT("1:100")),1)+0),MID(C2290,ROW(INDIRECT("1:100")),1),"")),")",""),"(","")</f>
        <v>Other services</v>
      </c>
    </row>
    <row r="2291" spans="1:8" x14ac:dyDescent="0.25">
      <c r="A2291">
        <v>2021</v>
      </c>
      <c r="B2291">
        <v>11</v>
      </c>
      <c r="C2291" t="s">
        <v>33</v>
      </c>
      <c r="D2291">
        <v>2.077</v>
      </c>
      <c r="E2291">
        <v>5</v>
      </c>
      <c r="F2291">
        <v>0.104</v>
      </c>
      <c r="H2291" s="4" t="str">
        <f t="array" aca="1" ref="H2291" ca="1">SUBSTITUTE(SUBSTITUTE(_xlfn.TEXTJOIN("",TRUE,IF(ISERR(MID(C2291,ROW(INDIRECT("1:100")),1)+0),MID(C2291,ROW(INDIRECT("1:100")),1),"")),")",""),"(","")</f>
        <v>Apparel less footwear</v>
      </c>
    </row>
    <row r="2292" spans="1:8" x14ac:dyDescent="0.25">
      <c r="A2292">
        <v>2021</v>
      </c>
      <c r="B2292">
        <v>11</v>
      </c>
      <c r="C2292" t="s">
        <v>34</v>
      </c>
      <c r="D2292">
        <v>4.5220000000000002</v>
      </c>
      <c r="E2292">
        <v>10</v>
      </c>
      <c r="F2292">
        <v>0.438</v>
      </c>
      <c r="H2292" s="4" t="str">
        <f t="array" aca="1" ref="H2292" ca="1">SUBSTITUTE(SUBSTITUTE(_xlfn.TEXTJOIN("",TRUE,IF(ISERR(MID(C2292,ROW(INDIRECT("1:100")),1)+0),MID(C2292,ROW(INDIRECT("1:100")),1),"")),")",""),"(","")</f>
        <v>Fuels and utilities</v>
      </c>
    </row>
    <row r="2293" spans="1:8" x14ac:dyDescent="0.25">
      <c r="A2293">
        <v>2021</v>
      </c>
      <c r="B2293">
        <v>11</v>
      </c>
      <c r="C2293" t="s">
        <v>11</v>
      </c>
      <c r="D2293">
        <v>8.4939999999999998</v>
      </c>
      <c r="E2293">
        <v>1.7</v>
      </c>
      <c r="F2293">
        <v>0.155</v>
      </c>
      <c r="H2293" s="4" t="str">
        <f t="array" aca="1" ref="H2293" ca="1">SUBSTITUTE(SUBSTITUTE(_xlfn.TEXTJOIN("",TRUE,IF(ISERR(MID(C2293,ROW(INDIRECT("1:100")),1)+0),MID(C2293,ROW(INDIRECT("1:100")),1),"")),")",""),"(","")</f>
        <v>Medical care</v>
      </c>
    </row>
    <row r="2294" spans="1:8" x14ac:dyDescent="0.25">
      <c r="A2294">
        <v>2021</v>
      </c>
      <c r="B2294">
        <v>11</v>
      </c>
      <c r="C2294" t="s">
        <v>7</v>
      </c>
      <c r="D2294">
        <v>16.905999999999999</v>
      </c>
      <c r="E2294">
        <v>21.1</v>
      </c>
      <c r="F2294">
        <v>3.1829999999999998</v>
      </c>
      <c r="H2294" s="4" t="str">
        <f t="array" aca="1" ref="H2294" ca="1">SUBSTITUTE(SUBSTITUTE(_xlfn.TEXTJOIN("",TRUE,IF(ISERR(MID(C2294,ROW(INDIRECT("1:100")),1)+0),MID(C2294,ROW(INDIRECT("1:100")),1),"")),")",""),"(","")</f>
        <v>Transportation</v>
      </c>
    </row>
    <row r="2295" spans="1:8" x14ac:dyDescent="0.25">
      <c r="A2295">
        <v>2021</v>
      </c>
      <c r="B2295">
        <v>11</v>
      </c>
      <c r="C2295" t="s">
        <v>35</v>
      </c>
      <c r="D2295">
        <v>8.7959999999999994</v>
      </c>
      <c r="E2295">
        <v>4.8</v>
      </c>
      <c r="F2295">
        <v>0.42699999999999999</v>
      </c>
      <c r="H2295" s="4" t="str">
        <f t="array" aca="1" ref="H2295" ca="1">SUBSTITUTE(SUBSTITUTE(_xlfn.TEXTJOIN("",TRUE,IF(ISERR(MID(C2295,ROW(INDIRECT("1:100")),1)+0),MID(C2295,ROW(INDIRECT("1:100")),1),"")),")",""),"(","")</f>
        <v>Utilities and public transportation</v>
      </c>
    </row>
    <row r="2296" spans="1:8" x14ac:dyDescent="0.25">
      <c r="A2296">
        <v>2021</v>
      </c>
      <c r="B2296">
        <v>11</v>
      </c>
      <c r="C2296" t="s">
        <v>36</v>
      </c>
      <c r="D2296">
        <v>4.665</v>
      </c>
      <c r="E2296">
        <v>6.5</v>
      </c>
      <c r="F2296">
        <v>0.30199999999999999</v>
      </c>
      <c r="H2296" s="4" t="str">
        <f t="array" aca="1" ref="H2296" ca="1">SUBSTITUTE(SUBSTITUTE(_xlfn.TEXTJOIN("",TRUE,IF(ISERR(MID(C2296,ROW(INDIRECT("1:100")),1)+0),MID(C2296,ROW(INDIRECT("1:100")),1),"")),")",""),"(","")</f>
        <v>Household furnishings and operations</v>
      </c>
    </row>
    <row r="2297" spans="1:8" x14ac:dyDescent="0.25">
      <c r="A2297">
        <v>2021</v>
      </c>
      <c r="B2297">
        <v>11</v>
      </c>
      <c r="C2297" t="s">
        <v>12</v>
      </c>
      <c r="D2297">
        <v>3.085</v>
      </c>
      <c r="E2297">
        <v>4.4000000000000004</v>
      </c>
      <c r="F2297">
        <v>0.13900000000000001</v>
      </c>
      <c r="H2297" s="4" t="str">
        <f t="array" aca="1" ref="H2297" ca="1">SUBSTITUTE(SUBSTITUTE(_xlfn.TEXTJOIN("",TRUE,IF(ISERR(MID(C2297,ROW(INDIRECT("1:100")),1)+0),MID(C2297,ROW(INDIRECT("1:100")),1),"")),")",""),"(","")</f>
        <v>Other goods and services</v>
      </c>
    </row>
    <row r="2298" spans="1:8" x14ac:dyDescent="0.25">
      <c r="A2298">
        <v>2021</v>
      </c>
      <c r="B2298">
        <v>12</v>
      </c>
      <c r="C2298" t="s">
        <v>14</v>
      </c>
      <c r="D2298">
        <v>100</v>
      </c>
      <c r="E2298">
        <v>7</v>
      </c>
      <c r="H2298" s="4" t="str">
        <f t="array" aca="1" ref="H2298" ca="1">SUBSTITUTE(SUBSTITUTE(_xlfn.TEXTJOIN("",TRUE,IF(ISERR(MID(C2298,ROW(INDIRECT("1:100")),1)+0),MID(C2298,ROW(INDIRECT("1:100")),1),"")),")",""),"(","")</f>
        <v>All items</v>
      </c>
    </row>
    <row r="2299" spans="1:8" x14ac:dyDescent="0.25">
      <c r="A2299">
        <v>2021</v>
      </c>
      <c r="B2299">
        <v>12</v>
      </c>
      <c r="C2299" t="s">
        <v>15</v>
      </c>
      <c r="D2299">
        <v>13.99</v>
      </c>
      <c r="E2299">
        <v>6.3</v>
      </c>
      <c r="F2299">
        <v>0.88600000000000001</v>
      </c>
      <c r="H2299" s="4" t="str">
        <f t="array" aca="1" ref="H2299" ca="1">SUBSTITUTE(SUBSTITUTE(_xlfn.TEXTJOIN("",TRUE,IF(ISERR(MID(C2299,ROW(INDIRECT("1:100")),1)+0),MID(C2299,ROW(INDIRECT("1:100")),1),"")),")",""),"(","")</f>
        <v>Food</v>
      </c>
    </row>
    <row r="2300" spans="1:8" x14ac:dyDescent="0.25">
      <c r="A2300">
        <v>2021</v>
      </c>
      <c r="B2300">
        <v>12</v>
      </c>
      <c r="C2300" t="s">
        <v>16</v>
      </c>
      <c r="D2300">
        <v>7.5419999999999998</v>
      </c>
      <c r="E2300">
        <v>29.3</v>
      </c>
      <c r="F2300">
        <v>1.8029999999999999</v>
      </c>
      <c r="H2300" s="4" t="str">
        <f t="array" aca="1" ref="H2300" ca="1">SUBSTITUTE(SUBSTITUTE(_xlfn.TEXTJOIN("",TRUE,IF(ISERR(MID(C2300,ROW(INDIRECT("1:100")),1)+0),MID(C2300,ROW(INDIRECT("1:100")),1),"")),")",""),"(","")</f>
        <v>Energy</v>
      </c>
    </row>
    <row r="2301" spans="1:8" x14ac:dyDescent="0.25">
      <c r="A2301">
        <v>2021</v>
      </c>
      <c r="B2301">
        <v>12</v>
      </c>
      <c r="C2301" t="s">
        <v>17</v>
      </c>
      <c r="D2301">
        <v>78.468000000000004</v>
      </c>
      <c r="E2301">
        <v>5.5</v>
      </c>
      <c r="F2301">
        <v>4.3479999999999999</v>
      </c>
      <c r="H2301" s="4" t="str">
        <f t="array" aca="1" ref="H2301" ca="1">SUBSTITUTE(SUBSTITUTE(_xlfn.TEXTJOIN("",TRUE,IF(ISERR(MID(C2301,ROW(INDIRECT("1:100")),1)+0),MID(C2301,ROW(INDIRECT("1:100")),1),"")),")",""),"(","")</f>
        <v>All items less food and energy</v>
      </c>
    </row>
    <row r="2302" spans="1:8" x14ac:dyDescent="0.25">
      <c r="A2302">
        <v>2021</v>
      </c>
      <c r="B2302">
        <v>12</v>
      </c>
      <c r="C2302" t="s">
        <v>18</v>
      </c>
      <c r="H2302" s="4" t="str">
        <f t="array" aca="1" ref="H2302" ca="1">SUBSTITUTE(SUBSTITUTE(_xlfn.TEXTJOIN("",TRUE,IF(ISERR(MID(C2302,ROW(INDIRECT("1:100")),1)+0),MID(C2302,ROW(INDIRECT("1:100")),1),"")),")",""),"(","")</f>
        <v>Special aggregate indexes</v>
      </c>
    </row>
    <row r="2303" spans="1:8" x14ac:dyDescent="0.25">
      <c r="A2303">
        <v>2021</v>
      </c>
      <c r="B2303">
        <v>12</v>
      </c>
      <c r="C2303" t="s">
        <v>19</v>
      </c>
      <c r="D2303">
        <v>86.01</v>
      </c>
      <c r="E2303">
        <v>7.2</v>
      </c>
      <c r="F2303">
        <v>6.1509999999999998</v>
      </c>
      <c r="H2303" s="4" t="str">
        <f t="array" aca="1" ref="H2303" ca="1">SUBSTITUTE(SUBSTITUTE(_xlfn.TEXTJOIN("",TRUE,IF(ISERR(MID(C2303,ROW(INDIRECT("1:100")),1)+0),MID(C2303,ROW(INDIRECT("1:100")),1),"")),")",""),"(","")</f>
        <v>All items less food</v>
      </c>
    </row>
    <row r="2304" spans="1:8" x14ac:dyDescent="0.25">
      <c r="A2304">
        <v>2021</v>
      </c>
      <c r="B2304">
        <v>12</v>
      </c>
      <c r="C2304" t="s">
        <v>20</v>
      </c>
      <c r="D2304">
        <v>67.606999999999999</v>
      </c>
      <c r="E2304">
        <v>8.5</v>
      </c>
      <c r="F2304">
        <v>5.66</v>
      </c>
      <c r="H2304" s="4" t="str">
        <f t="array" aca="1" ref="H2304" ca="1">SUBSTITUTE(SUBSTITUTE(_xlfn.TEXTJOIN("",TRUE,IF(ISERR(MID(C2304,ROW(INDIRECT("1:100")),1)+0),MID(C2304,ROW(INDIRECT("1:100")),1),"")),")",""),"(","")</f>
        <v>All items less shelter</v>
      </c>
    </row>
    <row r="2305" spans="1:8" x14ac:dyDescent="0.25">
      <c r="A2305">
        <v>2021</v>
      </c>
      <c r="B2305">
        <v>12</v>
      </c>
      <c r="C2305" t="s">
        <v>21</v>
      </c>
      <c r="D2305">
        <v>53.616999999999997</v>
      </c>
      <c r="E2305">
        <v>9.1</v>
      </c>
      <c r="F2305">
        <v>4.774</v>
      </c>
      <c r="H2305" s="4" t="str">
        <f t="array" aca="1" ref="H2305" ca="1">SUBSTITUTE(SUBSTITUTE(_xlfn.TEXTJOIN("",TRUE,IF(ISERR(MID(C2305,ROW(INDIRECT("1:100")),1)+0),MID(C2305,ROW(INDIRECT("1:100")),1),"")),")",""),"(","")</f>
        <v>All items less food and shelter</v>
      </c>
    </row>
    <row r="2306" spans="1:8" x14ac:dyDescent="0.25">
      <c r="A2306">
        <v>2021</v>
      </c>
      <c r="B2306">
        <v>12</v>
      </c>
      <c r="C2306" t="s">
        <v>22</v>
      </c>
      <c r="D2306">
        <v>46.075000000000003</v>
      </c>
      <c r="E2306">
        <v>6.4</v>
      </c>
      <c r="F2306">
        <v>2.9710000000000001</v>
      </c>
      <c r="H2306" s="4" t="str">
        <f t="array" aca="1" ref="H2306" ca="1">SUBSTITUTE(SUBSTITUTE(_xlfn.TEXTJOIN("",TRUE,IF(ISERR(MID(C2306,ROW(INDIRECT("1:100")),1)+0),MID(C2306,ROW(INDIRECT("1:100")),1),"")),")",""),"(","")</f>
        <v>All items less food, shelter, and energy</v>
      </c>
    </row>
    <row r="2307" spans="1:8" x14ac:dyDescent="0.25">
      <c r="A2307">
        <v>2021</v>
      </c>
      <c r="B2307">
        <v>12</v>
      </c>
      <c r="C2307" t="s">
        <v>23</v>
      </c>
      <c r="D2307">
        <v>42.655999999999999</v>
      </c>
      <c r="E2307">
        <v>4.5</v>
      </c>
      <c r="F2307">
        <v>1.946</v>
      </c>
      <c r="H2307" s="4" t="str">
        <f t="array" aca="1" ref="H2307" ca="1">SUBSTITUTE(SUBSTITUTE(_xlfn.TEXTJOIN("",TRUE,IF(ISERR(MID(C2307,ROW(INDIRECT("1:100")),1)+0),MID(C2307,ROW(INDIRECT("1:100")),1),"")),")",""),"(","")</f>
        <v>All items less food, shelter, energy, and used cars and trucks</v>
      </c>
    </row>
    <row r="2308" spans="1:8" x14ac:dyDescent="0.25">
      <c r="A2308">
        <v>2021</v>
      </c>
      <c r="B2308">
        <v>12</v>
      </c>
      <c r="C2308" t="s">
        <v>24</v>
      </c>
      <c r="D2308">
        <v>91.525999999999996</v>
      </c>
      <c r="E2308">
        <v>7.5</v>
      </c>
      <c r="F2308">
        <v>6.8440000000000003</v>
      </c>
      <c r="H2308" s="4" t="str">
        <f t="array" aca="1" ref="H2308" ca="1">SUBSTITUTE(SUBSTITUTE(_xlfn.TEXTJOIN("",TRUE,IF(ISERR(MID(C2308,ROW(INDIRECT("1:100")),1)+0),MID(C2308,ROW(INDIRECT("1:100")),1),"")),")",""),"(","")</f>
        <v>All items less medical care</v>
      </c>
    </row>
    <row r="2309" spans="1:8" x14ac:dyDescent="0.25">
      <c r="A2309">
        <v>2021</v>
      </c>
      <c r="B2309">
        <v>12</v>
      </c>
      <c r="C2309" t="s">
        <v>25</v>
      </c>
      <c r="D2309">
        <v>92.457999999999998</v>
      </c>
      <c r="E2309">
        <v>5.6</v>
      </c>
      <c r="F2309">
        <v>5.234</v>
      </c>
      <c r="H2309" s="4" t="str">
        <f t="array" aca="1" ref="H2309" ca="1">SUBSTITUTE(SUBSTITUTE(_xlfn.TEXTJOIN("",TRUE,IF(ISERR(MID(C2309,ROW(INDIRECT("1:100")),1)+0),MID(C2309,ROW(INDIRECT("1:100")),1),"")),")",""),"(","")</f>
        <v>All items less energy</v>
      </c>
    </row>
    <row r="2310" spans="1:8" x14ac:dyDescent="0.25">
      <c r="A2310">
        <v>2021</v>
      </c>
      <c r="B2310">
        <v>12</v>
      </c>
      <c r="C2310" t="s">
        <v>26</v>
      </c>
      <c r="D2310">
        <v>39.061999999999998</v>
      </c>
      <c r="E2310">
        <v>12.1</v>
      </c>
      <c r="F2310">
        <v>4.5229999999999997</v>
      </c>
      <c r="H2310" s="4" t="str">
        <f t="array" aca="1" ref="H2310" ca="1">SUBSTITUTE(SUBSTITUTE(_xlfn.TEXTJOIN("",TRUE,IF(ISERR(MID(C2310,ROW(INDIRECT("1:100")),1)+0),MID(C2310,ROW(INDIRECT("1:100")),1),"")),")",""),"(","")</f>
        <v>Commodities</v>
      </c>
    </row>
    <row r="2311" spans="1:8" x14ac:dyDescent="0.25">
      <c r="A2311">
        <v>2021</v>
      </c>
      <c r="B2311">
        <v>12</v>
      </c>
      <c r="C2311" t="s">
        <v>27</v>
      </c>
      <c r="D2311">
        <v>60.938000000000002</v>
      </c>
      <c r="E2311">
        <v>4</v>
      </c>
      <c r="F2311">
        <v>2.5139999999999998</v>
      </c>
      <c r="H2311" s="4" t="str">
        <f t="array" aca="1" ref="H2311" ca="1">SUBSTITUTE(SUBSTITUTE(_xlfn.TEXTJOIN("",TRUE,IF(ISERR(MID(C2311,ROW(INDIRECT("1:100")),1)+0),MID(C2311,ROW(INDIRECT("1:100")),1),"")),")",""),"(","")</f>
        <v>Services</v>
      </c>
    </row>
    <row r="2312" spans="1:8" x14ac:dyDescent="0.25">
      <c r="A2312">
        <v>2021</v>
      </c>
      <c r="B2312">
        <v>12</v>
      </c>
      <c r="C2312" t="s">
        <v>28</v>
      </c>
      <c r="D2312">
        <v>11.776</v>
      </c>
      <c r="E2312">
        <v>16.8</v>
      </c>
      <c r="F2312">
        <v>1.8340000000000001</v>
      </c>
      <c r="H2312" s="4" t="str">
        <f t="array" aca="1" ref="H2312" ca="1">SUBSTITUTE(SUBSTITUTE(_xlfn.TEXTJOIN("",TRUE,IF(ISERR(MID(C2312,ROW(INDIRECT("1:100")),1)+0),MID(C2312,ROW(INDIRECT("1:100")),1),"")),")",""),"(","")</f>
        <v>Durables</v>
      </c>
    </row>
    <row r="2313" spans="1:8" x14ac:dyDescent="0.25">
      <c r="A2313">
        <v>2021</v>
      </c>
      <c r="B2313">
        <v>12</v>
      </c>
      <c r="C2313" t="s">
        <v>29</v>
      </c>
      <c r="D2313">
        <v>27.286000000000001</v>
      </c>
      <c r="E2313">
        <v>10.199999999999999</v>
      </c>
      <c r="F2313">
        <v>2.6890000000000001</v>
      </c>
      <c r="H2313" s="4" t="str">
        <f t="array" aca="1" ref="H2313" ca="1">SUBSTITUTE(SUBSTITUTE(_xlfn.TEXTJOIN("",TRUE,IF(ISERR(MID(C2313,ROW(INDIRECT("1:100")),1)+0),MID(C2313,ROW(INDIRECT("1:100")),1),"")),")",""),"(","")</f>
        <v>Nondurables</v>
      </c>
    </row>
    <row r="2314" spans="1:8" x14ac:dyDescent="0.25">
      <c r="A2314">
        <v>2021</v>
      </c>
      <c r="B2314">
        <v>12</v>
      </c>
      <c r="C2314" t="s">
        <v>8</v>
      </c>
      <c r="D2314">
        <v>41.552</v>
      </c>
      <c r="E2314">
        <v>5.0999999999999996</v>
      </c>
      <c r="F2314">
        <v>2.141</v>
      </c>
      <c r="H2314" s="4" t="str">
        <f t="array" aca="1" ref="H2314" ca="1">SUBSTITUTE(SUBSTITUTE(_xlfn.TEXTJOIN("",TRUE,IF(ISERR(MID(C2314,ROW(INDIRECT("1:100")),1)+0),MID(C2314,ROW(INDIRECT("1:100")),1),"")),")",""),"(","")</f>
        <v>Housing</v>
      </c>
    </row>
    <row r="2315" spans="1:8" x14ac:dyDescent="0.25">
      <c r="A2315">
        <v>2021</v>
      </c>
      <c r="B2315">
        <v>12</v>
      </c>
      <c r="C2315" t="s">
        <v>30</v>
      </c>
      <c r="D2315">
        <v>6.4870000000000001</v>
      </c>
      <c r="E2315">
        <v>1.6</v>
      </c>
      <c r="F2315">
        <v>0.11</v>
      </c>
      <c r="H2315" s="4" t="str">
        <f t="array" aca="1" ref="H2315" ca="1">SUBSTITUTE(SUBSTITUTE(_xlfn.TEXTJOIN("",TRUE,IF(ISERR(MID(C2315,ROW(INDIRECT("1:100")),1)+0),MID(C2315,ROW(INDIRECT("1:100")),1),"")),")",""),"(","")</f>
        <v>Education and communication</v>
      </c>
    </row>
    <row r="2316" spans="1:8" x14ac:dyDescent="0.25">
      <c r="A2316">
        <v>2021</v>
      </c>
      <c r="B2316">
        <v>12</v>
      </c>
      <c r="C2316" t="s">
        <v>31</v>
      </c>
      <c r="D2316">
        <v>5.6210000000000004</v>
      </c>
      <c r="E2316">
        <v>3.3</v>
      </c>
      <c r="F2316">
        <v>0.189</v>
      </c>
      <c r="H2316" s="4" t="str">
        <f t="array" aca="1" ref="H2316" ca="1">SUBSTITUTE(SUBSTITUTE(_xlfn.TEXTJOIN("",TRUE,IF(ISERR(MID(C2316,ROW(INDIRECT("1:100")),1)+0),MID(C2316,ROW(INDIRECT("1:100")),1),"")),")",""),"(","")</f>
        <v>Recreation</v>
      </c>
    </row>
    <row r="2317" spans="1:8" x14ac:dyDescent="0.25">
      <c r="A2317">
        <v>2021</v>
      </c>
      <c r="B2317">
        <v>12</v>
      </c>
      <c r="C2317" t="s">
        <v>6</v>
      </c>
      <c r="D2317">
        <v>14.983000000000001</v>
      </c>
      <c r="E2317">
        <v>6</v>
      </c>
      <c r="F2317">
        <v>0.91</v>
      </c>
      <c r="H2317" s="4" t="str">
        <f t="array" aca="1" ref="H2317" ca="1">SUBSTITUTE(SUBSTITUTE(_xlfn.TEXTJOIN("",TRUE,IF(ISERR(MID(C2317,ROW(INDIRECT("1:100")),1)+0),MID(C2317,ROW(INDIRECT("1:100")),1),"")),")",""),"(","")</f>
        <v>Food and beverages</v>
      </c>
    </row>
    <row r="2318" spans="1:8" x14ac:dyDescent="0.25">
      <c r="A2318">
        <v>2021</v>
      </c>
      <c r="B2318">
        <v>12</v>
      </c>
      <c r="C2318" t="s">
        <v>32</v>
      </c>
      <c r="D2318">
        <v>11.308</v>
      </c>
      <c r="E2318">
        <v>2.6</v>
      </c>
      <c r="F2318">
        <v>0.30599999999999999</v>
      </c>
      <c r="H2318" s="4" t="str">
        <f t="array" aca="1" ref="H2318" ca="1">SUBSTITUTE(SUBSTITUTE(_xlfn.TEXTJOIN("",TRUE,IF(ISERR(MID(C2318,ROW(INDIRECT("1:100")),1)+0),MID(C2318,ROW(INDIRECT("1:100")),1),"")),")",""),"(","")</f>
        <v>Other services</v>
      </c>
    </row>
    <row r="2319" spans="1:8" x14ac:dyDescent="0.25">
      <c r="A2319">
        <v>2021</v>
      </c>
      <c r="B2319">
        <v>12</v>
      </c>
      <c r="C2319" t="s">
        <v>33</v>
      </c>
      <c r="D2319">
        <v>2.0270000000000001</v>
      </c>
      <c r="E2319">
        <v>5.7</v>
      </c>
      <c r="F2319">
        <v>0.11600000000000001</v>
      </c>
      <c r="H2319" s="4" t="str">
        <f t="array" aca="1" ref="H2319" ca="1">SUBSTITUTE(SUBSTITUTE(_xlfn.TEXTJOIN("",TRUE,IF(ISERR(MID(C2319,ROW(INDIRECT("1:100")),1)+0),MID(C2319,ROW(INDIRECT("1:100")),1),"")),")",""),"(","")</f>
        <v>Apparel less footwear</v>
      </c>
    </row>
    <row r="2320" spans="1:8" x14ac:dyDescent="0.25">
      <c r="A2320">
        <v>2021</v>
      </c>
      <c r="B2320">
        <v>12</v>
      </c>
      <c r="C2320" t="s">
        <v>34</v>
      </c>
      <c r="D2320">
        <v>4.4969999999999999</v>
      </c>
      <c r="E2320">
        <v>9.5</v>
      </c>
      <c r="F2320">
        <v>0.41899999999999998</v>
      </c>
      <c r="H2320" s="4" t="str">
        <f t="array" aca="1" ref="H2320" ca="1">SUBSTITUTE(SUBSTITUTE(_xlfn.TEXTJOIN("",TRUE,IF(ISERR(MID(C2320,ROW(INDIRECT("1:100")),1)+0),MID(C2320,ROW(INDIRECT("1:100")),1),"")),")",""),"(","")</f>
        <v>Fuels and utilities</v>
      </c>
    </row>
    <row r="2321" spans="1:8" x14ac:dyDescent="0.25">
      <c r="A2321">
        <v>2021</v>
      </c>
      <c r="B2321">
        <v>12</v>
      </c>
      <c r="C2321" t="s">
        <v>11</v>
      </c>
      <c r="D2321">
        <v>8.4740000000000002</v>
      </c>
      <c r="E2321">
        <v>2.2000000000000002</v>
      </c>
      <c r="F2321">
        <v>0.193</v>
      </c>
      <c r="H2321" s="4" t="str">
        <f t="array" aca="1" ref="H2321" ca="1">SUBSTITUTE(SUBSTITUTE(_xlfn.TEXTJOIN("",TRUE,IF(ISERR(MID(C2321,ROW(INDIRECT("1:100")),1)+0),MID(C2321,ROW(INDIRECT("1:100")),1),"")),")",""),"(","")</f>
        <v>Medical care</v>
      </c>
    </row>
    <row r="2322" spans="1:8" x14ac:dyDescent="0.25">
      <c r="A2322">
        <v>2021</v>
      </c>
      <c r="B2322">
        <v>12</v>
      </c>
      <c r="C2322" t="s">
        <v>7</v>
      </c>
      <c r="D2322">
        <v>17.137</v>
      </c>
      <c r="E2322">
        <v>21.1</v>
      </c>
      <c r="F2322">
        <v>3.198</v>
      </c>
      <c r="H2322" s="4" t="str">
        <f t="array" aca="1" ref="H2322" ca="1">SUBSTITUTE(SUBSTITUTE(_xlfn.TEXTJOIN("",TRUE,IF(ISERR(MID(C2322,ROW(INDIRECT("1:100")),1)+0),MID(C2322,ROW(INDIRECT("1:100")),1),"")),")",""),"(","")</f>
        <v>Transportation</v>
      </c>
    </row>
    <row r="2323" spans="1:8" x14ac:dyDescent="0.25">
      <c r="A2323">
        <v>2021</v>
      </c>
      <c r="B2323">
        <v>12</v>
      </c>
      <c r="C2323" t="s">
        <v>35</v>
      </c>
      <c r="D2323">
        <v>8.7750000000000004</v>
      </c>
      <c r="E2323">
        <v>4.9000000000000004</v>
      </c>
      <c r="F2323">
        <v>0.441</v>
      </c>
      <c r="H2323" s="4" t="str">
        <f t="array" aca="1" ref="H2323" ca="1">SUBSTITUTE(SUBSTITUTE(_xlfn.TEXTJOIN("",TRUE,IF(ISERR(MID(C2323,ROW(INDIRECT("1:100")),1)+0),MID(C2323,ROW(INDIRECT("1:100")),1),"")),")",""),"(","")</f>
        <v>Utilities and public transportation</v>
      </c>
    </row>
    <row r="2324" spans="1:8" x14ac:dyDescent="0.25">
      <c r="A2324">
        <v>2021</v>
      </c>
      <c r="B2324">
        <v>12</v>
      </c>
      <c r="C2324" t="s">
        <v>36</v>
      </c>
      <c r="D2324">
        <v>4.6619999999999999</v>
      </c>
      <c r="E2324">
        <v>7.4</v>
      </c>
      <c r="F2324">
        <v>0.34599999999999997</v>
      </c>
      <c r="H2324" s="4" t="str">
        <f t="array" aca="1" ref="H2324" ca="1">SUBSTITUTE(SUBSTITUTE(_xlfn.TEXTJOIN("",TRUE,IF(ISERR(MID(C2324,ROW(INDIRECT("1:100")),1)+0),MID(C2324,ROW(INDIRECT("1:100")),1),"")),")",""),"(","")</f>
        <v>Household furnishings and operations</v>
      </c>
    </row>
    <row r="2325" spans="1:8" x14ac:dyDescent="0.25">
      <c r="A2325">
        <v>2021</v>
      </c>
      <c r="B2325">
        <v>12</v>
      </c>
      <c r="C2325" t="s">
        <v>12</v>
      </c>
      <c r="D2325">
        <v>3.077</v>
      </c>
      <c r="E2325">
        <v>4.5</v>
      </c>
      <c r="F2325">
        <v>0.14099999999999999</v>
      </c>
      <c r="H2325" s="4" t="str">
        <f t="array" aca="1" ref="H2325" ca="1">SUBSTITUTE(SUBSTITUTE(_xlfn.TEXTJOIN("",TRUE,IF(ISERR(MID(C2325,ROW(INDIRECT("1:100")),1)+0),MID(C2325,ROW(INDIRECT("1:100")),1),"")),")",""),"(","")</f>
        <v>Other goods and services</v>
      </c>
    </row>
    <row r="2326" spans="1:8" x14ac:dyDescent="0.25">
      <c r="A2326">
        <v>2022</v>
      </c>
      <c r="B2326">
        <v>1</v>
      </c>
      <c r="C2326" t="s">
        <v>14</v>
      </c>
      <c r="D2326">
        <v>100</v>
      </c>
      <c r="E2326">
        <v>7.5</v>
      </c>
      <c r="H2326" s="4" t="str">
        <f t="array" aca="1" ref="H2326" ca="1">SUBSTITUTE(SUBSTITUTE(_xlfn.TEXTJOIN("",TRUE,IF(ISERR(MID(C2326,ROW(INDIRECT("1:100")),1)+0),MID(C2326,ROW(INDIRECT("1:100")),1),"")),")",""),"(","")</f>
        <v>All items</v>
      </c>
    </row>
    <row r="2327" spans="1:8" x14ac:dyDescent="0.25">
      <c r="A2327">
        <v>2022</v>
      </c>
      <c r="B2327">
        <v>1</v>
      </c>
      <c r="C2327" t="s">
        <v>15</v>
      </c>
      <c r="D2327">
        <v>13.37</v>
      </c>
      <c r="E2327">
        <v>7</v>
      </c>
      <c r="F2327">
        <v>0.97399999999999998</v>
      </c>
      <c r="H2327" s="4" t="str">
        <f t="array" aca="1" ref="H2327" ca="1">SUBSTITUTE(SUBSTITUTE(_xlfn.TEXTJOIN("",TRUE,IF(ISERR(MID(C2327,ROW(INDIRECT("1:100")),1)+0),MID(C2327,ROW(INDIRECT("1:100")),1),"")),")",""),"(","")</f>
        <v>Food</v>
      </c>
    </row>
    <row r="2328" spans="1:8" x14ac:dyDescent="0.25">
      <c r="A2328">
        <v>2022</v>
      </c>
      <c r="B2328">
        <v>1</v>
      </c>
      <c r="C2328" t="s">
        <v>16</v>
      </c>
      <c r="D2328">
        <v>7.3479999999999999</v>
      </c>
      <c r="E2328">
        <v>27</v>
      </c>
      <c r="F2328">
        <v>1.7110000000000001</v>
      </c>
      <c r="H2328" s="4" t="str">
        <f t="array" aca="1" ref="H2328" ca="1">SUBSTITUTE(SUBSTITUTE(_xlfn.TEXTJOIN("",TRUE,IF(ISERR(MID(C2328,ROW(INDIRECT("1:100")),1)+0),MID(C2328,ROW(INDIRECT("1:100")),1),"")),")",""),"(","")</f>
        <v>Energy</v>
      </c>
    </row>
    <row r="2329" spans="1:8" x14ac:dyDescent="0.25">
      <c r="A2329">
        <v>2022</v>
      </c>
      <c r="B2329">
        <v>1</v>
      </c>
      <c r="C2329" t="s">
        <v>17</v>
      </c>
      <c r="D2329">
        <v>79.281999999999996</v>
      </c>
      <c r="E2329">
        <v>6</v>
      </c>
      <c r="F2329">
        <v>4.7949999999999999</v>
      </c>
      <c r="H2329" s="4" t="str">
        <f t="array" aca="1" ref="H2329" ca="1">SUBSTITUTE(SUBSTITUTE(_xlfn.TEXTJOIN("",TRUE,IF(ISERR(MID(C2329,ROW(INDIRECT("1:100")),1)+0),MID(C2329,ROW(INDIRECT("1:100")),1),"")),")",""),"(","")</f>
        <v>All items less food and energy</v>
      </c>
    </row>
    <row r="2330" spans="1:8" x14ac:dyDescent="0.25">
      <c r="A2330">
        <v>2022</v>
      </c>
      <c r="B2330">
        <v>1</v>
      </c>
      <c r="C2330" t="s">
        <v>18</v>
      </c>
      <c r="H2330" s="4" t="str">
        <f t="array" aca="1" ref="H2330" ca="1">SUBSTITUTE(SUBSTITUTE(_xlfn.TEXTJOIN("",TRUE,IF(ISERR(MID(C2330,ROW(INDIRECT("1:100")),1)+0),MID(C2330,ROW(INDIRECT("1:100")),1),"")),")",""),"(","")</f>
        <v>Special aggregate indexes</v>
      </c>
    </row>
    <row r="2331" spans="1:8" x14ac:dyDescent="0.25">
      <c r="A2331">
        <v>2022</v>
      </c>
      <c r="B2331">
        <v>1</v>
      </c>
      <c r="C2331" t="s">
        <v>19</v>
      </c>
      <c r="D2331">
        <v>86.63</v>
      </c>
      <c r="E2331">
        <v>7.6</v>
      </c>
      <c r="F2331">
        <v>6.5060000000000002</v>
      </c>
      <c r="H2331" s="4" t="str">
        <f t="array" aca="1" ref="H2331" ca="1">SUBSTITUTE(SUBSTITUTE(_xlfn.TEXTJOIN("",TRUE,IF(ISERR(MID(C2331,ROW(INDIRECT("1:100")),1)+0),MID(C2331,ROW(INDIRECT("1:100")),1),"")),")",""),"(","")</f>
        <v>All items less food</v>
      </c>
    </row>
    <row r="2332" spans="1:8" x14ac:dyDescent="0.25">
      <c r="A2332">
        <v>2022</v>
      </c>
      <c r="B2332">
        <v>1</v>
      </c>
      <c r="C2332" t="s">
        <v>20</v>
      </c>
      <c r="D2332">
        <v>67.054000000000002</v>
      </c>
      <c r="E2332">
        <v>9</v>
      </c>
      <c r="F2332">
        <v>6.0279999999999996</v>
      </c>
      <c r="H2332" s="4" t="str">
        <f t="array" aca="1" ref="H2332" ca="1">SUBSTITUTE(SUBSTITUTE(_xlfn.TEXTJOIN("",TRUE,IF(ISERR(MID(C2332,ROW(INDIRECT("1:100")),1)+0),MID(C2332,ROW(INDIRECT("1:100")),1),"")),")",""),"(","")</f>
        <v>All items less shelter</v>
      </c>
    </row>
    <row r="2333" spans="1:8" x14ac:dyDescent="0.25">
      <c r="A2333">
        <v>2022</v>
      </c>
      <c r="B2333">
        <v>1</v>
      </c>
      <c r="C2333" t="s">
        <v>21</v>
      </c>
      <c r="D2333">
        <v>53.683999999999997</v>
      </c>
      <c r="E2333">
        <v>9.6</v>
      </c>
      <c r="F2333">
        <v>5.0540000000000003</v>
      </c>
      <c r="H2333" s="4" t="str">
        <f t="array" aca="1" ref="H2333" ca="1">SUBSTITUTE(SUBSTITUTE(_xlfn.TEXTJOIN("",TRUE,IF(ISERR(MID(C2333,ROW(INDIRECT("1:100")),1)+0),MID(C2333,ROW(INDIRECT("1:100")),1),"")),")",""),"(","")</f>
        <v>All items less food and shelter</v>
      </c>
    </row>
    <row r="2334" spans="1:8" x14ac:dyDescent="0.25">
      <c r="A2334">
        <v>2022</v>
      </c>
      <c r="B2334">
        <v>1</v>
      </c>
      <c r="C2334" t="s">
        <v>22</v>
      </c>
      <c r="D2334">
        <v>46.335999999999999</v>
      </c>
      <c r="E2334">
        <v>7.2</v>
      </c>
      <c r="F2334">
        <v>3.343</v>
      </c>
      <c r="H2334" s="4" t="str">
        <f t="array" aca="1" ref="H2334" ca="1">SUBSTITUTE(SUBSTITUTE(_xlfn.TEXTJOIN("",TRUE,IF(ISERR(MID(C2334,ROW(INDIRECT("1:100")),1)+0),MID(C2334,ROW(INDIRECT("1:100")),1),"")),")",""),"(","")</f>
        <v>All items less food, shelter, and energy</v>
      </c>
    </row>
    <row r="2335" spans="1:8" x14ac:dyDescent="0.25">
      <c r="A2335">
        <v>2022</v>
      </c>
      <c r="B2335">
        <v>1</v>
      </c>
      <c r="C2335" t="s">
        <v>23</v>
      </c>
      <c r="D2335">
        <v>42.192999999999998</v>
      </c>
      <c r="E2335">
        <v>5.0999999999999996</v>
      </c>
      <c r="F2335">
        <v>2.2320000000000002</v>
      </c>
      <c r="H2335" s="4" t="str">
        <f t="array" aca="1" ref="H2335" ca="1">SUBSTITUTE(SUBSTITUTE(_xlfn.TEXTJOIN("",TRUE,IF(ISERR(MID(C2335,ROW(INDIRECT("1:100")),1)+0),MID(C2335,ROW(INDIRECT("1:100")),1),"")),")",""),"(","")</f>
        <v>All items less food, shelter, energy, and used cars and trucks</v>
      </c>
    </row>
    <row r="2336" spans="1:8" x14ac:dyDescent="0.25">
      <c r="A2336">
        <v>2022</v>
      </c>
      <c r="B2336">
        <v>1</v>
      </c>
      <c r="C2336" t="s">
        <v>24</v>
      </c>
      <c r="D2336">
        <v>91.513000000000005</v>
      </c>
      <c r="E2336">
        <v>8</v>
      </c>
      <c r="F2336">
        <v>7.26</v>
      </c>
      <c r="H2336" s="4" t="str">
        <f t="array" aca="1" ref="H2336" ca="1">SUBSTITUTE(SUBSTITUTE(_xlfn.TEXTJOIN("",TRUE,IF(ISERR(MID(C2336,ROW(INDIRECT("1:100")),1)+0),MID(C2336,ROW(INDIRECT("1:100")),1),"")),")",""),"(","")</f>
        <v>All items less medical care</v>
      </c>
    </row>
    <row r="2337" spans="1:8" x14ac:dyDescent="0.25">
      <c r="A2337">
        <v>2022</v>
      </c>
      <c r="B2337">
        <v>1</v>
      </c>
      <c r="C2337" t="s">
        <v>25</v>
      </c>
      <c r="D2337">
        <v>92.652000000000001</v>
      </c>
      <c r="E2337">
        <v>6.2</v>
      </c>
      <c r="F2337">
        <v>5.7690000000000001</v>
      </c>
      <c r="H2337" s="4" t="str">
        <f t="array" aca="1" ref="H2337" ca="1">SUBSTITUTE(SUBSTITUTE(_xlfn.TEXTJOIN("",TRUE,IF(ISERR(MID(C2337,ROW(INDIRECT("1:100")),1)+0),MID(C2337,ROW(INDIRECT("1:100")),1),"")),")",""),"(","")</f>
        <v>All items less energy</v>
      </c>
    </row>
    <row r="2338" spans="1:8" x14ac:dyDescent="0.25">
      <c r="A2338">
        <v>2022</v>
      </c>
      <c r="B2338">
        <v>1</v>
      </c>
      <c r="C2338" t="s">
        <v>26</v>
      </c>
      <c r="D2338">
        <v>39.082999999999998</v>
      </c>
      <c r="E2338">
        <v>12.3</v>
      </c>
      <c r="F2338">
        <v>4.6210000000000004</v>
      </c>
      <c r="H2338" s="4" t="str">
        <f t="array" aca="1" ref="H2338" ca="1">SUBSTITUTE(SUBSTITUTE(_xlfn.TEXTJOIN("",TRUE,IF(ISERR(MID(C2338,ROW(INDIRECT("1:100")),1)+0),MID(C2338,ROW(INDIRECT("1:100")),1),"")),")",""),"(","")</f>
        <v>Commodities</v>
      </c>
    </row>
    <row r="2339" spans="1:8" x14ac:dyDescent="0.25">
      <c r="A2339">
        <v>2022</v>
      </c>
      <c r="B2339">
        <v>1</v>
      </c>
      <c r="C2339" t="s">
        <v>27</v>
      </c>
      <c r="D2339">
        <v>60.917000000000002</v>
      </c>
      <c r="E2339">
        <v>4.5999999999999996</v>
      </c>
      <c r="F2339">
        <v>2.859</v>
      </c>
      <c r="H2339" s="4" t="str">
        <f t="array" aca="1" ref="H2339" ca="1">SUBSTITUTE(SUBSTITUTE(_xlfn.TEXTJOIN("",TRUE,IF(ISERR(MID(C2339,ROW(INDIRECT("1:100")),1)+0),MID(C2339,ROW(INDIRECT("1:100")),1),"")),")",""),"(","")</f>
        <v>Services</v>
      </c>
    </row>
    <row r="2340" spans="1:8" x14ac:dyDescent="0.25">
      <c r="A2340">
        <v>2022</v>
      </c>
      <c r="B2340">
        <v>1</v>
      </c>
      <c r="C2340" t="s">
        <v>28</v>
      </c>
      <c r="D2340">
        <v>13.057</v>
      </c>
      <c r="E2340">
        <v>18.399999999999999</v>
      </c>
      <c r="F2340">
        <v>2.0209999999999999</v>
      </c>
      <c r="H2340" s="4" t="str">
        <f t="array" aca="1" ref="H2340" ca="1">SUBSTITUTE(SUBSTITUTE(_xlfn.TEXTJOIN("",TRUE,IF(ISERR(MID(C2340,ROW(INDIRECT("1:100")),1)+0),MID(C2340,ROW(INDIRECT("1:100")),1),"")),")",""),"(","")</f>
        <v>Durables</v>
      </c>
    </row>
    <row r="2341" spans="1:8" x14ac:dyDescent="0.25">
      <c r="A2341">
        <v>2022</v>
      </c>
      <c r="B2341">
        <v>1</v>
      </c>
      <c r="C2341" t="s">
        <v>29</v>
      </c>
      <c r="D2341">
        <v>26.027000000000001</v>
      </c>
      <c r="E2341">
        <v>9.8000000000000007</v>
      </c>
      <c r="F2341">
        <v>2.6</v>
      </c>
      <c r="H2341" s="4" t="str">
        <f t="array" aca="1" ref="H2341" ca="1">SUBSTITUTE(SUBSTITUTE(_xlfn.TEXTJOIN("",TRUE,IF(ISERR(MID(C2341,ROW(INDIRECT("1:100")),1)+0),MID(C2341,ROW(INDIRECT("1:100")),1),"")),")",""),"(","")</f>
        <v>Nondurables</v>
      </c>
    </row>
    <row r="2342" spans="1:8" x14ac:dyDescent="0.25">
      <c r="A2342">
        <v>2022</v>
      </c>
      <c r="B2342">
        <v>1</v>
      </c>
      <c r="C2342" t="s">
        <v>8</v>
      </c>
      <c r="D2342">
        <v>42.363</v>
      </c>
      <c r="E2342">
        <v>5.7</v>
      </c>
      <c r="F2342">
        <v>2.4049999999999998</v>
      </c>
      <c r="H2342" s="4" t="str">
        <f t="array" aca="1" ref="H2342" ca="1">SUBSTITUTE(SUBSTITUTE(_xlfn.TEXTJOIN("",TRUE,IF(ISERR(MID(C2342,ROW(INDIRECT("1:100")),1)+0),MID(C2342,ROW(INDIRECT("1:100")),1),"")),")",""),"(","")</f>
        <v>Housing</v>
      </c>
    </row>
    <row r="2343" spans="1:8" x14ac:dyDescent="0.25">
      <c r="A2343">
        <v>2022</v>
      </c>
      <c r="B2343">
        <v>1</v>
      </c>
      <c r="C2343" t="s">
        <v>30</v>
      </c>
      <c r="D2343">
        <v>6.4059999999999997</v>
      </c>
      <c r="E2343">
        <v>1.6</v>
      </c>
      <c r="F2343">
        <v>0.111</v>
      </c>
      <c r="H2343" s="4" t="str">
        <f t="array" aca="1" ref="H2343" ca="1">SUBSTITUTE(SUBSTITUTE(_xlfn.TEXTJOIN("",TRUE,IF(ISERR(MID(C2343,ROW(INDIRECT("1:100")),1)+0),MID(C2343,ROW(INDIRECT("1:100")),1),"")),")",""),"(","")</f>
        <v>Education and communication</v>
      </c>
    </row>
    <row r="2344" spans="1:8" x14ac:dyDescent="0.25">
      <c r="A2344">
        <v>2022</v>
      </c>
      <c r="B2344">
        <v>1</v>
      </c>
      <c r="C2344" t="s">
        <v>31</v>
      </c>
      <c r="D2344">
        <v>5.1079999999999997</v>
      </c>
      <c r="E2344">
        <v>4.7</v>
      </c>
      <c r="F2344">
        <v>0.26800000000000002</v>
      </c>
      <c r="H2344" s="4" t="str">
        <f t="array" aca="1" ref="H2344" ca="1">SUBSTITUTE(SUBSTITUTE(_xlfn.TEXTJOIN("",TRUE,IF(ISERR(MID(C2344,ROW(INDIRECT("1:100")),1)+0),MID(C2344,ROW(INDIRECT("1:100")),1),"")),")",""),"(","")</f>
        <v>Recreation</v>
      </c>
    </row>
    <row r="2345" spans="1:8" x14ac:dyDescent="0.25">
      <c r="A2345">
        <v>2022</v>
      </c>
      <c r="B2345">
        <v>1</v>
      </c>
      <c r="C2345" t="s">
        <v>6</v>
      </c>
      <c r="D2345">
        <v>14.259</v>
      </c>
      <c r="E2345">
        <v>6.7</v>
      </c>
      <c r="F2345">
        <v>1.0009999999999999</v>
      </c>
      <c r="H2345" s="4" t="str">
        <f t="array" aca="1" ref="H2345" ca="1">SUBSTITUTE(SUBSTITUTE(_xlfn.TEXTJOIN("",TRUE,IF(ISERR(MID(C2345,ROW(INDIRECT("1:100")),1)+0),MID(C2345,ROW(INDIRECT("1:100")),1),"")),")",""),"(","")</f>
        <v>Food and beverages</v>
      </c>
    </row>
    <row r="2346" spans="1:8" x14ac:dyDescent="0.25">
      <c r="A2346">
        <v>2022</v>
      </c>
      <c r="B2346">
        <v>1</v>
      </c>
      <c r="C2346" t="s">
        <v>32</v>
      </c>
      <c r="D2346">
        <v>10.119999999999999</v>
      </c>
      <c r="E2346">
        <v>3.3</v>
      </c>
      <c r="F2346">
        <v>0.38</v>
      </c>
      <c r="H2346" s="4" t="str">
        <f t="array" aca="1" ref="H2346" ca="1">SUBSTITUTE(SUBSTITUTE(_xlfn.TEXTJOIN("",TRUE,IF(ISERR(MID(C2346,ROW(INDIRECT("1:100")),1)+0),MID(C2346,ROW(INDIRECT("1:100")),1),"")),")",""),"(","")</f>
        <v>Other services</v>
      </c>
    </row>
    <row r="2347" spans="1:8" x14ac:dyDescent="0.25">
      <c r="A2347">
        <v>2022</v>
      </c>
      <c r="B2347">
        <v>1</v>
      </c>
      <c r="C2347" t="s">
        <v>33</v>
      </c>
      <c r="D2347">
        <v>1.8480000000000001</v>
      </c>
      <c r="E2347">
        <v>5.0999999999999996</v>
      </c>
      <c r="F2347">
        <v>0.10199999999999999</v>
      </c>
      <c r="H2347" s="4" t="str">
        <f t="array" aca="1" ref="H2347" ca="1">SUBSTITUTE(SUBSTITUTE(_xlfn.TEXTJOIN("",TRUE,IF(ISERR(MID(C2347,ROW(INDIRECT("1:100")),1)+0),MID(C2347,ROW(INDIRECT("1:100")),1),"")),")",""),"(","")</f>
        <v>Apparel less footwear</v>
      </c>
    </row>
    <row r="2348" spans="1:8" x14ac:dyDescent="0.25">
      <c r="A2348">
        <v>2022</v>
      </c>
      <c r="B2348">
        <v>1</v>
      </c>
      <c r="C2348" t="s">
        <v>34</v>
      </c>
      <c r="D2348">
        <v>4.6369999999999996</v>
      </c>
      <c r="E2348">
        <v>12</v>
      </c>
      <c r="F2348">
        <v>0.53300000000000003</v>
      </c>
      <c r="H2348" s="4" t="str">
        <f t="array" aca="1" ref="H2348" ca="1">SUBSTITUTE(SUBSTITUTE(_xlfn.TEXTJOIN("",TRUE,IF(ISERR(MID(C2348,ROW(INDIRECT("1:100")),1)+0),MID(C2348,ROW(INDIRECT("1:100")),1),"")),")",""),"(","")</f>
        <v>Fuels and utilities</v>
      </c>
    </row>
    <row r="2349" spans="1:8" x14ac:dyDescent="0.25">
      <c r="A2349">
        <v>2022</v>
      </c>
      <c r="B2349">
        <v>1</v>
      </c>
      <c r="C2349" t="s">
        <v>11</v>
      </c>
      <c r="D2349">
        <v>8.4870000000000001</v>
      </c>
      <c r="E2349">
        <v>2.5</v>
      </c>
      <c r="F2349">
        <v>0.22</v>
      </c>
      <c r="H2349" s="4" t="str">
        <f t="array" aca="1" ref="H2349" ca="1">SUBSTITUTE(SUBSTITUTE(_xlfn.TEXTJOIN("",TRUE,IF(ISERR(MID(C2349,ROW(INDIRECT("1:100")),1)+0),MID(C2349,ROW(INDIRECT("1:100")),1),"")),")",""),"(","")</f>
        <v>Medical care</v>
      </c>
    </row>
    <row r="2350" spans="1:8" x14ac:dyDescent="0.25">
      <c r="A2350">
        <v>2022</v>
      </c>
      <c r="B2350">
        <v>1</v>
      </c>
      <c r="C2350" t="s">
        <v>7</v>
      </c>
      <c r="D2350">
        <v>18.181999999999999</v>
      </c>
      <c r="E2350">
        <v>20.8</v>
      </c>
      <c r="F2350">
        <v>3.1819999999999999</v>
      </c>
      <c r="H2350" s="4" t="str">
        <f t="array" aca="1" ref="H2350" ca="1">SUBSTITUTE(SUBSTITUTE(_xlfn.TEXTJOIN("",TRUE,IF(ISERR(MID(C2350,ROW(INDIRECT("1:100")),1)+0),MID(C2350,ROW(INDIRECT("1:100")),1),"")),")",""),"(","")</f>
        <v>Transportation</v>
      </c>
    </row>
    <row r="2351" spans="1:8" x14ac:dyDescent="0.25">
      <c r="A2351">
        <v>2022</v>
      </c>
      <c r="B2351">
        <v>1</v>
      </c>
      <c r="C2351" t="s">
        <v>35</v>
      </c>
      <c r="D2351">
        <v>8.1910000000000007</v>
      </c>
      <c r="E2351">
        <v>6.7</v>
      </c>
      <c r="F2351">
        <v>0.58499999999999996</v>
      </c>
      <c r="H2351" s="4" t="str">
        <f t="array" aca="1" ref="H2351" ca="1">SUBSTITUTE(SUBSTITUTE(_xlfn.TEXTJOIN("",TRUE,IF(ISERR(MID(C2351,ROW(INDIRECT("1:100")),1)+0),MID(C2351,ROW(INDIRECT("1:100")),1),"")),")",""),"(","")</f>
        <v>Utilities and public transportation</v>
      </c>
    </row>
    <row r="2352" spans="1:8" x14ac:dyDescent="0.25">
      <c r="A2352">
        <v>2022</v>
      </c>
      <c r="B2352">
        <v>1</v>
      </c>
      <c r="C2352" t="s">
        <v>36</v>
      </c>
      <c r="D2352">
        <v>4.78</v>
      </c>
      <c r="E2352">
        <v>9</v>
      </c>
      <c r="F2352">
        <v>0.42099999999999999</v>
      </c>
      <c r="H2352" s="4" t="str">
        <f t="array" aca="1" ref="H2352" ca="1">SUBSTITUTE(SUBSTITUTE(_xlfn.TEXTJOIN("",TRUE,IF(ISERR(MID(C2352,ROW(INDIRECT("1:100")),1)+0),MID(C2352,ROW(INDIRECT("1:100")),1),"")),")",""),"(","")</f>
        <v>Household furnishings and operations</v>
      </c>
    </row>
    <row r="2353" spans="1:8" x14ac:dyDescent="0.25">
      <c r="A2353">
        <v>2022</v>
      </c>
      <c r="B2353">
        <v>1</v>
      </c>
      <c r="C2353" t="s">
        <v>12</v>
      </c>
      <c r="D2353">
        <v>2.7370000000000001</v>
      </c>
      <c r="E2353">
        <v>4.9000000000000004</v>
      </c>
      <c r="F2353">
        <v>0.151</v>
      </c>
      <c r="H2353" s="4" t="str">
        <f t="array" aca="1" ref="H2353" ca="1">SUBSTITUTE(SUBSTITUTE(_xlfn.TEXTJOIN("",TRUE,IF(ISERR(MID(C2353,ROW(INDIRECT("1:100")),1)+0),MID(C2353,ROW(INDIRECT("1:100")),1),"")),")",""),"(","")</f>
        <v>Other goods and services</v>
      </c>
    </row>
    <row r="2354" spans="1:8" x14ac:dyDescent="0.25">
      <c r="A2354">
        <v>2022</v>
      </c>
      <c r="B2354">
        <v>2</v>
      </c>
      <c r="C2354" t="s">
        <v>14</v>
      </c>
      <c r="D2354">
        <v>100</v>
      </c>
      <c r="E2354">
        <v>7.9</v>
      </c>
      <c r="H2354" s="4" t="str">
        <f t="array" aca="1" ref="H2354" ca="1">SUBSTITUTE(SUBSTITUTE(_xlfn.TEXTJOIN("",TRUE,IF(ISERR(MID(C2354,ROW(INDIRECT("1:100")),1)+0),MID(C2354,ROW(INDIRECT("1:100")),1),"")),")",""),"(","")</f>
        <v>All items</v>
      </c>
    </row>
    <row r="2355" spans="1:8" x14ac:dyDescent="0.25">
      <c r="A2355">
        <v>2022</v>
      </c>
      <c r="B2355">
        <v>2</v>
      </c>
      <c r="C2355" t="s">
        <v>15</v>
      </c>
      <c r="D2355">
        <v>13.388</v>
      </c>
      <c r="E2355">
        <v>7.9</v>
      </c>
      <c r="F2355">
        <v>1.0960000000000001</v>
      </c>
      <c r="H2355" s="4" t="str">
        <f t="array" aca="1" ref="H2355" ca="1">SUBSTITUTE(SUBSTITUTE(_xlfn.TEXTJOIN("",TRUE,IF(ISERR(MID(C2355,ROW(INDIRECT("1:100")),1)+0),MID(C2355,ROW(INDIRECT("1:100")),1),"")),")",""),"(","")</f>
        <v>Food</v>
      </c>
    </row>
    <row r="2356" spans="1:8" x14ac:dyDescent="0.25">
      <c r="A2356">
        <v>2022</v>
      </c>
      <c r="B2356">
        <v>2</v>
      </c>
      <c r="C2356" t="s">
        <v>16</v>
      </c>
      <c r="D2356">
        <v>7.4130000000000003</v>
      </c>
      <c r="E2356">
        <v>25.6</v>
      </c>
      <c r="F2356">
        <v>1.6719999999999999</v>
      </c>
      <c r="H2356" s="4" t="str">
        <f t="array" aca="1" ref="H2356" ca="1">SUBSTITUTE(SUBSTITUTE(_xlfn.TEXTJOIN("",TRUE,IF(ISERR(MID(C2356,ROW(INDIRECT("1:100")),1)+0),MID(C2356,ROW(INDIRECT("1:100")),1),"")),")",""),"(","")</f>
        <v>Energy</v>
      </c>
    </row>
    <row r="2357" spans="1:8" x14ac:dyDescent="0.25">
      <c r="A2357">
        <v>2022</v>
      </c>
      <c r="B2357">
        <v>2</v>
      </c>
      <c r="C2357" t="s">
        <v>17</v>
      </c>
      <c r="D2357">
        <v>79.198999999999998</v>
      </c>
      <c r="E2357">
        <v>6.4</v>
      </c>
      <c r="F2357">
        <v>5.1029999999999998</v>
      </c>
      <c r="H2357" s="4" t="str">
        <f t="array" aca="1" ref="H2357" ca="1">SUBSTITUTE(SUBSTITUTE(_xlfn.TEXTJOIN("",TRUE,IF(ISERR(MID(C2357,ROW(INDIRECT("1:100")),1)+0),MID(C2357,ROW(INDIRECT("1:100")),1),"")),")",""),"(","")</f>
        <v>All items less food and energy</v>
      </c>
    </row>
    <row r="2358" spans="1:8" x14ac:dyDescent="0.25">
      <c r="A2358">
        <v>2022</v>
      </c>
      <c r="B2358">
        <v>2</v>
      </c>
      <c r="C2358" t="s">
        <v>18</v>
      </c>
      <c r="H2358" s="4" t="str">
        <f t="array" aca="1" ref="H2358" ca="1">SUBSTITUTE(SUBSTITUTE(_xlfn.TEXTJOIN("",TRUE,IF(ISERR(MID(C2358,ROW(INDIRECT("1:100")),1)+0),MID(C2358,ROW(INDIRECT("1:100")),1),"")),")",""),"(","")</f>
        <v>Special aggregate indexes</v>
      </c>
    </row>
    <row r="2359" spans="1:8" x14ac:dyDescent="0.25">
      <c r="A2359">
        <v>2022</v>
      </c>
      <c r="B2359">
        <v>2</v>
      </c>
      <c r="C2359" t="s">
        <v>19</v>
      </c>
      <c r="D2359">
        <v>86.611999999999995</v>
      </c>
      <c r="E2359">
        <v>7.9</v>
      </c>
      <c r="F2359">
        <v>6.7750000000000004</v>
      </c>
      <c r="H2359" s="4" t="str">
        <f t="array" aca="1" ref="H2359" ca="1">SUBSTITUTE(SUBSTITUTE(_xlfn.TEXTJOIN("",TRUE,IF(ISERR(MID(C2359,ROW(INDIRECT("1:100")),1)+0),MID(C2359,ROW(INDIRECT("1:100")),1),"")),")",""),"(","")</f>
        <v>All items less food</v>
      </c>
    </row>
    <row r="2360" spans="1:8" x14ac:dyDescent="0.25">
      <c r="A2360">
        <v>2022</v>
      </c>
      <c r="B2360">
        <v>2</v>
      </c>
      <c r="C2360" t="s">
        <v>20</v>
      </c>
      <c r="D2360">
        <v>67.197999999999993</v>
      </c>
      <c r="E2360">
        <v>9.4</v>
      </c>
      <c r="F2360">
        <v>6.2949999999999999</v>
      </c>
      <c r="H2360" s="4" t="str">
        <f t="array" aca="1" ref="H2360" ca="1">SUBSTITUTE(SUBSTITUTE(_xlfn.TEXTJOIN("",TRUE,IF(ISERR(MID(C2360,ROW(INDIRECT("1:100")),1)+0),MID(C2360,ROW(INDIRECT("1:100")),1),"")),")",""),"(","")</f>
        <v>All items less shelter</v>
      </c>
    </row>
    <row r="2361" spans="1:8" x14ac:dyDescent="0.25">
      <c r="A2361">
        <v>2022</v>
      </c>
      <c r="B2361">
        <v>2</v>
      </c>
      <c r="C2361" t="s">
        <v>21</v>
      </c>
      <c r="D2361">
        <v>53.81</v>
      </c>
      <c r="E2361">
        <v>9.8000000000000007</v>
      </c>
      <c r="F2361">
        <v>5.1989999999999998</v>
      </c>
      <c r="H2361" s="4" t="str">
        <f t="array" aca="1" ref="H2361" ca="1">SUBSTITUTE(SUBSTITUTE(_xlfn.TEXTJOIN("",TRUE,IF(ISERR(MID(C2361,ROW(INDIRECT("1:100")),1)+0),MID(C2361,ROW(INDIRECT("1:100")),1),"")),")",""),"(","")</f>
        <v>All items less food and shelter</v>
      </c>
    </row>
    <row r="2362" spans="1:8" x14ac:dyDescent="0.25">
      <c r="A2362">
        <v>2022</v>
      </c>
      <c r="B2362">
        <v>2</v>
      </c>
      <c r="C2362" t="s">
        <v>22</v>
      </c>
      <c r="D2362">
        <v>46.396999999999998</v>
      </c>
      <c r="E2362">
        <v>7.6</v>
      </c>
      <c r="F2362">
        <v>3.5270000000000001</v>
      </c>
      <c r="H2362" s="4" t="str">
        <f t="array" aca="1" ref="H2362" ca="1">SUBSTITUTE(SUBSTITUTE(_xlfn.TEXTJOIN("",TRUE,IF(ISERR(MID(C2362,ROW(INDIRECT("1:100")),1)+0),MID(C2362,ROW(INDIRECT("1:100")),1),"")),")",""),"(","")</f>
        <v>All items less food, shelter, and energy</v>
      </c>
    </row>
    <row r="2363" spans="1:8" x14ac:dyDescent="0.25">
      <c r="A2363">
        <v>2022</v>
      </c>
      <c r="B2363">
        <v>2</v>
      </c>
      <c r="C2363" t="s">
        <v>23</v>
      </c>
      <c r="D2363">
        <v>42.226999999999997</v>
      </c>
      <c r="E2363">
        <v>5.5</v>
      </c>
      <c r="F2363">
        <v>2.3959999999999999</v>
      </c>
      <c r="H2363" s="4" t="str">
        <f t="array" aca="1" ref="H2363" ca="1">SUBSTITUTE(SUBSTITUTE(_xlfn.TEXTJOIN("",TRUE,IF(ISERR(MID(C2363,ROW(INDIRECT("1:100")),1)+0),MID(C2363,ROW(INDIRECT("1:100")),1),"")),")",""),"(","")</f>
        <v>All items less food, shelter, energy, and used cars and trucks</v>
      </c>
    </row>
    <row r="2364" spans="1:8" x14ac:dyDescent="0.25">
      <c r="A2364">
        <v>2022</v>
      </c>
      <c r="B2364">
        <v>2</v>
      </c>
      <c r="C2364" t="s">
        <v>24</v>
      </c>
      <c r="D2364">
        <v>91.504000000000005</v>
      </c>
      <c r="E2364">
        <v>8.4</v>
      </c>
      <c r="F2364">
        <v>7.6550000000000002</v>
      </c>
      <c r="H2364" s="4" t="str">
        <f t="array" aca="1" ref="H2364" ca="1">SUBSTITUTE(SUBSTITUTE(_xlfn.TEXTJOIN("",TRUE,IF(ISERR(MID(C2364,ROW(INDIRECT("1:100")),1)+0),MID(C2364,ROW(INDIRECT("1:100")),1),"")),")",""),"(","")</f>
        <v>All items less medical care</v>
      </c>
    </row>
    <row r="2365" spans="1:8" x14ac:dyDescent="0.25">
      <c r="A2365">
        <v>2022</v>
      </c>
      <c r="B2365">
        <v>2</v>
      </c>
      <c r="C2365" t="s">
        <v>25</v>
      </c>
      <c r="D2365">
        <v>92.587000000000003</v>
      </c>
      <c r="E2365">
        <v>6.6</v>
      </c>
      <c r="F2365">
        <v>6.1989999999999998</v>
      </c>
      <c r="H2365" s="4" t="str">
        <f t="array" aca="1" ref="H2365" ca="1">SUBSTITUTE(SUBSTITUTE(_xlfn.TEXTJOIN("",TRUE,IF(ISERR(MID(C2365,ROW(INDIRECT("1:100")),1)+0),MID(C2365,ROW(INDIRECT("1:100")),1),"")),")",""),"(","")</f>
        <v>All items less energy</v>
      </c>
    </row>
    <row r="2366" spans="1:8" x14ac:dyDescent="0.25">
      <c r="A2366">
        <v>2022</v>
      </c>
      <c r="B2366">
        <v>2</v>
      </c>
      <c r="C2366" t="s">
        <v>26</v>
      </c>
      <c r="D2366">
        <v>39.186999999999998</v>
      </c>
      <c r="E2366">
        <v>13</v>
      </c>
      <c r="F2366">
        <v>4.88</v>
      </c>
      <c r="H2366" s="4" t="str">
        <f t="array" aca="1" ref="H2366" ca="1">SUBSTITUTE(SUBSTITUTE(_xlfn.TEXTJOIN("",TRUE,IF(ISERR(MID(C2366,ROW(INDIRECT("1:100")),1)+0),MID(C2366,ROW(INDIRECT("1:100")),1),"")),")",""),"(","")</f>
        <v>Commodities</v>
      </c>
    </row>
    <row r="2367" spans="1:8" x14ac:dyDescent="0.25">
      <c r="A2367">
        <v>2022</v>
      </c>
      <c r="B2367">
        <v>2</v>
      </c>
      <c r="C2367" t="s">
        <v>27</v>
      </c>
      <c r="D2367">
        <v>60.813000000000002</v>
      </c>
      <c r="E2367">
        <v>4.8</v>
      </c>
      <c r="F2367">
        <v>2.9910000000000001</v>
      </c>
      <c r="H2367" s="4" t="str">
        <f t="array" aca="1" ref="H2367" ca="1">SUBSTITUTE(SUBSTITUTE(_xlfn.TEXTJOIN("",TRUE,IF(ISERR(MID(C2367,ROW(INDIRECT("1:100")),1)+0),MID(C2367,ROW(INDIRECT("1:100")),1),"")),")",""),"(","")</f>
        <v>Services</v>
      </c>
    </row>
    <row r="2368" spans="1:8" x14ac:dyDescent="0.25">
      <c r="A2368">
        <v>2022</v>
      </c>
      <c r="B2368">
        <v>2</v>
      </c>
      <c r="C2368" t="s">
        <v>28</v>
      </c>
      <c r="D2368">
        <v>13.112</v>
      </c>
      <c r="E2368">
        <v>18.7</v>
      </c>
      <c r="F2368">
        <v>2.0569999999999999</v>
      </c>
      <c r="H2368" s="4" t="str">
        <f t="array" aca="1" ref="H2368" ca="1">SUBSTITUTE(SUBSTITUTE(_xlfn.TEXTJOIN("",TRUE,IF(ISERR(MID(C2368,ROW(INDIRECT("1:100")),1)+0),MID(C2368,ROW(INDIRECT("1:100")),1),"")),")",""),"(","")</f>
        <v>Durables</v>
      </c>
    </row>
    <row r="2369" spans="1:8" x14ac:dyDescent="0.25">
      <c r="A2369">
        <v>2022</v>
      </c>
      <c r="B2369">
        <v>2</v>
      </c>
      <c r="C2369" t="s">
        <v>29</v>
      </c>
      <c r="D2369">
        <v>26.074999999999999</v>
      </c>
      <c r="E2369">
        <v>10.7</v>
      </c>
      <c r="F2369">
        <v>2.823</v>
      </c>
      <c r="H2369" s="4" t="str">
        <f t="array" aca="1" ref="H2369" ca="1">SUBSTITUTE(SUBSTITUTE(_xlfn.TEXTJOIN("",TRUE,IF(ISERR(MID(C2369,ROW(INDIRECT("1:100")),1)+0),MID(C2369,ROW(INDIRECT("1:100")),1),"")),")",""),"(","")</f>
        <v>Nondurables</v>
      </c>
    </row>
    <row r="2370" spans="1:8" x14ac:dyDescent="0.25">
      <c r="A2370">
        <v>2022</v>
      </c>
      <c r="B2370">
        <v>2</v>
      </c>
      <c r="C2370" t="s">
        <v>8</v>
      </c>
      <c r="D2370">
        <v>42.356999999999999</v>
      </c>
      <c r="E2370">
        <v>5.9</v>
      </c>
      <c r="F2370">
        <v>2.5219999999999998</v>
      </c>
      <c r="H2370" s="4" t="str">
        <f t="array" aca="1" ref="H2370" ca="1">SUBSTITUTE(SUBSTITUTE(_xlfn.TEXTJOIN("",TRUE,IF(ISERR(MID(C2370,ROW(INDIRECT("1:100")),1)+0),MID(C2370,ROW(INDIRECT("1:100")),1),"")),")",""),"(","")</f>
        <v>Housing</v>
      </c>
    </row>
    <row r="2371" spans="1:8" x14ac:dyDescent="0.25">
      <c r="A2371">
        <v>2022</v>
      </c>
      <c r="B2371">
        <v>2</v>
      </c>
      <c r="C2371" t="s">
        <v>30</v>
      </c>
      <c r="D2371">
        <v>6.3540000000000001</v>
      </c>
      <c r="E2371">
        <v>1.6</v>
      </c>
      <c r="F2371">
        <v>0.106</v>
      </c>
      <c r="H2371" s="4" t="str">
        <f t="array" aca="1" ref="H2371" ca="1">SUBSTITUTE(SUBSTITUTE(_xlfn.TEXTJOIN("",TRUE,IF(ISERR(MID(C2371,ROW(INDIRECT("1:100")),1)+0),MID(C2371,ROW(INDIRECT("1:100")),1),"")),")",""),"(","")</f>
        <v>Education and communication</v>
      </c>
    </row>
    <row r="2372" spans="1:8" x14ac:dyDescent="0.25">
      <c r="A2372">
        <v>2022</v>
      </c>
      <c r="B2372">
        <v>2</v>
      </c>
      <c r="C2372" t="s">
        <v>31</v>
      </c>
      <c r="D2372">
        <v>5.1150000000000002</v>
      </c>
      <c r="E2372">
        <v>5</v>
      </c>
      <c r="F2372">
        <v>0.27500000000000002</v>
      </c>
      <c r="H2372" s="4" t="str">
        <f t="array" aca="1" ref="H2372" ca="1">SUBSTITUTE(SUBSTITUTE(_xlfn.TEXTJOIN("",TRUE,IF(ISERR(MID(C2372,ROW(INDIRECT("1:100")),1)+0),MID(C2372,ROW(INDIRECT("1:100")),1),"")),")",""),"(","")</f>
        <v>Recreation</v>
      </c>
    </row>
    <row r="2373" spans="1:8" x14ac:dyDescent="0.25">
      <c r="A2373">
        <v>2022</v>
      </c>
      <c r="B2373">
        <v>2</v>
      </c>
      <c r="C2373" t="s">
        <v>6</v>
      </c>
      <c r="D2373">
        <v>14.273999999999999</v>
      </c>
      <c r="E2373">
        <v>7.6</v>
      </c>
      <c r="F2373">
        <v>1.1299999999999999</v>
      </c>
      <c r="H2373" s="4" t="str">
        <f t="array" aca="1" ref="H2373" ca="1">SUBSTITUTE(SUBSTITUTE(_xlfn.TEXTJOIN("",TRUE,IF(ISERR(MID(C2373,ROW(INDIRECT("1:100")),1)+0),MID(C2373,ROW(INDIRECT("1:100")),1),"")),")",""),"(","")</f>
        <v>Food and beverages</v>
      </c>
    </row>
    <row r="2374" spans="1:8" x14ac:dyDescent="0.25">
      <c r="A2374">
        <v>2022</v>
      </c>
      <c r="B2374">
        <v>2</v>
      </c>
      <c r="C2374" t="s">
        <v>32</v>
      </c>
      <c r="D2374">
        <v>10.071</v>
      </c>
      <c r="E2374">
        <v>3.4</v>
      </c>
      <c r="F2374">
        <v>0.38800000000000001</v>
      </c>
      <c r="H2374" s="4" t="str">
        <f t="array" aca="1" ref="H2374" ca="1">SUBSTITUTE(SUBSTITUTE(_xlfn.TEXTJOIN("",TRUE,IF(ISERR(MID(C2374,ROW(INDIRECT("1:100")),1)+0),MID(C2374,ROW(INDIRECT("1:100")),1),"")),")",""),"(","")</f>
        <v>Other services</v>
      </c>
    </row>
    <row r="2375" spans="1:8" x14ac:dyDescent="0.25">
      <c r="A2375">
        <v>2022</v>
      </c>
      <c r="B2375">
        <v>2</v>
      </c>
      <c r="C2375" t="s">
        <v>33</v>
      </c>
      <c r="D2375">
        <v>1.8859999999999999</v>
      </c>
      <c r="E2375">
        <v>6.5</v>
      </c>
      <c r="F2375">
        <v>0.127</v>
      </c>
      <c r="H2375" s="4" t="str">
        <f t="array" aca="1" ref="H2375" ca="1">SUBSTITUTE(SUBSTITUTE(_xlfn.TEXTJOIN("",TRUE,IF(ISERR(MID(C2375,ROW(INDIRECT("1:100")),1)+0),MID(C2375,ROW(INDIRECT("1:100")),1),"")),")",""),"(","")</f>
        <v>Apparel less footwear</v>
      </c>
    </row>
    <row r="2376" spans="1:8" x14ac:dyDescent="0.25">
      <c r="A2376">
        <v>2022</v>
      </c>
      <c r="B2376">
        <v>2</v>
      </c>
      <c r="C2376" t="s">
        <v>34</v>
      </c>
      <c r="D2376">
        <v>4.7329999999999997</v>
      </c>
      <c r="E2376">
        <v>11</v>
      </c>
      <c r="F2376">
        <v>0.49199999999999999</v>
      </c>
      <c r="H2376" s="4" t="str">
        <f t="array" aca="1" ref="H2376" ca="1">SUBSTITUTE(SUBSTITUTE(_xlfn.TEXTJOIN("",TRUE,IF(ISERR(MID(C2376,ROW(INDIRECT("1:100")),1)+0),MID(C2376,ROW(INDIRECT("1:100")),1),"")),")",""),"(","")</f>
        <v>Fuels and utilities</v>
      </c>
    </row>
    <row r="2377" spans="1:8" x14ac:dyDescent="0.25">
      <c r="A2377">
        <v>2022</v>
      </c>
      <c r="B2377">
        <v>2</v>
      </c>
      <c r="C2377" t="s">
        <v>11</v>
      </c>
      <c r="D2377">
        <v>8.4960000000000004</v>
      </c>
      <c r="E2377">
        <v>2.4</v>
      </c>
      <c r="F2377">
        <v>0.216</v>
      </c>
      <c r="H2377" s="4" t="str">
        <f t="array" aca="1" ref="H2377" ca="1">SUBSTITUTE(SUBSTITUTE(_xlfn.TEXTJOIN("",TRUE,IF(ISERR(MID(C2377,ROW(INDIRECT("1:100")),1)+0),MID(C2377,ROW(INDIRECT("1:100")),1),"")),")",""),"(","")</f>
        <v>Medical care</v>
      </c>
    </row>
    <row r="2378" spans="1:8" x14ac:dyDescent="0.25">
      <c r="A2378">
        <v>2022</v>
      </c>
      <c r="B2378">
        <v>2</v>
      </c>
      <c r="C2378" t="s">
        <v>7</v>
      </c>
      <c r="D2378">
        <v>18.170999999999999</v>
      </c>
      <c r="E2378">
        <v>21.1</v>
      </c>
      <c r="F2378">
        <v>3.282</v>
      </c>
      <c r="H2378" s="4" t="str">
        <f t="array" aca="1" ref="H2378" ca="1">SUBSTITUTE(SUBSTITUTE(_xlfn.TEXTJOIN("",TRUE,IF(ISERR(MID(C2378,ROW(INDIRECT("1:100")),1)+0),MID(C2378,ROW(INDIRECT("1:100")),1),"")),")",""),"(","")</f>
        <v>Transportation</v>
      </c>
    </row>
    <row r="2379" spans="1:8" x14ac:dyDescent="0.25">
      <c r="A2379">
        <v>2022</v>
      </c>
      <c r="B2379">
        <v>2</v>
      </c>
      <c r="C2379" t="s">
        <v>35</v>
      </c>
      <c r="D2379">
        <v>8.26</v>
      </c>
      <c r="E2379">
        <v>6.7</v>
      </c>
      <c r="F2379">
        <v>0.57799999999999996</v>
      </c>
      <c r="H2379" s="4" t="str">
        <f t="array" aca="1" ref="H2379" ca="1">SUBSTITUTE(SUBSTITUTE(_xlfn.TEXTJOIN("",TRUE,IF(ISERR(MID(C2379,ROW(INDIRECT("1:100")),1)+0),MID(C2379,ROW(INDIRECT("1:100")),1),"")),")",""),"(","")</f>
        <v>Utilities and public transportation</v>
      </c>
    </row>
    <row r="2380" spans="1:8" x14ac:dyDescent="0.25">
      <c r="A2380">
        <v>2022</v>
      </c>
      <c r="B2380">
        <v>2</v>
      </c>
      <c r="C2380" t="s">
        <v>36</v>
      </c>
      <c r="D2380">
        <v>4.8230000000000004</v>
      </c>
      <c r="E2380">
        <v>9.6999999999999993</v>
      </c>
      <c r="F2380">
        <v>0.45300000000000001</v>
      </c>
      <c r="H2380" s="4" t="str">
        <f t="array" aca="1" ref="H2380" ca="1">SUBSTITUTE(SUBSTITUTE(_xlfn.TEXTJOIN("",TRUE,IF(ISERR(MID(C2380,ROW(INDIRECT("1:100")),1)+0),MID(C2380,ROW(INDIRECT("1:100")),1),"")),")",""),"(","")</f>
        <v>Household furnishings and operations</v>
      </c>
    </row>
    <row r="2381" spans="1:8" x14ac:dyDescent="0.25">
      <c r="A2381">
        <v>2022</v>
      </c>
      <c r="B2381">
        <v>2</v>
      </c>
      <c r="C2381" t="s">
        <v>12</v>
      </c>
      <c r="D2381">
        <v>2.7349999999999999</v>
      </c>
      <c r="E2381">
        <v>5.6</v>
      </c>
      <c r="F2381">
        <v>0.16900000000000001</v>
      </c>
      <c r="H2381" s="4" t="str">
        <f t="array" aca="1" ref="H2381" ca="1">SUBSTITUTE(SUBSTITUTE(_xlfn.TEXTJOIN("",TRUE,IF(ISERR(MID(C2381,ROW(INDIRECT("1:100")),1)+0),MID(C2381,ROW(INDIRECT("1:100")),1),"")),")",""),"(","")</f>
        <v>Other goods and services</v>
      </c>
    </row>
    <row r="2382" spans="1:8" x14ac:dyDescent="0.25">
      <c r="A2382">
        <v>2022</v>
      </c>
      <c r="B2382">
        <v>3</v>
      </c>
      <c r="C2382" t="s">
        <v>14</v>
      </c>
      <c r="D2382">
        <v>100</v>
      </c>
      <c r="E2382">
        <v>8.5</v>
      </c>
      <c r="H2382" s="4" t="str">
        <f t="array" aca="1" ref="H2382" ca="1">SUBSTITUTE(SUBSTITUTE(_xlfn.TEXTJOIN("",TRUE,IF(ISERR(MID(C2382,ROW(INDIRECT("1:100")),1)+0),MID(C2382,ROW(INDIRECT("1:100")),1),"")),")",""),"(","")</f>
        <v>All items</v>
      </c>
    </row>
    <row r="2383" spans="1:8" x14ac:dyDescent="0.25">
      <c r="A2383">
        <v>2022</v>
      </c>
      <c r="B2383">
        <v>3</v>
      </c>
      <c r="C2383" t="s">
        <v>15</v>
      </c>
      <c r="D2383">
        <v>13.404999999999999</v>
      </c>
      <c r="E2383">
        <v>8.8000000000000007</v>
      </c>
      <c r="F2383">
        <v>1.2090000000000001</v>
      </c>
      <c r="H2383" s="4" t="str">
        <f t="array" aca="1" ref="H2383" ca="1">SUBSTITUTE(SUBSTITUTE(_xlfn.TEXTJOIN("",TRUE,IF(ISERR(MID(C2383,ROW(INDIRECT("1:100")),1)+0),MID(C2383,ROW(INDIRECT("1:100")),1),"")),")",""),"(","")</f>
        <v>Food</v>
      </c>
    </row>
    <row r="2384" spans="1:8" x14ac:dyDescent="0.25">
      <c r="A2384">
        <v>2022</v>
      </c>
      <c r="B2384">
        <v>3</v>
      </c>
      <c r="C2384" t="s">
        <v>16</v>
      </c>
      <c r="D2384">
        <v>7.5469999999999997</v>
      </c>
      <c r="E2384">
        <v>32</v>
      </c>
      <c r="F2384">
        <v>2.1960000000000002</v>
      </c>
      <c r="H2384" s="4" t="str">
        <f t="array" aca="1" ref="H2384" ca="1">SUBSTITUTE(SUBSTITUTE(_xlfn.TEXTJOIN("",TRUE,IF(ISERR(MID(C2384,ROW(INDIRECT("1:100")),1)+0),MID(C2384,ROW(INDIRECT("1:100")),1),"")),")",""),"(","")</f>
        <v>Energy</v>
      </c>
    </row>
    <row r="2385" spans="1:8" x14ac:dyDescent="0.25">
      <c r="A2385">
        <v>2022</v>
      </c>
      <c r="B2385">
        <v>3</v>
      </c>
      <c r="C2385" t="s">
        <v>17</v>
      </c>
      <c r="D2385">
        <v>79.048000000000002</v>
      </c>
      <c r="E2385">
        <v>6.5</v>
      </c>
      <c r="F2385">
        <v>5.1379999999999999</v>
      </c>
      <c r="H2385" s="4" t="str">
        <f t="array" aca="1" ref="H2385" ca="1">SUBSTITUTE(SUBSTITUTE(_xlfn.TEXTJOIN("",TRUE,IF(ISERR(MID(C2385,ROW(INDIRECT("1:100")),1)+0),MID(C2385,ROW(INDIRECT("1:100")),1),"")),")",""),"(","")</f>
        <v>All items less food and energy</v>
      </c>
    </row>
    <row r="2386" spans="1:8" x14ac:dyDescent="0.25">
      <c r="A2386">
        <v>2022</v>
      </c>
      <c r="B2386">
        <v>3</v>
      </c>
      <c r="C2386" t="s">
        <v>18</v>
      </c>
      <c r="H2386" s="4" t="str">
        <f t="array" aca="1" ref="H2386" ca="1">SUBSTITUTE(SUBSTITUTE(_xlfn.TEXTJOIN("",TRUE,IF(ISERR(MID(C2386,ROW(INDIRECT("1:100")),1)+0),MID(C2386,ROW(INDIRECT("1:100")),1),"")),")",""),"(","")</f>
        <v>Special aggregate indexes</v>
      </c>
    </row>
    <row r="2387" spans="1:8" x14ac:dyDescent="0.25">
      <c r="A2387">
        <v>2022</v>
      </c>
      <c r="B2387">
        <v>3</v>
      </c>
      <c r="C2387" t="s">
        <v>19</v>
      </c>
      <c r="D2387">
        <v>86.594999999999999</v>
      </c>
      <c r="E2387">
        <v>8.5</v>
      </c>
      <c r="F2387">
        <v>7.3339999999999996</v>
      </c>
      <c r="H2387" s="4" t="str">
        <f t="array" aca="1" ref="H2387" ca="1">SUBSTITUTE(SUBSTITUTE(_xlfn.TEXTJOIN("",TRUE,IF(ISERR(MID(C2387,ROW(INDIRECT("1:100")),1)+0),MID(C2387,ROW(INDIRECT("1:100")),1),"")),")",""),"(","")</f>
        <v>All items less food</v>
      </c>
    </row>
    <row r="2388" spans="1:8" x14ac:dyDescent="0.25">
      <c r="A2388">
        <v>2022</v>
      </c>
      <c r="B2388">
        <v>3</v>
      </c>
      <c r="C2388" t="s">
        <v>20</v>
      </c>
      <c r="D2388">
        <v>67.305000000000007</v>
      </c>
      <c r="E2388">
        <v>10.3</v>
      </c>
      <c r="F2388">
        <v>6.8840000000000003</v>
      </c>
      <c r="H2388" s="4" t="str">
        <f t="array" aca="1" ref="H2388" ca="1">SUBSTITUTE(SUBSTITUTE(_xlfn.TEXTJOIN("",TRUE,IF(ISERR(MID(C2388,ROW(INDIRECT("1:100")),1)+0),MID(C2388,ROW(INDIRECT("1:100")),1),"")),")",""),"(","")</f>
        <v>All items less shelter</v>
      </c>
    </row>
    <row r="2389" spans="1:8" x14ac:dyDescent="0.25">
      <c r="A2389">
        <v>2022</v>
      </c>
      <c r="B2389">
        <v>3</v>
      </c>
      <c r="C2389" t="s">
        <v>21</v>
      </c>
      <c r="D2389">
        <v>53.9</v>
      </c>
      <c r="E2389">
        <v>10.7</v>
      </c>
      <c r="F2389">
        <v>5.6749999999999998</v>
      </c>
      <c r="H2389" s="4" t="str">
        <f t="array" aca="1" ref="H2389" ca="1">SUBSTITUTE(SUBSTITUTE(_xlfn.TEXTJOIN("",TRUE,IF(ISERR(MID(C2389,ROW(INDIRECT("1:100")),1)+0),MID(C2389,ROW(INDIRECT("1:100")),1),"")),")",""),"(","")</f>
        <v>All items less food and shelter</v>
      </c>
    </row>
    <row r="2390" spans="1:8" x14ac:dyDescent="0.25">
      <c r="A2390">
        <v>2022</v>
      </c>
      <c r="B2390">
        <v>3</v>
      </c>
      <c r="C2390" t="s">
        <v>22</v>
      </c>
      <c r="D2390">
        <v>46.353000000000002</v>
      </c>
      <c r="E2390">
        <v>7.5</v>
      </c>
      <c r="F2390">
        <v>3.4790000000000001</v>
      </c>
      <c r="H2390" s="4" t="str">
        <f t="array" aca="1" ref="H2390" ca="1">SUBSTITUTE(SUBSTITUTE(_xlfn.TEXTJOIN("",TRUE,IF(ISERR(MID(C2390,ROW(INDIRECT("1:100")),1)+0),MID(C2390,ROW(INDIRECT("1:100")),1),"")),")",""),"(","")</f>
        <v>All items less food, shelter, and energy</v>
      </c>
    </row>
    <row r="2391" spans="1:8" x14ac:dyDescent="0.25">
      <c r="A2391">
        <v>2022</v>
      </c>
      <c r="B2391">
        <v>3</v>
      </c>
      <c r="C2391" t="s">
        <v>23</v>
      </c>
      <c r="D2391">
        <v>42.186</v>
      </c>
      <c r="E2391">
        <v>5.8</v>
      </c>
      <c r="F2391">
        <v>2.5019999999999998</v>
      </c>
      <c r="H2391" s="4" t="str">
        <f t="array" aca="1" ref="H2391" ca="1">SUBSTITUTE(SUBSTITUTE(_xlfn.TEXTJOIN("",TRUE,IF(ISERR(MID(C2391,ROW(INDIRECT("1:100")),1)+0),MID(C2391,ROW(INDIRECT("1:100")),1),"")),")",""),"(","")</f>
        <v>All items less food, shelter, energy, and used cars and trucks</v>
      </c>
    </row>
    <row r="2392" spans="1:8" x14ac:dyDescent="0.25">
      <c r="A2392">
        <v>2022</v>
      </c>
      <c r="B2392">
        <v>3</v>
      </c>
      <c r="C2392" t="s">
        <v>24</v>
      </c>
      <c r="D2392">
        <v>91.552000000000007</v>
      </c>
      <c r="E2392">
        <v>9.1</v>
      </c>
      <c r="F2392">
        <v>8.2899999999999991</v>
      </c>
      <c r="H2392" s="4" t="str">
        <f t="array" aca="1" ref="H2392" ca="1">SUBSTITUTE(SUBSTITUTE(_xlfn.TEXTJOIN("",TRUE,IF(ISERR(MID(C2392,ROW(INDIRECT("1:100")),1)+0),MID(C2392,ROW(INDIRECT("1:100")),1),"")),")",""),"(","")</f>
        <v>All items less medical care</v>
      </c>
    </row>
    <row r="2393" spans="1:8" x14ac:dyDescent="0.25">
      <c r="A2393">
        <v>2022</v>
      </c>
      <c r="B2393">
        <v>3</v>
      </c>
      <c r="C2393" t="s">
        <v>25</v>
      </c>
      <c r="D2393">
        <v>92.453000000000003</v>
      </c>
      <c r="E2393">
        <v>6.8</v>
      </c>
      <c r="F2393">
        <v>6.3460000000000001</v>
      </c>
      <c r="H2393" s="4" t="str">
        <f t="array" aca="1" ref="H2393" ca="1">SUBSTITUTE(SUBSTITUTE(_xlfn.TEXTJOIN("",TRUE,IF(ISERR(MID(C2393,ROW(INDIRECT("1:100")),1)+0),MID(C2393,ROW(INDIRECT("1:100")),1),"")),")",""),"(","")</f>
        <v>All items less energy</v>
      </c>
    </row>
    <row r="2394" spans="1:8" x14ac:dyDescent="0.25">
      <c r="A2394">
        <v>2022</v>
      </c>
      <c r="B2394">
        <v>3</v>
      </c>
      <c r="C2394" t="s">
        <v>26</v>
      </c>
      <c r="D2394">
        <v>39.393000000000001</v>
      </c>
      <c r="E2394">
        <v>14.2</v>
      </c>
      <c r="F2394">
        <v>5.3620000000000001</v>
      </c>
      <c r="H2394" s="4" t="str">
        <f t="array" aca="1" ref="H2394" ca="1">SUBSTITUTE(SUBSTITUTE(_xlfn.TEXTJOIN("",TRUE,IF(ISERR(MID(C2394,ROW(INDIRECT("1:100")),1)+0),MID(C2394,ROW(INDIRECT("1:100")),1),"")),")",""),"(","")</f>
        <v>Commodities</v>
      </c>
    </row>
    <row r="2395" spans="1:8" x14ac:dyDescent="0.25">
      <c r="A2395">
        <v>2022</v>
      </c>
      <c r="B2395">
        <v>3</v>
      </c>
      <c r="C2395" t="s">
        <v>27</v>
      </c>
      <c r="D2395">
        <v>60.606999999999999</v>
      </c>
      <c r="E2395">
        <v>5.0999999999999996</v>
      </c>
      <c r="F2395">
        <v>3.18</v>
      </c>
      <c r="H2395" s="4" t="str">
        <f t="array" aca="1" ref="H2395" ca="1">SUBSTITUTE(SUBSTITUTE(_xlfn.TEXTJOIN("",TRUE,IF(ISERR(MID(C2395,ROW(INDIRECT("1:100")),1)+0),MID(C2395,ROW(INDIRECT("1:100")),1),"")),")",""),"(","")</f>
        <v>Services</v>
      </c>
    </row>
    <row r="2396" spans="1:8" x14ac:dyDescent="0.25">
      <c r="A2396">
        <v>2022</v>
      </c>
      <c r="B2396">
        <v>3</v>
      </c>
      <c r="C2396" t="s">
        <v>28</v>
      </c>
      <c r="D2396">
        <v>13.071999999999999</v>
      </c>
      <c r="E2396">
        <v>17.399999999999999</v>
      </c>
      <c r="F2396">
        <v>1.9019999999999999</v>
      </c>
      <c r="H2396" s="4" t="str">
        <f t="array" aca="1" ref="H2396" ca="1">SUBSTITUTE(SUBSTITUTE(_xlfn.TEXTJOIN("",TRUE,IF(ISERR(MID(C2396,ROW(INDIRECT("1:100")),1)+0),MID(C2396,ROW(INDIRECT("1:100")),1),"")),")",""),"(","")</f>
        <v>Durables</v>
      </c>
    </row>
    <row r="2397" spans="1:8" x14ac:dyDescent="0.25">
      <c r="A2397">
        <v>2022</v>
      </c>
      <c r="B2397">
        <v>3</v>
      </c>
      <c r="C2397" t="s">
        <v>29</v>
      </c>
      <c r="D2397">
        <v>26.321000000000002</v>
      </c>
      <c r="E2397">
        <v>13.1</v>
      </c>
      <c r="F2397">
        <v>3.46</v>
      </c>
      <c r="H2397" s="4" t="str">
        <f t="array" aca="1" ref="H2397" ca="1">SUBSTITUTE(SUBSTITUTE(_xlfn.TEXTJOIN("",TRUE,IF(ISERR(MID(C2397,ROW(INDIRECT("1:100")),1)+0),MID(C2397,ROW(INDIRECT("1:100")),1),"")),")",""),"(","")</f>
        <v>Nondurables</v>
      </c>
    </row>
    <row r="2398" spans="1:8" x14ac:dyDescent="0.25">
      <c r="A2398">
        <v>2022</v>
      </c>
      <c r="B2398">
        <v>3</v>
      </c>
      <c r="C2398" t="s">
        <v>8</v>
      </c>
      <c r="D2398">
        <v>42.207999999999998</v>
      </c>
      <c r="E2398">
        <v>6.4</v>
      </c>
      <c r="F2398">
        <v>2.6890000000000001</v>
      </c>
      <c r="H2398" s="4" t="str">
        <f t="array" aca="1" ref="H2398" ca="1">SUBSTITUTE(SUBSTITUTE(_xlfn.TEXTJOIN("",TRUE,IF(ISERR(MID(C2398,ROW(INDIRECT("1:100")),1)+0),MID(C2398,ROW(INDIRECT("1:100")),1),"")),")",""),"(","")</f>
        <v>Housing</v>
      </c>
    </row>
    <row r="2399" spans="1:8" x14ac:dyDescent="0.25">
      <c r="A2399">
        <v>2022</v>
      </c>
      <c r="B2399">
        <v>3</v>
      </c>
      <c r="C2399" t="s">
        <v>30</v>
      </c>
      <c r="D2399">
        <v>6.298</v>
      </c>
      <c r="E2399">
        <v>1.5</v>
      </c>
      <c r="F2399">
        <v>0.104</v>
      </c>
      <c r="H2399" s="4" t="str">
        <f t="array" aca="1" ref="H2399" ca="1">SUBSTITUTE(SUBSTITUTE(_xlfn.TEXTJOIN("",TRUE,IF(ISERR(MID(C2399,ROW(INDIRECT("1:100")),1)+0),MID(C2399,ROW(INDIRECT("1:100")),1),"")),")",""),"(","")</f>
        <v>Education and communication</v>
      </c>
    </row>
    <row r="2400" spans="1:8" x14ac:dyDescent="0.25">
      <c r="A2400">
        <v>2022</v>
      </c>
      <c r="B2400">
        <v>3</v>
      </c>
      <c r="C2400" t="s">
        <v>31</v>
      </c>
      <c r="D2400">
        <v>5.1159999999999997</v>
      </c>
      <c r="E2400">
        <v>4.8</v>
      </c>
      <c r="F2400">
        <v>0.26200000000000001</v>
      </c>
      <c r="H2400" s="4" t="str">
        <f t="array" aca="1" ref="H2400" ca="1">SUBSTITUTE(SUBSTITUTE(_xlfn.TEXTJOIN("",TRUE,IF(ISERR(MID(C2400,ROW(INDIRECT("1:100")),1)+0),MID(C2400,ROW(INDIRECT("1:100")),1),"")),")",""),"(","")</f>
        <v>Recreation</v>
      </c>
    </row>
    <row r="2401" spans="1:8" x14ac:dyDescent="0.25">
      <c r="A2401">
        <v>2022</v>
      </c>
      <c r="B2401">
        <v>3</v>
      </c>
      <c r="C2401" t="s">
        <v>6</v>
      </c>
      <c r="D2401">
        <v>14.291</v>
      </c>
      <c r="E2401">
        <v>8.5</v>
      </c>
      <c r="F2401">
        <v>1.2450000000000001</v>
      </c>
      <c r="H2401" s="4" t="str">
        <f t="array" aca="1" ref="H2401" ca="1">SUBSTITUTE(SUBSTITUTE(_xlfn.TEXTJOIN("",TRUE,IF(ISERR(MID(C2401,ROW(INDIRECT("1:100")),1)+0),MID(C2401,ROW(INDIRECT("1:100")),1),"")),")",""),"(","")</f>
        <v>Food and beverages</v>
      </c>
    </row>
    <row r="2402" spans="1:8" x14ac:dyDescent="0.25">
      <c r="A2402">
        <v>2022</v>
      </c>
      <c r="B2402">
        <v>3</v>
      </c>
      <c r="C2402" t="s">
        <v>32</v>
      </c>
      <c r="D2402">
        <v>10.029</v>
      </c>
      <c r="E2402">
        <v>3.2</v>
      </c>
      <c r="F2402">
        <v>0.35899999999999999</v>
      </c>
      <c r="H2402" s="4" t="str">
        <f t="array" aca="1" ref="H2402" ca="1">SUBSTITUTE(SUBSTITUTE(_xlfn.TEXTJOIN("",TRUE,IF(ISERR(MID(C2402,ROW(INDIRECT("1:100")),1)+0),MID(C2402,ROW(INDIRECT("1:100")),1),"")),")",""),"(","")</f>
        <v>Other services</v>
      </c>
    </row>
    <row r="2403" spans="1:8" x14ac:dyDescent="0.25">
      <c r="A2403">
        <v>2022</v>
      </c>
      <c r="B2403">
        <v>3</v>
      </c>
      <c r="C2403" t="s">
        <v>33</v>
      </c>
      <c r="D2403">
        <v>1.9330000000000001</v>
      </c>
      <c r="E2403">
        <v>6.8</v>
      </c>
      <c r="F2403">
        <v>0.13300000000000001</v>
      </c>
      <c r="H2403" s="4" t="str">
        <f t="array" aca="1" ref="H2403" ca="1">SUBSTITUTE(SUBSTITUTE(_xlfn.TEXTJOIN("",TRUE,IF(ISERR(MID(C2403,ROW(INDIRECT("1:100")),1)+0),MID(C2403,ROW(INDIRECT("1:100")),1),"")),")",""),"(","")</f>
        <v>Apparel less footwear</v>
      </c>
    </row>
    <row r="2404" spans="1:8" x14ac:dyDescent="0.25">
      <c r="A2404">
        <v>2022</v>
      </c>
      <c r="B2404">
        <v>3</v>
      </c>
      <c r="C2404" t="s">
        <v>34</v>
      </c>
      <c r="D2404">
        <v>4.694</v>
      </c>
      <c r="E2404">
        <v>12.5</v>
      </c>
      <c r="F2404">
        <v>0.55800000000000005</v>
      </c>
      <c r="H2404" s="4" t="str">
        <f t="array" aca="1" ref="H2404" ca="1">SUBSTITUTE(SUBSTITUTE(_xlfn.TEXTJOIN("",TRUE,IF(ISERR(MID(C2404,ROW(INDIRECT("1:100")),1)+0),MID(C2404,ROW(INDIRECT("1:100")),1),"")),")",""),"(","")</f>
        <v>Fuels and utilities</v>
      </c>
    </row>
    <row r="2405" spans="1:8" x14ac:dyDescent="0.25">
      <c r="A2405">
        <v>2022</v>
      </c>
      <c r="B2405">
        <v>3</v>
      </c>
      <c r="C2405" t="s">
        <v>11</v>
      </c>
      <c r="D2405">
        <v>8.4480000000000004</v>
      </c>
      <c r="E2405">
        <v>2.9</v>
      </c>
      <c r="F2405">
        <v>0.253</v>
      </c>
      <c r="H2405" s="4" t="str">
        <f t="array" aca="1" ref="H2405" ca="1">SUBSTITUTE(SUBSTITUTE(_xlfn.TEXTJOIN("",TRUE,IF(ISERR(MID(C2405,ROW(INDIRECT("1:100")),1)+0),MID(C2405,ROW(INDIRECT("1:100")),1),"")),")",""),"(","")</f>
        <v>Medical care</v>
      </c>
    </row>
    <row r="2406" spans="1:8" x14ac:dyDescent="0.25">
      <c r="A2406">
        <v>2022</v>
      </c>
      <c r="B2406">
        <v>3</v>
      </c>
      <c r="C2406" t="s">
        <v>7</v>
      </c>
      <c r="D2406">
        <v>18.349</v>
      </c>
      <c r="E2406">
        <v>22.6</v>
      </c>
      <c r="F2406">
        <v>3.6509999999999998</v>
      </c>
      <c r="H2406" s="4" t="str">
        <f t="array" aca="1" ref="H2406" ca="1">SUBSTITUTE(SUBSTITUTE(_xlfn.TEXTJOIN("",TRUE,IF(ISERR(MID(C2406,ROW(INDIRECT("1:100")),1)+0),MID(C2406,ROW(INDIRECT("1:100")),1),"")),")",""),"(","")</f>
        <v>Transportation</v>
      </c>
    </row>
    <row r="2407" spans="1:8" x14ac:dyDescent="0.25">
      <c r="A2407">
        <v>2022</v>
      </c>
      <c r="B2407">
        <v>3</v>
      </c>
      <c r="C2407" t="s">
        <v>35</v>
      </c>
      <c r="D2407">
        <v>8.2210000000000001</v>
      </c>
      <c r="E2407">
        <v>7.6</v>
      </c>
      <c r="F2407">
        <v>0.65200000000000002</v>
      </c>
      <c r="H2407" s="4" t="str">
        <f t="array" aca="1" ref="H2407" ca="1">SUBSTITUTE(SUBSTITUTE(_xlfn.TEXTJOIN("",TRUE,IF(ISERR(MID(C2407,ROW(INDIRECT("1:100")),1)+0),MID(C2407,ROW(INDIRECT("1:100")),1),"")),")",""),"(","")</f>
        <v>Utilities and public transportation</v>
      </c>
    </row>
    <row r="2408" spans="1:8" x14ac:dyDescent="0.25">
      <c r="A2408">
        <v>2022</v>
      </c>
      <c r="B2408">
        <v>3</v>
      </c>
      <c r="C2408" t="s">
        <v>36</v>
      </c>
      <c r="D2408">
        <v>4.819</v>
      </c>
      <c r="E2408">
        <v>10.1</v>
      </c>
      <c r="F2408">
        <v>0.47299999999999998</v>
      </c>
      <c r="H2408" s="4" t="str">
        <f t="array" aca="1" ref="H2408" ca="1">SUBSTITUTE(SUBSTITUTE(_xlfn.TEXTJOIN("",TRUE,IF(ISERR(MID(C2408,ROW(INDIRECT("1:100")),1)+0),MID(C2408,ROW(INDIRECT("1:100")),1),"")),")",""),"(","")</f>
        <v>Household furnishings and operations</v>
      </c>
    </row>
    <row r="2409" spans="1:8" x14ac:dyDescent="0.25">
      <c r="A2409">
        <v>2022</v>
      </c>
      <c r="B2409">
        <v>3</v>
      </c>
      <c r="C2409" t="s">
        <v>12</v>
      </c>
      <c r="D2409">
        <v>2.7389999999999999</v>
      </c>
      <c r="E2409">
        <v>5.5</v>
      </c>
      <c r="F2409">
        <v>0.16400000000000001</v>
      </c>
      <c r="H2409" s="4" t="str">
        <f t="array" aca="1" ref="H2409" ca="1">SUBSTITUTE(SUBSTITUTE(_xlfn.TEXTJOIN("",TRUE,IF(ISERR(MID(C2409,ROW(INDIRECT("1:100")),1)+0),MID(C2409,ROW(INDIRECT("1:100")),1),"")),")",""),"(","")</f>
        <v>Other goods and services</v>
      </c>
    </row>
    <row r="2410" spans="1:8" x14ac:dyDescent="0.25">
      <c r="H2410" s="4" t="str">
        <f t="array" aca="1" ref="H2410" ca="1">SUBSTITUTE(SUBSTITUTE(_xlfn.TEXTJOIN("",TRUE,IF(ISERR(MID(C2410,ROW(INDIRECT("1:100")),1)+0),MID(C2410,ROW(INDIRECT("1:100")),1),"")),")",""),"(","")</f>
        <v/>
      </c>
    </row>
    <row r="2411" spans="1:8" x14ac:dyDescent="0.25">
      <c r="H2411" s="4" t="str">
        <f t="array" aca="1" ref="H2411" ca="1">SUBSTITUTE(SUBSTITUTE(_xlfn.TEXTJOIN("",TRUE,IF(ISERR(MID(C2411,ROW(INDIRECT("1:100")),1)+0),MID(C2411,ROW(INDIRECT("1:100")),1),"")),")",""),"(","")</f>
        <v/>
      </c>
    </row>
    <row r="2412" spans="1:8" x14ac:dyDescent="0.25">
      <c r="H2412" s="4" t="str">
        <f t="array" aca="1" ref="H2412" ca="1">SUBSTITUTE(SUBSTITUTE(_xlfn.TEXTJOIN("",TRUE,IF(ISERR(MID(C2412,ROW(INDIRECT("1:100")),1)+0),MID(C2412,ROW(INDIRECT("1:100")),1),"")),")",""),"(","")</f>
        <v/>
      </c>
    </row>
    <row r="2413" spans="1:8" x14ac:dyDescent="0.25">
      <c r="H2413" s="4" t="str">
        <f t="array" aca="1" ref="H2413" ca="1">SUBSTITUTE(SUBSTITUTE(_xlfn.TEXTJOIN("",TRUE,IF(ISERR(MID(C2413,ROW(INDIRECT("1:100")),1)+0),MID(C2413,ROW(INDIRECT("1:100")),1),"")),")",""),"(","")</f>
        <v/>
      </c>
    </row>
    <row r="2414" spans="1:8" x14ac:dyDescent="0.25">
      <c r="H2414" s="4" t="str">
        <f t="array" aca="1" ref="H2414" ca="1">SUBSTITUTE(SUBSTITUTE(_xlfn.TEXTJOIN("",TRUE,IF(ISERR(MID(C2414,ROW(INDIRECT("1:100")),1)+0),MID(C2414,ROW(INDIRECT("1:100")),1),"")),")",""),"(","")</f>
        <v/>
      </c>
    </row>
    <row r="2415" spans="1:8" x14ac:dyDescent="0.25">
      <c r="H2415" s="4" t="str">
        <f t="array" aca="1" ref="H2415" ca="1">SUBSTITUTE(SUBSTITUTE(_xlfn.TEXTJOIN("",TRUE,IF(ISERR(MID(C2415,ROW(INDIRECT("1:100")),1)+0),MID(C2415,ROW(INDIRECT("1:100")),1),"")),")",""),"(","")</f>
        <v/>
      </c>
    </row>
    <row r="2416" spans="1:8" x14ac:dyDescent="0.25">
      <c r="H2416" s="4" t="str">
        <f t="array" aca="1" ref="H2416" ca="1">SUBSTITUTE(SUBSTITUTE(_xlfn.TEXTJOIN("",TRUE,IF(ISERR(MID(C2416,ROW(INDIRECT("1:100")),1)+0),MID(C2416,ROW(INDIRECT("1:100")),1),"")),")",""),"(","")</f>
        <v/>
      </c>
    </row>
    <row r="2417" spans="8:8" x14ac:dyDescent="0.25">
      <c r="H2417" s="4" t="str">
        <f t="array" aca="1" ref="H2417" ca="1">SUBSTITUTE(SUBSTITUTE(_xlfn.TEXTJOIN("",TRUE,IF(ISERR(MID(C2417,ROW(INDIRECT("1:100")),1)+0),MID(C2417,ROW(INDIRECT("1:100")),1),"")),")",""),"(","")</f>
        <v/>
      </c>
    </row>
    <row r="2418" spans="8:8" x14ac:dyDescent="0.25">
      <c r="H2418" s="4" t="str">
        <f t="array" aca="1" ref="H2418" ca="1">SUBSTITUTE(SUBSTITUTE(_xlfn.TEXTJOIN("",TRUE,IF(ISERR(MID(C2418,ROW(INDIRECT("1:100")),1)+0),MID(C2418,ROW(INDIRECT("1:100")),1),"")),")",""),"(","")</f>
        <v/>
      </c>
    </row>
    <row r="2419" spans="8:8" x14ac:dyDescent="0.25">
      <c r="H2419" s="4" t="str">
        <f t="array" aca="1" ref="H2419" ca="1">SUBSTITUTE(SUBSTITUTE(_xlfn.TEXTJOIN("",TRUE,IF(ISERR(MID(C2419,ROW(INDIRECT("1:100")),1)+0),MID(C2419,ROW(INDIRECT("1:100")),1),"")),")",""),"(","")</f>
        <v/>
      </c>
    </row>
    <row r="2420" spans="8:8" x14ac:dyDescent="0.25">
      <c r="H2420" s="4" t="str">
        <f t="array" aca="1" ref="H2420" ca="1">SUBSTITUTE(SUBSTITUTE(_xlfn.TEXTJOIN("",TRUE,IF(ISERR(MID(C2420,ROW(INDIRECT("1:100")),1)+0),MID(C2420,ROW(INDIRECT("1:100")),1),"")),")",""),"(","")</f>
        <v/>
      </c>
    </row>
    <row r="2421" spans="8:8" x14ac:dyDescent="0.25">
      <c r="H2421" s="4" t="str">
        <f t="array" aca="1" ref="H2421" ca="1">SUBSTITUTE(SUBSTITUTE(_xlfn.TEXTJOIN("",TRUE,IF(ISERR(MID(C2421,ROW(INDIRECT("1:100")),1)+0),MID(C2421,ROW(INDIRECT("1:100")),1),"")),")",""),"(","")</f>
        <v/>
      </c>
    </row>
    <row r="2422" spans="8:8" x14ac:dyDescent="0.25">
      <c r="H2422" s="4" t="str">
        <f t="array" aca="1" ref="H2422" ca="1">SUBSTITUTE(SUBSTITUTE(_xlfn.TEXTJOIN("",TRUE,IF(ISERR(MID(C2422,ROW(INDIRECT("1:100")),1)+0),MID(C2422,ROW(INDIRECT("1:100")),1),"")),")",""),"(","")</f>
        <v/>
      </c>
    </row>
    <row r="2423" spans="8:8" x14ac:dyDescent="0.25">
      <c r="H2423" s="4" t="str">
        <f t="array" aca="1" ref="H2423" ca="1">SUBSTITUTE(SUBSTITUTE(_xlfn.TEXTJOIN("",TRUE,IF(ISERR(MID(C2423,ROW(INDIRECT("1:100")),1)+0),MID(C2423,ROW(INDIRECT("1:100")),1),"")),")",""),"(","")</f>
        <v/>
      </c>
    </row>
    <row r="2424" spans="8:8" x14ac:dyDescent="0.25">
      <c r="H2424" s="4" t="str">
        <f t="array" aca="1" ref="H2424" ca="1">SUBSTITUTE(SUBSTITUTE(_xlfn.TEXTJOIN("",TRUE,IF(ISERR(MID(C2424,ROW(INDIRECT("1:100")),1)+0),MID(C2424,ROW(INDIRECT("1:100")),1),"")),")",""),"(","")</f>
        <v/>
      </c>
    </row>
    <row r="2425" spans="8:8" x14ac:dyDescent="0.25">
      <c r="H2425" s="4" t="str">
        <f t="array" aca="1" ref="H2425" ca="1">SUBSTITUTE(SUBSTITUTE(_xlfn.TEXTJOIN("",TRUE,IF(ISERR(MID(C2425,ROW(INDIRECT("1:100")),1)+0),MID(C2425,ROW(INDIRECT("1:100")),1),"")),")",""),"(","")</f>
        <v/>
      </c>
    </row>
    <row r="2426" spans="8:8" x14ac:dyDescent="0.25">
      <c r="H2426" s="4" t="str">
        <f t="array" aca="1" ref="H2426" ca="1">SUBSTITUTE(SUBSTITUTE(_xlfn.TEXTJOIN("",TRUE,IF(ISERR(MID(C2426,ROW(INDIRECT("1:100")),1)+0),MID(C2426,ROW(INDIRECT("1:100")),1),"")),")",""),"(","")</f>
        <v/>
      </c>
    </row>
    <row r="2427" spans="8:8" x14ac:dyDescent="0.25">
      <c r="H2427" s="4" t="str">
        <f t="array" aca="1" ref="H2427" ca="1">SUBSTITUTE(SUBSTITUTE(_xlfn.TEXTJOIN("",TRUE,IF(ISERR(MID(C2427,ROW(INDIRECT("1:100")),1)+0),MID(C2427,ROW(INDIRECT("1:100")),1),"")),")",""),"(","")</f>
        <v/>
      </c>
    </row>
    <row r="2428" spans="8:8" x14ac:dyDescent="0.25">
      <c r="H2428" s="4" t="str">
        <f t="array" aca="1" ref="H2428" ca="1">SUBSTITUTE(SUBSTITUTE(_xlfn.TEXTJOIN("",TRUE,IF(ISERR(MID(C2428,ROW(INDIRECT("1:100")),1)+0),MID(C2428,ROW(INDIRECT("1:100")),1),"")),")",""),"(","")</f>
        <v/>
      </c>
    </row>
    <row r="2429" spans="8:8" x14ac:dyDescent="0.25">
      <c r="H2429" s="4" t="str">
        <f t="array" aca="1" ref="H2429" ca="1">SUBSTITUTE(SUBSTITUTE(_xlfn.TEXTJOIN("",TRUE,IF(ISERR(MID(C2429,ROW(INDIRECT("1:100")),1)+0),MID(C2429,ROW(INDIRECT("1:100")),1),"")),")",""),"(","")</f>
        <v/>
      </c>
    </row>
    <row r="2430" spans="8:8" x14ac:dyDescent="0.25">
      <c r="H2430" s="4" t="str">
        <f t="array" aca="1" ref="H2430" ca="1">SUBSTITUTE(SUBSTITUTE(_xlfn.TEXTJOIN("",TRUE,IF(ISERR(MID(C2430,ROW(INDIRECT("1:100")),1)+0),MID(C2430,ROW(INDIRECT("1:100")),1),"")),")",""),"(","")</f>
        <v/>
      </c>
    </row>
    <row r="2431" spans="8:8" x14ac:dyDescent="0.25">
      <c r="H2431" s="4" t="str">
        <f t="array" aca="1" ref="H2431" ca="1">SUBSTITUTE(SUBSTITUTE(_xlfn.TEXTJOIN("",TRUE,IF(ISERR(MID(C2431,ROW(INDIRECT("1:100")),1)+0),MID(C2431,ROW(INDIRECT("1:100")),1),"")),")",""),"(","")</f>
        <v/>
      </c>
    </row>
    <row r="2432" spans="8:8" x14ac:dyDescent="0.25">
      <c r="H2432" s="4" t="str">
        <f t="array" aca="1" ref="H2432" ca="1">SUBSTITUTE(SUBSTITUTE(_xlfn.TEXTJOIN("",TRUE,IF(ISERR(MID(C2432,ROW(INDIRECT("1:100")),1)+0),MID(C2432,ROW(INDIRECT("1:100")),1),"")),")",""),"(","")</f>
        <v/>
      </c>
    </row>
    <row r="2433" spans="8:8" x14ac:dyDescent="0.25">
      <c r="H2433" s="4" t="str">
        <f t="array" aca="1" ref="H2433" ca="1">SUBSTITUTE(SUBSTITUTE(_xlfn.TEXTJOIN("",TRUE,IF(ISERR(MID(C2433,ROW(INDIRECT("1:100")),1)+0),MID(C2433,ROW(INDIRECT("1:100")),1),"")),")",""),"(","")</f>
        <v/>
      </c>
    </row>
    <row r="2434" spans="8:8" x14ac:dyDescent="0.25">
      <c r="H2434" s="4" t="str">
        <f t="array" aca="1" ref="H2434" ca="1">SUBSTITUTE(SUBSTITUTE(_xlfn.TEXTJOIN("",TRUE,IF(ISERR(MID(C2434,ROW(INDIRECT("1:100")),1)+0),MID(C2434,ROW(INDIRECT("1:100")),1),"")),")",""),"(","")</f>
        <v/>
      </c>
    </row>
    <row r="2435" spans="8:8" x14ac:dyDescent="0.25">
      <c r="H2435" s="4" t="str">
        <f t="array" aca="1" ref="H2435" ca="1">SUBSTITUTE(SUBSTITUTE(_xlfn.TEXTJOIN("",TRUE,IF(ISERR(MID(C2435,ROW(INDIRECT("1:100")),1)+0),MID(C2435,ROW(INDIRECT("1:100")),1),"")),")",""),"(","")</f>
        <v/>
      </c>
    </row>
    <row r="2436" spans="8:8" x14ac:dyDescent="0.25">
      <c r="H2436" s="4" t="str">
        <f t="array" aca="1" ref="H2436" ca="1">SUBSTITUTE(SUBSTITUTE(_xlfn.TEXTJOIN("",TRUE,IF(ISERR(MID(C2436,ROW(INDIRECT("1:100")),1)+0),MID(C2436,ROW(INDIRECT("1:100")),1),"")),")",""),"(","")</f>
        <v/>
      </c>
    </row>
    <row r="2437" spans="8:8" x14ac:dyDescent="0.25">
      <c r="H2437" s="4" t="str">
        <f t="array" aca="1" ref="H2437" ca="1">SUBSTITUTE(SUBSTITUTE(_xlfn.TEXTJOIN("",TRUE,IF(ISERR(MID(C2437,ROW(INDIRECT("1:100")),1)+0),MID(C2437,ROW(INDIRECT("1:100")),1),"")),")",""),"(","")</f>
        <v/>
      </c>
    </row>
    <row r="2438" spans="8:8" x14ac:dyDescent="0.25">
      <c r="H2438" s="4" t="str">
        <f t="array" aca="1" ref="H2438" ca="1">SUBSTITUTE(SUBSTITUTE(_xlfn.TEXTJOIN("",TRUE,IF(ISERR(MID(C2438,ROW(INDIRECT("1:100")),1)+0),MID(C2438,ROW(INDIRECT("1:100")),1),"")),")",""),"(","")</f>
        <v/>
      </c>
    </row>
    <row r="2439" spans="8:8" x14ac:dyDescent="0.25">
      <c r="H2439" s="4" t="str">
        <f t="array" aca="1" ref="H2439" ca="1">SUBSTITUTE(SUBSTITUTE(_xlfn.TEXTJOIN("",TRUE,IF(ISERR(MID(C2439,ROW(INDIRECT("1:100")),1)+0),MID(C2439,ROW(INDIRECT("1:100")),1),"")),")",""),"(","")</f>
        <v/>
      </c>
    </row>
    <row r="2440" spans="8:8" x14ac:dyDescent="0.25">
      <c r="H2440" s="4" t="str">
        <f t="array" aca="1" ref="H2440" ca="1">SUBSTITUTE(SUBSTITUTE(_xlfn.TEXTJOIN("",TRUE,IF(ISERR(MID(C2440,ROW(INDIRECT("1:100")),1)+0),MID(C2440,ROW(INDIRECT("1:100")),1),"")),")",""),"(","")</f>
        <v/>
      </c>
    </row>
    <row r="2441" spans="8:8" x14ac:dyDescent="0.25">
      <c r="H2441" s="4" t="str">
        <f t="array" aca="1" ref="H2441" ca="1">SUBSTITUTE(SUBSTITUTE(_xlfn.TEXTJOIN("",TRUE,IF(ISERR(MID(C2441,ROW(INDIRECT("1:100")),1)+0),MID(C2441,ROW(INDIRECT("1:100")),1),"")),")",""),"(","")</f>
        <v/>
      </c>
    </row>
    <row r="2442" spans="8:8" x14ac:dyDescent="0.25">
      <c r="H2442" s="4" t="str">
        <f t="array" aca="1" ref="H2442" ca="1">SUBSTITUTE(SUBSTITUTE(_xlfn.TEXTJOIN("",TRUE,IF(ISERR(MID(C2442,ROW(INDIRECT("1:100")),1)+0),MID(C2442,ROW(INDIRECT("1:100")),1),"")),")",""),"(","")</f>
        <v/>
      </c>
    </row>
    <row r="2443" spans="8:8" x14ac:dyDescent="0.25">
      <c r="H2443" s="4" t="str">
        <f t="array" aca="1" ref="H2443" ca="1">SUBSTITUTE(SUBSTITUTE(_xlfn.TEXTJOIN("",TRUE,IF(ISERR(MID(C2443,ROW(INDIRECT("1:100")),1)+0),MID(C2443,ROW(INDIRECT("1:100")),1),"")),")",""),"(","")</f>
        <v/>
      </c>
    </row>
    <row r="2444" spans="8:8" x14ac:dyDescent="0.25">
      <c r="H2444" s="4" t="str">
        <f t="array" aca="1" ref="H2444" ca="1">SUBSTITUTE(SUBSTITUTE(_xlfn.TEXTJOIN("",TRUE,IF(ISERR(MID(C2444,ROW(INDIRECT("1:100")),1)+0),MID(C2444,ROW(INDIRECT("1:100")),1),"")),")",""),"(","")</f>
        <v/>
      </c>
    </row>
    <row r="2445" spans="8:8" x14ac:dyDescent="0.25">
      <c r="H2445" s="4" t="str">
        <f t="array" aca="1" ref="H2445" ca="1">SUBSTITUTE(SUBSTITUTE(_xlfn.TEXTJOIN("",TRUE,IF(ISERR(MID(C2445,ROW(INDIRECT("1:100")),1)+0),MID(C2445,ROW(INDIRECT("1:100")),1),"")),")",""),"(","")</f>
        <v/>
      </c>
    </row>
    <row r="2446" spans="8:8" x14ac:dyDescent="0.25">
      <c r="H2446" s="4" t="str">
        <f t="array" aca="1" ref="H2446" ca="1">SUBSTITUTE(SUBSTITUTE(_xlfn.TEXTJOIN("",TRUE,IF(ISERR(MID(C2446,ROW(INDIRECT("1:100")),1)+0),MID(C2446,ROW(INDIRECT("1:100")),1),"")),")",""),"(","")</f>
        <v/>
      </c>
    </row>
    <row r="2447" spans="8:8" x14ac:dyDescent="0.25">
      <c r="H2447" s="4" t="str">
        <f t="array" aca="1" ref="H2447" ca="1">SUBSTITUTE(SUBSTITUTE(_xlfn.TEXTJOIN("",TRUE,IF(ISERR(MID(C2447,ROW(INDIRECT("1:100")),1)+0),MID(C2447,ROW(INDIRECT("1:100")),1),"")),")",""),"(","")</f>
        <v/>
      </c>
    </row>
    <row r="2448" spans="8:8" x14ac:dyDescent="0.25">
      <c r="H2448" s="4" t="str">
        <f t="array" aca="1" ref="H2448" ca="1">SUBSTITUTE(SUBSTITUTE(_xlfn.TEXTJOIN("",TRUE,IF(ISERR(MID(C2448,ROW(INDIRECT("1:100")),1)+0),MID(C2448,ROW(INDIRECT("1:100")),1),"")),")",""),"(","")</f>
        <v/>
      </c>
    </row>
    <row r="2449" spans="8:8" x14ac:dyDescent="0.25">
      <c r="H2449" s="4" t="str">
        <f t="array" aca="1" ref="H2449" ca="1">SUBSTITUTE(SUBSTITUTE(_xlfn.TEXTJOIN("",TRUE,IF(ISERR(MID(C2449,ROW(INDIRECT("1:100")),1)+0),MID(C2449,ROW(INDIRECT("1:100")),1),"")),")",""),"(","")</f>
        <v/>
      </c>
    </row>
    <row r="2450" spans="8:8" x14ac:dyDescent="0.25">
      <c r="H2450" s="4" t="str">
        <f t="array" aca="1" ref="H2450" ca="1">SUBSTITUTE(SUBSTITUTE(_xlfn.TEXTJOIN("",TRUE,IF(ISERR(MID(C2450,ROW(INDIRECT("1:100")),1)+0),MID(C2450,ROW(INDIRECT("1:100")),1),"")),")",""),"(","")</f>
        <v/>
      </c>
    </row>
    <row r="2451" spans="8:8" x14ac:dyDescent="0.25">
      <c r="H2451" s="4" t="str">
        <f t="array" aca="1" ref="H2451" ca="1">SUBSTITUTE(SUBSTITUTE(_xlfn.TEXTJOIN("",TRUE,IF(ISERR(MID(C2451,ROW(INDIRECT("1:100")),1)+0),MID(C2451,ROW(INDIRECT("1:100")),1),"")),")",""),"(","")</f>
        <v/>
      </c>
    </row>
    <row r="2452" spans="8:8" x14ac:dyDescent="0.25">
      <c r="H2452" s="4" t="str">
        <f t="array" aca="1" ref="H2452" ca="1">SUBSTITUTE(SUBSTITUTE(_xlfn.TEXTJOIN("",TRUE,IF(ISERR(MID(C2452,ROW(INDIRECT("1:100")),1)+0),MID(C2452,ROW(INDIRECT("1:100")),1),"")),")",""),"(","")</f>
        <v/>
      </c>
    </row>
    <row r="2453" spans="8:8" x14ac:dyDescent="0.25">
      <c r="H2453" s="4" t="str">
        <f t="array" aca="1" ref="H2453" ca="1">SUBSTITUTE(SUBSTITUTE(_xlfn.TEXTJOIN("",TRUE,IF(ISERR(MID(C2453,ROW(INDIRECT("1:100")),1)+0),MID(C2453,ROW(INDIRECT("1:100")),1),"")),")",""),"(","")</f>
        <v/>
      </c>
    </row>
    <row r="2454" spans="8:8" x14ac:dyDescent="0.25">
      <c r="H2454" s="4" t="str">
        <f t="array" aca="1" ref="H2454" ca="1">SUBSTITUTE(SUBSTITUTE(_xlfn.TEXTJOIN("",TRUE,IF(ISERR(MID(C2454,ROW(INDIRECT("1:100")),1)+0),MID(C2454,ROW(INDIRECT("1:100")),1),"")),")",""),"(","")</f>
        <v/>
      </c>
    </row>
    <row r="2455" spans="8:8" x14ac:dyDescent="0.25">
      <c r="H2455" s="4" t="str">
        <f t="array" aca="1" ref="H2455" ca="1">SUBSTITUTE(SUBSTITUTE(_xlfn.TEXTJOIN("",TRUE,IF(ISERR(MID(C2455,ROW(INDIRECT("1:100")),1)+0),MID(C2455,ROW(INDIRECT("1:100")),1),"")),")",""),"(","")</f>
        <v/>
      </c>
    </row>
    <row r="2456" spans="8:8" x14ac:dyDescent="0.25">
      <c r="H2456" s="4" t="str">
        <f t="array" aca="1" ref="H2456" ca="1">SUBSTITUTE(SUBSTITUTE(_xlfn.TEXTJOIN("",TRUE,IF(ISERR(MID(C2456,ROW(INDIRECT("1:100")),1)+0),MID(C2456,ROW(INDIRECT("1:100")),1),"")),")",""),"(","")</f>
        <v/>
      </c>
    </row>
    <row r="2457" spans="8:8" x14ac:dyDescent="0.25">
      <c r="H2457" s="4" t="str">
        <f t="array" aca="1" ref="H2457" ca="1">SUBSTITUTE(SUBSTITUTE(_xlfn.TEXTJOIN("",TRUE,IF(ISERR(MID(C2457,ROW(INDIRECT("1:100")),1)+0),MID(C2457,ROW(INDIRECT("1:100")),1),"")),")",""),"(","")</f>
        <v/>
      </c>
    </row>
    <row r="2458" spans="8:8" x14ac:dyDescent="0.25">
      <c r="H2458" s="4" t="str">
        <f t="array" aca="1" ref="H2458" ca="1">SUBSTITUTE(SUBSTITUTE(_xlfn.TEXTJOIN("",TRUE,IF(ISERR(MID(C2458,ROW(INDIRECT("1:100")),1)+0),MID(C2458,ROW(INDIRECT("1:100")),1),"")),")",""),"(","")</f>
        <v/>
      </c>
    </row>
    <row r="2459" spans="8:8" x14ac:dyDescent="0.25">
      <c r="H2459" s="4" t="str">
        <f t="array" aca="1" ref="H2459" ca="1">SUBSTITUTE(SUBSTITUTE(_xlfn.TEXTJOIN("",TRUE,IF(ISERR(MID(C2459,ROW(INDIRECT("1:100")),1)+0),MID(C2459,ROW(INDIRECT("1:100")),1),"")),")",""),"(","")</f>
        <v/>
      </c>
    </row>
    <row r="2460" spans="8:8" x14ac:dyDescent="0.25">
      <c r="H2460" s="4" t="str">
        <f t="array" aca="1" ref="H2460" ca="1">SUBSTITUTE(SUBSTITUTE(_xlfn.TEXTJOIN("",TRUE,IF(ISERR(MID(C2460,ROW(INDIRECT("1:100")),1)+0),MID(C2460,ROW(INDIRECT("1:100")),1),"")),")",""),"(","")</f>
        <v/>
      </c>
    </row>
    <row r="2461" spans="8:8" x14ac:dyDescent="0.25">
      <c r="H2461" s="4" t="str">
        <f t="array" aca="1" ref="H2461" ca="1">SUBSTITUTE(SUBSTITUTE(_xlfn.TEXTJOIN("",TRUE,IF(ISERR(MID(C2461,ROW(INDIRECT("1:100")),1)+0),MID(C2461,ROW(INDIRECT("1:100")),1),"")),")",""),"(","")</f>
        <v/>
      </c>
    </row>
    <row r="2462" spans="8:8" x14ac:dyDescent="0.25">
      <c r="H2462" s="4" t="str">
        <f t="array" aca="1" ref="H2462" ca="1">SUBSTITUTE(SUBSTITUTE(_xlfn.TEXTJOIN("",TRUE,IF(ISERR(MID(C2462,ROW(INDIRECT("1:100")),1)+0),MID(C2462,ROW(INDIRECT("1:100")),1),"")),")",""),"(","")</f>
        <v/>
      </c>
    </row>
    <row r="2463" spans="8:8" x14ac:dyDescent="0.25">
      <c r="H2463" s="4" t="str">
        <f t="array" aca="1" ref="H2463" ca="1">SUBSTITUTE(SUBSTITUTE(_xlfn.TEXTJOIN("",TRUE,IF(ISERR(MID(C2463,ROW(INDIRECT("1:100")),1)+0),MID(C2463,ROW(INDIRECT("1:100")),1),"")),")",""),"(","")</f>
        <v/>
      </c>
    </row>
    <row r="2464" spans="8:8" x14ac:dyDescent="0.25">
      <c r="H2464" s="4" t="str">
        <f t="array" aca="1" ref="H2464" ca="1">SUBSTITUTE(SUBSTITUTE(_xlfn.TEXTJOIN("",TRUE,IF(ISERR(MID(C2464,ROW(INDIRECT("1:100")),1)+0),MID(C2464,ROW(INDIRECT("1:100")),1),"")),")",""),"(","")</f>
        <v/>
      </c>
    </row>
    <row r="2465" spans="8:8" x14ac:dyDescent="0.25">
      <c r="H2465" s="4" t="str">
        <f t="array" aca="1" ref="H2465" ca="1">SUBSTITUTE(SUBSTITUTE(_xlfn.TEXTJOIN("",TRUE,IF(ISERR(MID(C2465,ROW(INDIRECT("1:100")),1)+0),MID(C2465,ROW(INDIRECT("1:100")),1),"")),")",""),"(","")</f>
        <v/>
      </c>
    </row>
    <row r="2466" spans="8:8" x14ac:dyDescent="0.25">
      <c r="H2466" s="4" t="str">
        <f t="array" aca="1" ref="H2466" ca="1">SUBSTITUTE(SUBSTITUTE(_xlfn.TEXTJOIN("",TRUE,IF(ISERR(MID(C2466,ROW(INDIRECT("1:100")),1)+0),MID(C2466,ROW(INDIRECT("1:100")),1),"")),")",""),"(","")</f>
        <v/>
      </c>
    </row>
    <row r="2467" spans="8:8" x14ac:dyDescent="0.25">
      <c r="H2467" s="4" t="str">
        <f t="array" aca="1" ref="H2467" ca="1">SUBSTITUTE(SUBSTITUTE(_xlfn.TEXTJOIN("",TRUE,IF(ISERR(MID(C2467,ROW(INDIRECT("1:100")),1)+0),MID(C2467,ROW(INDIRECT("1:100")),1),"")),")",""),"(","")</f>
        <v/>
      </c>
    </row>
    <row r="2468" spans="8:8" x14ac:dyDescent="0.25">
      <c r="H2468" s="4" t="str">
        <f t="array" aca="1" ref="H2468" ca="1">SUBSTITUTE(SUBSTITUTE(_xlfn.TEXTJOIN("",TRUE,IF(ISERR(MID(C2468,ROW(INDIRECT("1:100")),1)+0),MID(C2468,ROW(INDIRECT("1:100")),1),"")),")",""),"(","")</f>
        <v/>
      </c>
    </row>
    <row r="2469" spans="8:8" x14ac:dyDescent="0.25">
      <c r="H2469" s="4" t="str">
        <f t="array" aca="1" ref="H2469" ca="1">SUBSTITUTE(SUBSTITUTE(_xlfn.TEXTJOIN("",TRUE,IF(ISERR(MID(C2469,ROW(INDIRECT("1:100")),1)+0),MID(C2469,ROW(INDIRECT("1:100")),1),"")),")",""),"(","")</f>
        <v/>
      </c>
    </row>
    <row r="2470" spans="8:8" x14ac:dyDescent="0.25">
      <c r="H2470" s="4" t="str">
        <f t="array" aca="1" ref="H2470" ca="1">SUBSTITUTE(SUBSTITUTE(_xlfn.TEXTJOIN("",TRUE,IF(ISERR(MID(C2470,ROW(INDIRECT("1:100")),1)+0),MID(C2470,ROW(INDIRECT("1:100")),1),"")),")",""),"(","")</f>
        <v/>
      </c>
    </row>
    <row r="2471" spans="8:8" x14ac:dyDescent="0.25">
      <c r="H2471" s="4" t="str">
        <f t="array" aca="1" ref="H2471" ca="1">SUBSTITUTE(SUBSTITUTE(_xlfn.TEXTJOIN("",TRUE,IF(ISERR(MID(C2471,ROW(INDIRECT("1:100")),1)+0),MID(C2471,ROW(INDIRECT("1:100")),1),"")),")",""),"(","")</f>
        <v/>
      </c>
    </row>
    <row r="2472" spans="8:8" x14ac:dyDescent="0.25">
      <c r="H2472" s="4" t="str">
        <f t="array" aca="1" ref="H2472" ca="1">SUBSTITUTE(SUBSTITUTE(_xlfn.TEXTJOIN("",TRUE,IF(ISERR(MID(C2472,ROW(INDIRECT("1:100")),1)+0),MID(C2472,ROW(INDIRECT("1:100")),1),"")),")",""),"(","")</f>
        <v/>
      </c>
    </row>
    <row r="2473" spans="8:8" x14ac:dyDescent="0.25">
      <c r="H2473" s="4" t="str">
        <f t="array" aca="1" ref="H2473" ca="1">SUBSTITUTE(SUBSTITUTE(_xlfn.TEXTJOIN("",TRUE,IF(ISERR(MID(C2473,ROW(INDIRECT("1:100")),1)+0),MID(C2473,ROW(INDIRECT("1:100")),1),"")),")",""),"(","")</f>
        <v/>
      </c>
    </row>
    <row r="2474" spans="8:8" x14ac:dyDescent="0.25">
      <c r="H2474" s="4" t="str">
        <f t="array" aca="1" ref="H2474" ca="1">SUBSTITUTE(SUBSTITUTE(_xlfn.TEXTJOIN("",TRUE,IF(ISERR(MID(C2474,ROW(INDIRECT("1:100")),1)+0),MID(C2474,ROW(INDIRECT("1:100")),1),"")),")",""),"(","")</f>
        <v/>
      </c>
    </row>
    <row r="2475" spans="8:8" x14ac:dyDescent="0.25">
      <c r="H2475" s="4" t="str">
        <f t="array" aca="1" ref="H2475" ca="1">SUBSTITUTE(SUBSTITUTE(_xlfn.TEXTJOIN("",TRUE,IF(ISERR(MID(C2475,ROW(INDIRECT("1:100")),1)+0),MID(C2475,ROW(INDIRECT("1:100")),1),"")),")",""),"(","")</f>
        <v/>
      </c>
    </row>
    <row r="2476" spans="8:8" x14ac:dyDescent="0.25">
      <c r="H2476" s="4" t="str">
        <f t="array" aca="1" ref="H2476" ca="1">SUBSTITUTE(SUBSTITUTE(_xlfn.TEXTJOIN("",TRUE,IF(ISERR(MID(C2476,ROW(INDIRECT("1:100")),1)+0),MID(C2476,ROW(INDIRECT("1:100")),1),"")),")",""),"(","")</f>
        <v/>
      </c>
    </row>
    <row r="2477" spans="8:8" x14ac:dyDescent="0.25">
      <c r="H2477" s="4" t="str">
        <f t="array" aca="1" ref="H2477" ca="1">SUBSTITUTE(SUBSTITUTE(_xlfn.TEXTJOIN("",TRUE,IF(ISERR(MID(C2477,ROW(INDIRECT("1:100")),1)+0),MID(C2477,ROW(INDIRECT("1:100")),1),"")),")",""),"(","")</f>
        <v/>
      </c>
    </row>
    <row r="2478" spans="8:8" x14ac:dyDescent="0.25">
      <c r="H2478" s="4" t="str">
        <f t="array" aca="1" ref="H2478" ca="1">SUBSTITUTE(SUBSTITUTE(_xlfn.TEXTJOIN("",TRUE,IF(ISERR(MID(C2478,ROW(INDIRECT("1:100")),1)+0),MID(C2478,ROW(INDIRECT("1:100")),1),"")),")",""),"(","")</f>
        <v/>
      </c>
    </row>
    <row r="2479" spans="8:8" x14ac:dyDescent="0.25">
      <c r="H2479" s="4" t="str">
        <f t="array" aca="1" ref="H2479" ca="1">SUBSTITUTE(SUBSTITUTE(_xlfn.TEXTJOIN("",TRUE,IF(ISERR(MID(C2479,ROW(INDIRECT("1:100")),1)+0),MID(C2479,ROW(INDIRECT("1:100")),1),"")),")",""),"(","")</f>
        <v/>
      </c>
    </row>
    <row r="2480" spans="8:8" x14ac:dyDescent="0.25">
      <c r="H2480" s="4" t="str">
        <f t="array" aca="1" ref="H2480" ca="1">SUBSTITUTE(SUBSTITUTE(_xlfn.TEXTJOIN("",TRUE,IF(ISERR(MID(C2480,ROW(INDIRECT("1:100")),1)+0),MID(C2480,ROW(INDIRECT("1:100")),1),"")),")",""),"(","")</f>
        <v/>
      </c>
    </row>
    <row r="2481" spans="8:8" x14ac:dyDescent="0.25">
      <c r="H2481" s="4" t="str">
        <f t="array" aca="1" ref="H2481" ca="1">SUBSTITUTE(SUBSTITUTE(_xlfn.TEXTJOIN("",TRUE,IF(ISERR(MID(C2481,ROW(INDIRECT("1:100")),1)+0),MID(C2481,ROW(INDIRECT("1:100")),1),"")),")",""),"(","")</f>
        <v/>
      </c>
    </row>
    <row r="2482" spans="8:8" x14ac:dyDescent="0.25">
      <c r="H2482" s="4" t="str">
        <f t="array" aca="1" ref="H2482" ca="1">SUBSTITUTE(SUBSTITUTE(_xlfn.TEXTJOIN("",TRUE,IF(ISERR(MID(C2482,ROW(INDIRECT("1:100")),1)+0),MID(C2482,ROW(INDIRECT("1:100")),1),"")),")",""),"(","")</f>
        <v/>
      </c>
    </row>
    <row r="2483" spans="8:8" x14ac:dyDescent="0.25">
      <c r="H2483" s="4" t="str">
        <f t="array" aca="1" ref="H2483" ca="1">SUBSTITUTE(SUBSTITUTE(_xlfn.TEXTJOIN("",TRUE,IF(ISERR(MID(C2483,ROW(INDIRECT("1:100")),1)+0),MID(C2483,ROW(INDIRECT("1:100")),1),"")),")",""),"(","")</f>
        <v/>
      </c>
    </row>
    <row r="2484" spans="8:8" x14ac:dyDescent="0.25">
      <c r="H2484" s="4" t="str">
        <f t="array" aca="1" ref="H2484" ca="1">SUBSTITUTE(SUBSTITUTE(_xlfn.TEXTJOIN("",TRUE,IF(ISERR(MID(C2484,ROW(INDIRECT("1:100")),1)+0),MID(C2484,ROW(INDIRECT("1:100")),1),"")),")",""),"(","")</f>
        <v/>
      </c>
    </row>
    <row r="2485" spans="8:8" x14ac:dyDescent="0.25">
      <c r="H2485" s="4" t="str">
        <f t="array" aca="1" ref="H2485" ca="1">SUBSTITUTE(SUBSTITUTE(_xlfn.TEXTJOIN("",TRUE,IF(ISERR(MID(C2485,ROW(INDIRECT("1:100")),1)+0),MID(C2485,ROW(INDIRECT("1:100")),1),"")),")",""),"(","")</f>
        <v/>
      </c>
    </row>
    <row r="2486" spans="8:8" x14ac:dyDescent="0.25">
      <c r="H2486" s="4" t="str">
        <f t="array" aca="1" ref="H2486" ca="1">SUBSTITUTE(SUBSTITUTE(_xlfn.TEXTJOIN("",TRUE,IF(ISERR(MID(C2486,ROW(INDIRECT("1:100")),1)+0),MID(C2486,ROW(INDIRECT("1:100")),1),"")),")",""),"(","")</f>
        <v/>
      </c>
    </row>
    <row r="2487" spans="8:8" x14ac:dyDescent="0.25">
      <c r="H2487" s="4" t="str">
        <f t="array" aca="1" ref="H2487" ca="1">SUBSTITUTE(SUBSTITUTE(_xlfn.TEXTJOIN("",TRUE,IF(ISERR(MID(C2487,ROW(INDIRECT("1:100")),1)+0),MID(C2487,ROW(INDIRECT("1:100")),1),"")),")",""),"(","")</f>
        <v/>
      </c>
    </row>
    <row r="2488" spans="8:8" x14ac:dyDescent="0.25">
      <c r="H2488" s="4" t="str">
        <f t="array" aca="1" ref="H2488" ca="1">SUBSTITUTE(SUBSTITUTE(_xlfn.TEXTJOIN("",TRUE,IF(ISERR(MID(C2488,ROW(INDIRECT("1:100")),1)+0),MID(C2488,ROW(INDIRECT("1:100")),1),"")),")",""),"(","")</f>
        <v/>
      </c>
    </row>
    <row r="2489" spans="8:8" x14ac:dyDescent="0.25">
      <c r="H2489" s="4" t="str">
        <f t="array" aca="1" ref="H2489" ca="1">SUBSTITUTE(SUBSTITUTE(_xlfn.TEXTJOIN("",TRUE,IF(ISERR(MID(C2489,ROW(INDIRECT("1:100")),1)+0),MID(C2489,ROW(INDIRECT("1:100")),1),"")),")",""),"(","")</f>
        <v/>
      </c>
    </row>
    <row r="2490" spans="8:8" x14ac:dyDescent="0.25">
      <c r="H2490" s="4" t="str">
        <f t="array" aca="1" ref="H2490" ca="1">SUBSTITUTE(SUBSTITUTE(_xlfn.TEXTJOIN("",TRUE,IF(ISERR(MID(C2490,ROW(INDIRECT("1:100")),1)+0),MID(C2490,ROW(INDIRECT("1:100")),1),"")),")",""),"(","")</f>
        <v/>
      </c>
    </row>
    <row r="2491" spans="8:8" x14ac:dyDescent="0.25">
      <c r="H2491" s="4" t="str">
        <f t="array" aca="1" ref="H2491" ca="1">SUBSTITUTE(SUBSTITUTE(_xlfn.TEXTJOIN("",TRUE,IF(ISERR(MID(C2491,ROW(INDIRECT("1:100")),1)+0),MID(C2491,ROW(INDIRECT("1:100")),1),"")),")",""),"(","")</f>
        <v/>
      </c>
    </row>
    <row r="2492" spans="8:8" x14ac:dyDescent="0.25">
      <c r="H2492" s="4" t="str">
        <f t="array" aca="1" ref="H2492" ca="1">SUBSTITUTE(SUBSTITUTE(_xlfn.TEXTJOIN("",TRUE,IF(ISERR(MID(C2492,ROW(INDIRECT("1:100")),1)+0),MID(C2492,ROW(INDIRECT("1:100")),1),"")),")",""),"(","")</f>
        <v/>
      </c>
    </row>
    <row r="2493" spans="8:8" x14ac:dyDescent="0.25">
      <c r="H2493" s="4" t="str">
        <f t="array" aca="1" ref="H2493" ca="1">SUBSTITUTE(SUBSTITUTE(_xlfn.TEXTJOIN("",TRUE,IF(ISERR(MID(C2493,ROW(INDIRECT("1:100")),1)+0),MID(C2493,ROW(INDIRECT("1:100")),1),"")),")",""),"(","")</f>
        <v/>
      </c>
    </row>
    <row r="2494" spans="8:8" x14ac:dyDescent="0.25">
      <c r="H2494" s="4" t="str">
        <f t="array" aca="1" ref="H2494" ca="1">SUBSTITUTE(SUBSTITUTE(_xlfn.TEXTJOIN("",TRUE,IF(ISERR(MID(C2494,ROW(INDIRECT("1:100")),1)+0),MID(C2494,ROW(INDIRECT("1:100")),1),"")),")",""),"(","")</f>
        <v/>
      </c>
    </row>
    <row r="2495" spans="8:8" x14ac:dyDescent="0.25">
      <c r="H2495" s="4" t="str">
        <f t="array" aca="1" ref="H2495" ca="1">SUBSTITUTE(SUBSTITUTE(_xlfn.TEXTJOIN("",TRUE,IF(ISERR(MID(C2495,ROW(INDIRECT("1:100")),1)+0),MID(C2495,ROW(INDIRECT("1:100")),1),"")),")",""),"(","")</f>
        <v/>
      </c>
    </row>
    <row r="2496" spans="8:8" x14ac:dyDescent="0.25">
      <c r="H2496" s="4" t="str">
        <f t="array" aca="1" ref="H2496" ca="1">SUBSTITUTE(SUBSTITUTE(_xlfn.TEXTJOIN("",TRUE,IF(ISERR(MID(C2496,ROW(INDIRECT("1:100")),1)+0),MID(C2496,ROW(INDIRECT("1:100")),1),"")),")",""),"(","")</f>
        <v/>
      </c>
    </row>
    <row r="2497" spans="8:8" x14ac:dyDescent="0.25">
      <c r="H2497" s="4" t="str">
        <f t="array" aca="1" ref="H2497" ca="1">SUBSTITUTE(SUBSTITUTE(_xlfn.TEXTJOIN("",TRUE,IF(ISERR(MID(C2497,ROW(INDIRECT("1:100")),1)+0),MID(C2497,ROW(INDIRECT("1:100")),1),"")),")",""),"(","")</f>
        <v/>
      </c>
    </row>
    <row r="2498" spans="8:8" x14ac:dyDescent="0.25">
      <c r="H2498" s="4" t="str">
        <f t="array" aca="1" ref="H2498" ca="1">SUBSTITUTE(SUBSTITUTE(_xlfn.TEXTJOIN("",TRUE,IF(ISERR(MID(C2498,ROW(INDIRECT("1:100")),1)+0),MID(C2498,ROW(INDIRECT("1:100")),1),"")),")",""),"(","")</f>
        <v/>
      </c>
    </row>
    <row r="2499" spans="8:8" x14ac:dyDescent="0.25">
      <c r="H2499" s="4" t="str">
        <f t="array" aca="1" ref="H2499" ca="1">SUBSTITUTE(SUBSTITUTE(_xlfn.TEXTJOIN("",TRUE,IF(ISERR(MID(C2499,ROW(INDIRECT("1:100")),1)+0),MID(C2499,ROW(INDIRECT("1:100")),1),"")),")",""),"(","")</f>
        <v/>
      </c>
    </row>
    <row r="2500" spans="8:8" x14ac:dyDescent="0.25">
      <c r="H2500" s="4" t="str">
        <f t="array" aca="1" ref="H2500" ca="1">SUBSTITUTE(SUBSTITUTE(_xlfn.TEXTJOIN("",TRUE,IF(ISERR(MID(C2500,ROW(INDIRECT("1:100")),1)+0),MID(C2500,ROW(INDIRECT("1:100")),1),"")),")",""),"(","")</f>
        <v/>
      </c>
    </row>
    <row r="2501" spans="8:8" x14ac:dyDescent="0.25">
      <c r="H2501" s="4" t="str">
        <f t="array" aca="1" ref="H2501" ca="1">SUBSTITUTE(SUBSTITUTE(_xlfn.TEXTJOIN("",TRUE,IF(ISERR(MID(C2501,ROW(INDIRECT("1:100")),1)+0),MID(C2501,ROW(INDIRECT("1:100")),1),"")),")",""),"(","")</f>
        <v/>
      </c>
    </row>
    <row r="2502" spans="8:8" x14ac:dyDescent="0.25">
      <c r="H2502" s="4" t="str">
        <f t="array" aca="1" ref="H2502" ca="1">SUBSTITUTE(SUBSTITUTE(_xlfn.TEXTJOIN("",TRUE,IF(ISERR(MID(C2502,ROW(INDIRECT("1:100")),1)+0),MID(C2502,ROW(INDIRECT("1:100")),1),"")),")",""),"(","")</f>
        <v/>
      </c>
    </row>
    <row r="2503" spans="8:8" x14ac:dyDescent="0.25">
      <c r="H2503" s="4" t="str">
        <f t="array" aca="1" ref="H2503" ca="1">SUBSTITUTE(SUBSTITUTE(_xlfn.TEXTJOIN("",TRUE,IF(ISERR(MID(C2503,ROW(INDIRECT("1:100")),1)+0),MID(C2503,ROW(INDIRECT("1:100")),1),"")),")",""),"(","")</f>
        <v/>
      </c>
    </row>
    <row r="2504" spans="8:8" x14ac:dyDescent="0.25">
      <c r="H2504" s="4" t="str">
        <f t="array" aca="1" ref="H2504" ca="1">SUBSTITUTE(SUBSTITUTE(_xlfn.TEXTJOIN("",TRUE,IF(ISERR(MID(C2504,ROW(INDIRECT("1:100")),1)+0),MID(C2504,ROW(INDIRECT("1:100")),1),"")),")",""),"(","")</f>
        <v/>
      </c>
    </row>
    <row r="2505" spans="8:8" x14ac:dyDescent="0.25">
      <c r="H2505" s="4" t="str">
        <f t="array" aca="1" ref="H2505" ca="1">SUBSTITUTE(SUBSTITUTE(_xlfn.TEXTJOIN("",TRUE,IF(ISERR(MID(C2505,ROW(INDIRECT("1:100")),1)+0),MID(C2505,ROW(INDIRECT("1:100")),1),"")),")",""),"(","")</f>
        <v/>
      </c>
    </row>
    <row r="2506" spans="8:8" x14ac:dyDescent="0.25">
      <c r="H2506" s="4" t="str">
        <f t="array" aca="1" ref="H2506" ca="1">SUBSTITUTE(SUBSTITUTE(_xlfn.TEXTJOIN("",TRUE,IF(ISERR(MID(C2506,ROW(INDIRECT("1:100")),1)+0),MID(C2506,ROW(INDIRECT("1:100")),1),"")),")",""),"(","")</f>
        <v/>
      </c>
    </row>
    <row r="2507" spans="8:8" x14ac:dyDescent="0.25">
      <c r="H2507" s="4" t="str">
        <f t="array" aca="1" ref="H2507" ca="1">SUBSTITUTE(SUBSTITUTE(_xlfn.TEXTJOIN("",TRUE,IF(ISERR(MID(C2507,ROW(INDIRECT("1:100")),1)+0),MID(C2507,ROW(INDIRECT("1:100")),1),"")),")",""),"(","")</f>
        <v/>
      </c>
    </row>
    <row r="2508" spans="8:8" x14ac:dyDescent="0.25">
      <c r="H2508" s="4" t="str">
        <f t="array" aca="1" ref="H2508" ca="1">SUBSTITUTE(SUBSTITUTE(_xlfn.TEXTJOIN("",TRUE,IF(ISERR(MID(C2508,ROW(INDIRECT("1:100")),1)+0),MID(C2508,ROW(INDIRECT("1:100")),1),"")),")",""),"(","")</f>
        <v/>
      </c>
    </row>
    <row r="2509" spans="8:8" x14ac:dyDescent="0.25">
      <c r="H2509" s="4" t="str">
        <f t="array" aca="1" ref="H2509" ca="1">SUBSTITUTE(SUBSTITUTE(_xlfn.TEXTJOIN("",TRUE,IF(ISERR(MID(C2509,ROW(INDIRECT("1:100")),1)+0),MID(C2509,ROW(INDIRECT("1:100")),1),"")),")",""),"(","")</f>
        <v/>
      </c>
    </row>
    <row r="2510" spans="8:8" x14ac:dyDescent="0.25">
      <c r="H2510" s="4" t="str">
        <f t="array" aca="1" ref="H2510" ca="1">SUBSTITUTE(SUBSTITUTE(_xlfn.TEXTJOIN("",TRUE,IF(ISERR(MID(C2510,ROW(INDIRECT("1:100")),1)+0),MID(C2510,ROW(INDIRECT("1:100")),1),"")),")",""),"(","")</f>
        <v/>
      </c>
    </row>
    <row r="2511" spans="8:8" x14ac:dyDescent="0.25">
      <c r="H2511" s="4" t="str">
        <f t="array" aca="1" ref="H2511" ca="1">SUBSTITUTE(SUBSTITUTE(_xlfn.TEXTJOIN("",TRUE,IF(ISERR(MID(C2511,ROW(INDIRECT("1:100")),1)+0),MID(C2511,ROW(INDIRECT("1:100")),1),"")),")",""),"(","")</f>
        <v/>
      </c>
    </row>
    <row r="2512" spans="8:8" x14ac:dyDescent="0.25">
      <c r="H2512" s="4" t="str">
        <f t="array" aca="1" ref="H2512" ca="1">SUBSTITUTE(SUBSTITUTE(_xlfn.TEXTJOIN("",TRUE,IF(ISERR(MID(C2512,ROW(INDIRECT("1:100")),1)+0),MID(C2512,ROW(INDIRECT("1:100")),1),"")),")",""),"(","")</f>
        <v/>
      </c>
    </row>
    <row r="2513" spans="8:8" x14ac:dyDescent="0.25">
      <c r="H2513" s="4" t="str">
        <f t="array" aca="1" ref="H2513" ca="1">SUBSTITUTE(SUBSTITUTE(_xlfn.TEXTJOIN("",TRUE,IF(ISERR(MID(C2513,ROW(INDIRECT("1:100")),1)+0),MID(C2513,ROW(INDIRECT("1:100")),1),"")),")",""),"(","")</f>
        <v/>
      </c>
    </row>
    <row r="2514" spans="8:8" x14ac:dyDescent="0.25">
      <c r="H2514" s="4" t="str">
        <f t="array" aca="1" ref="H2514" ca="1">SUBSTITUTE(SUBSTITUTE(_xlfn.TEXTJOIN("",TRUE,IF(ISERR(MID(C2514,ROW(INDIRECT("1:100")),1)+0),MID(C2514,ROW(INDIRECT("1:100")),1),"")),")",""),"(","")</f>
        <v/>
      </c>
    </row>
    <row r="2515" spans="8:8" x14ac:dyDescent="0.25">
      <c r="H2515" s="4" t="str">
        <f t="array" aca="1" ref="H2515" ca="1">SUBSTITUTE(SUBSTITUTE(_xlfn.TEXTJOIN("",TRUE,IF(ISERR(MID(C2515,ROW(INDIRECT("1:100")),1)+0),MID(C2515,ROW(INDIRECT("1:100")),1),"")),")",""),"(","")</f>
        <v/>
      </c>
    </row>
    <row r="2516" spans="8:8" x14ac:dyDescent="0.25">
      <c r="H2516" s="4" t="str">
        <f t="array" aca="1" ref="H2516" ca="1">SUBSTITUTE(SUBSTITUTE(_xlfn.TEXTJOIN("",TRUE,IF(ISERR(MID(C2516,ROW(INDIRECT("1:100")),1)+0),MID(C2516,ROW(INDIRECT("1:100")),1),"")),")",""),"(","")</f>
        <v/>
      </c>
    </row>
    <row r="2517" spans="8:8" x14ac:dyDescent="0.25">
      <c r="H2517" s="4" t="str">
        <f t="array" aca="1" ref="H2517" ca="1">SUBSTITUTE(SUBSTITUTE(_xlfn.TEXTJOIN("",TRUE,IF(ISERR(MID(C2517,ROW(INDIRECT("1:100")),1)+0),MID(C2517,ROW(INDIRECT("1:100")),1),"")),")",""),"(","")</f>
        <v/>
      </c>
    </row>
    <row r="2518" spans="8:8" x14ac:dyDescent="0.25">
      <c r="H2518" s="4" t="str">
        <f t="array" aca="1" ref="H2518" ca="1">SUBSTITUTE(SUBSTITUTE(_xlfn.TEXTJOIN("",TRUE,IF(ISERR(MID(C2518,ROW(INDIRECT("1:100")),1)+0),MID(C2518,ROW(INDIRECT("1:100")),1),"")),")",""),"(","")</f>
        <v/>
      </c>
    </row>
    <row r="2519" spans="8:8" x14ac:dyDescent="0.25">
      <c r="H2519" s="4" t="str">
        <f t="array" aca="1" ref="H2519" ca="1">SUBSTITUTE(SUBSTITUTE(_xlfn.TEXTJOIN("",TRUE,IF(ISERR(MID(C2519,ROW(INDIRECT("1:100")),1)+0),MID(C2519,ROW(INDIRECT("1:100")),1),"")),")",""),"(","")</f>
        <v/>
      </c>
    </row>
    <row r="2520" spans="8:8" x14ac:dyDescent="0.25">
      <c r="H2520" s="4" t="str">
        <f t="array" aca="1" ref="H2520" ca="1">SUBSTITUTE(SUBSTITUTE(_xlfn.TEXTJOIN("",TRUE,IF(ISERR(MID(C2520,ROW(INDIRECT("1:100")),1)+0),MID(C2520,ROW(INDIRECT("1:100")),1),"")),")",""),"(","")</f>
        <v/>
      </c>
    </row>
    <row r="2521" spans="8:8" x14ac:dyDescent="0.25">
      <c r="H2521" s="4" t="str">
        <f t="array" aca="1" ref="H2521" ca="1">SUBSTITUTE(SUBSTITUTE(_xlfn.TEXTJOIN("",TRUE,IF(ISERR(MID(C2521,ROW(INDIRECT("1:100")),1)+0),MID(C2521,ROW(INDIRECT("1:100")),1),"")),")",""),"(","")</f>
        <v/>
      </c>
    </row>
    <row r="2522" spans="8:8" x14ac:dyDescent="0.25">
      <c r="H2522" s="4" t="str">
        <f t="array" aca="1" ref="H2522" ca="1">SUBSTITUTE(SUBSTITUTE(_xlfn.TEXTJOIN("",TRUE,IF(ISERR(MID(C2522,ROW(INDIRECT("1:100")),1)+0),MID(C2522,ROW(INDIRECT("1:100")),1),"")),")",""),"(","")</f>
        <v/>
      </c>
    </row>
    <row r="2523" spans="8:8" x14ac:dyDescent="0.25">
      <c r="H2523" s="4" t="str">
        <f t="array" aca="1" ref="H2523" ca="1">SUBSTITUTE(SUBSTITUTE(_xlfn.TEXTJOIN("",TRUE,IF(ISERR(MID(C2523,ROW(INDIRECT("1:100")),1)+0),MID(C2523,ROW(INDIRECT("1:100")),1),"")),")",""),"(","")</f>
        <v/>
      </c>
    </row>
    <row r="2524" spans="8:8" x14ac:dyDescent="0.25">
      <c r="H2524" s="4" t="str">
        <f t="array" aca="1" ref="H2524" ca="1">SUBSTITUTE(SUBSTITUTE(_xlfn.TEXTJOIN("",TRUE,IF(ISERR(MID(C2524,ROW(INDIRECT("1:100")),1)+0),MID(C2524,ROW(INDIRECT("1:100")),1),"")),")",""),"(","")</f>
        <v/>
      </c>
    </row>
    <row r="2525" spans="8:8" x14ac:dyDescent="0.25">
      <c r="H2525" s="4" t="str">
        <f t="array" aca="1" ref="H2525" ca="1">SUBSTITUTE(SUBSTITUTE(_xlfn.TEXTJOIN("",TRUE,IF(ISERR(MID(C2525,ROW(INDIRECT("1:100")),1)+0),MID(C2525,ROW(INDIRECT("1:100")),1),"")),")",""),"(","")</f>
        <v/>
      </c>
    </row>
    <row r="2526" spans="8:8" x14ac:dyDescent="0.25">
      <c r="H2526" s="4" t="str">
        <f t="array" aca="1" ref="H2526" ca="1">SUBSTITUTE(SUBSTITUTE(_xlfn.TEXTJOIN("",TRUE,IF(ISERR(MID(C2526,ROW(INDIRECT("1:100")),1)+0),MID(C2526,ROW(INDIRECT("1:100")),1),"")),")",""),"(","")</f>
        <v/>
      </c>
    </row>
    <row r="2527" spans="8:8" x14ac:dyDescent="0.25">
      <c r="H2527" s="4" t="str">
        <f t="array" aca="1" ref="H2527" ca="1">SUBSTITUTE(SUBSTITUTE(_xlfn.TEXTJOIN("",TRUE,IF(ISERR(MID(C2527,ROW(INDIRECT("1:100")),1)+0),MID(C2527,ROW(INDIRECT("1:100")),1),"")),")",""),"(","")</f>
        <v/>
      </c>
    </row>
    <row r="2528" spans="8:8" x14ac:dyDescent="0.25">
      <c r="H2528" s="4" t="str">
        <f t="array" aca="1" ref="H2528" ca="1">SUBSTITUTE(SUBSTITUTE(_xlfn.TEXTJOIN("",TRUE,IF(ISERR(MID(C2528,ROW(INDIRECT("1:100")),1)+0),MID(C2528,ROW(INDIRECT("1:100")),1),"")),")",""),"(","")</f>
        <v/>
      </c>
    </row>
    <row r="2529" spans="8:8" x14ac:dyDescent="0.25">
      <c r="H2529" s="4" t="str">
        <f t="array" aca="1" ref="H2529" ca="1">SUBSTITUTE(SUBSTITUTE(_xlfn.TEXTJOIN("",TRUE,IF(ISERR(MID(C2529,ROW(INDIRECT("1:100")),1)+0),MID(C2529,ROW(INDIRECT("1:100")),1),"")),")",""),"(","")</f>
        <v/>
      </c>
    </row>
    <row r="2530" spans="8:8" x14ac:dyDescent="0.25">
      <c r="H2530" s="4" t="str">
        <f t="array" aca="1" ref="H2530" ca="1">SUBSTITUTE(SUBSTITUTE(_xlfn.TEXTJOIN("",TRUE,IF(ISERR(MID(C2530,ROW(INDIRECT("1:100")),1)+0),MID(C2530,ROW(INDIRECT("1:100")),1),"")),")",""),"(","")</f>
        <v/>
      </c>
    </row>
    <row r="2531" spans="8:8" x14ac:dyDescent="0.25">
      <c r="H2531" s="4" t="str">
        <f t="array" aca="1" ref="H2531" ca="1">SUBSTITUTE(SUBSTITUTE(_xlfn.TEXTJOIN("",TRUE,IF(ISERR(MID(C2531,ROW(INDIRECT("1:100")),1)+0),MID(C2531,ROW(INDIRECT("1:100")),1),"")),")",""),"(","")</f>
        <v/>
      </c>
    </row>
    <row r="2532" spans="8:8" x14ac:dyDescent="0.25">
      <c r="H2532" s="4" t="str">
        <f t="array" aca="1" ref="H2532" ca="1">SUBSTITUTE(SUBSTITUTE(_xlfn.TEXTJOIN("",TRUE,IF(ISERR(MID(C2532,ROW(INDIRECT("1:100")),1)+0),MID(C2532,ROW(INDIRECT("1:100")),1),"")),")",""),"(","")</f>
        <v/>
      </c>
    </row>
    <row r="2533" spans="8:8" x14ac:dyDescent="0.25">
      <c r="H2533" s="4" t="str">
        <f t="array" aca="1" ref="H2533" ca="1">SUBSTITUTE(SUBSTITUTE(_xlfn.TEXTJOIN("",TRUE,IF(ISERR(MID(C2533,ROW(INDIRECT("1:100")),1)+0),MID(C2533,ROW(INDIRECT("1:100")),1),"")),")",""),"(","")</f>
        <v/>
      </c>
    </row>
    <row r="2534" spans="8:8" x14ac:dyDescent="0.25">
      <c r="H2534" s="4" t="str">
        <f t="array" aca="1" ref="H2534" ca="1">SUBSTITUTE(SUBSTITUTE(_xlfn.TEXTJOIN("",TRUE,IF(ISERR(MID(C2534,ROW(INDIRECT("1:100")),1)+0),MID(C2534,ROW(INDIRECT("1:100")),1),"")),")",""),"(","")</f>
        <v/>
      </c>
    </row>
    <row r="2535" spans="8:8" x14ac:dyDescent="0.25">
      <c r="H2535" s="4" t="str">
        <f t="array" aca="1" ref="H2535" ca="1">SUBSTITUTE(SUBSTITUTE(_xlfn.TEXTJOIN("",TRUE,IF(ISERR(MID(C2535,ROW(INDIRECT("1:100")),1)+0),MID(C2535,ROW(INDIRECT("1:100")),1),"")),")",""),"(","")</f>
        <v/>
      </c>
    </row>
    <row r="2536" spans="8:8" x14ac:dyDescent="0.25">
      <c r="H2536" s="4" t="str">
        <f t="array" aca="1" ref="H2536" ca="1">SUBSTITUTE(SUBSTITUTE(_xlfn.TEXTJOIN("",TRUE,IF(ISERR(MID(C2536,ROW(INDIRECT("1:100")),1)+0),MID(C2536,ROW(INDIRECT("1:100")),1),"")),")",""),"(","")</f>
        <v/>
      </c>
    </row>
    <row r="2537" spans="8:8" x14ac:dyDescent="0.25">
      <c r="H2537" s="4" t="str">
        <f t="array" aca="1" ref="H2537" ca="1">SUBSTITUTE(SUBSTITUTE(_xlfn.TEXTJOIN("",TRUE,IF(ISERR(MID(C2537,ROW(INDIRECT("1:100")),1)+0),MID(C2537,ROW(INDIRECT("1:100")),1),"")),")",""),"(","")</f>
        <v/>
      </c>
    </row>
    <row r="2538" spans="8:8" x14ac:dyDescent="0.25">
      <c r="H2538" s="4" t="str">
        <f t="array" aca="1" ref="H2538" ca="1">SUBSTITUTE(SUBSTITUTE(_xlfn.TEXTJOIN("",TRUE,IF(ISERR(MID(C2538,ROW(INDIRECT("1:100")),1)+0),MID(C2538,ROW(INDIRECT("1:100")),1),"")),")",""),"(","")</f>
        <v/>
      </c>
    </row>
    <row r="2539" spans="8:8" x14ac:dyDescent="0.25">
      <c r="H2539" s="4" t="str">
        <f t="array" aca="1" ref="H2539" ca="1">SUBSTITUTE(SUBSTITUTE(_xlfn.TEXTJOIN("",TRUE,IF(ISERR(MID(C2539,ROW(INDIRECT("1:100")),1)+0),MID(C2539,ROW(INDIRECT("1:100")),1),"")),")",""),"(","")</f>
        <v/>
      </c>
    </row>
    <row r="2540" spans="8:8" x14ac:dyDescent="0.25">
      <c r="H2540" s="4" t="str">
        <f t="array" aca="1" ref="H2540" ca="1">SUBSTITUTE(SUBSTITUTE(_xlfn.TEXTJOIN("",TRUE,IF(ISERR(MID(C2540,ROW(INDIRECT("1:100")),1)+0),MID(C2540,ROW(INDIRECT("1:100")),1),"")),")",""),"(","")</f>
        <v/>
      </c>
    </row>
    <row r="2541" spans="8:8" x14ac:dyDescent="0.25">
      <c r="H2541" s="4" t="str">
        <f t="array" aca="1" ref="H2541" ca="1">SUBSTITUTE(SUBSTITUTE(_xlfn.TEXTJOIN("",TRUE,IF(ISERR(MID(C2541,ROW(INDIRECT("1:100")),1)+0),MID(C2541,ROW(INDIRECT("1:100")),1),"")),")",""),"(","")</f>
        <v/>
      </c>
    </row>
    <row r="2542" spans="8:8" x14ac:dyDescent="0.25">
      <c r="H2542" s="4" t="str">
        <f t="array" aca="1" ref="H2542" ca="1">SUBSTITUTE(SUBSTITUTE(_xlfn.TEXTJOIN("",TRUE,IF(ISERR(MID(C2542,ROW(INDIRECT("1:100")),1)+0),MID(C2542,ROW(INDIRECT("1:100")),1),"")),")",""),"(","")</f>
        <v/>
      </c>
    </row>
    <row r="2543" spans="8:8" x14ac:dyDescent="0.25">
      <c r="H2543" s="4" t="str">
        <f t="array" aca="1" ref="H2543" ca="1">SUBSTITUTE(SUBSTITUTE(_xlfn.TEXTJOIN("",TRUE,IF(ISERR(MID(C2543,ROW(INDIRECT("1:100")),1)+0),MID(C2543,ROW(INDIRECT("1:100")),1),"")),")",""),"(","")</f>
        <v/>
      </c>
    </row>
    <row r="2544" spans="8:8" x14ac:dyDescent="0.25">
      <c r="H2544" s="4" t="str">
        <f t="array" aca="1" ref="H2544" ca="1">SUBSTITUTE(SUBSTITUTE(_xlfn.TEXTJOIN("",TRUE,IF(ISERR(MID(C2544,ROW(INDIRECT("1:100")),1)+0),MID(C2544,ROW(INDIRECT("1:100")),1),"")),")",""),"(","")</f>
        <v/>
      </c>
    </row>
    <row r="2545" spans="8:8" x14ac:dyDescent="0.25">
      <c r="H2545" s="4" t="str">
        <f t="array" aca="1" ref="H2545" ca="1">SUBSTITUTE(SUBSTITUTE(_xlfn.TEXTJOIN("",TRUE,IF(ISERR(MID(C2545,ROW(INDIRECT("1:100")),1)+0),MID(C2545,ROW(INDIRECT("1:100")),1),"")),")",""),"(","")</f>
        <v/>
      </c>
    </row>
    <row r="2546" spans="8:8" x14ac:dyDescent="0.25">
      <c r="H2546" s="4" t="str">
        <f t="array" aca="1" ref="H2546" ca="1">SUBSTITUTE(SUBSTITUTE(_xlfn.TEXTJOIN("",TRUE,IF(ISERR(MID(C2546,ROW(INDIRECT("1:100")),1)+0),MID(C2546,ROW(INDIRECT("1:100")),1),"")),")",""),"(","")</f>
        <v/>
      </c>
    </row>
    <row r="2547" spans="8:8" x14ac:dyDescent="0.25">
      <c r="H2547" s="4" t="str">
        <f t="array" aca="1" ref="H2547" ca="1">SUBSTITUTE(SUBSTITUTE(_xlfn.TEXTJOIN("",TRUE,IF(ISERR(MID(C2547,ROW(INDIRECT("1:100")),1)+0),MID(C2547,ROW(INDIRECT("1:100")),1),"")),")",""),"(","")</f>
        <v/>
      </c>
    </row>
    <row r="2548" spans="8:8" x14ac:dyDescent="0.25">
      <c r="H2548" s="4" t="str">
        <f t="array" aca="1" ref="H2548" ca="1">SUBSTITUTE(SUBSTITUTE(_xlfn.TEXTJOIN("",TRUE,IF(ISERR(MID(C2548,ROW(INDIRECT("1:100")),1)+0),MID(C2548,ROW(INDIRECT("1:100")),1),"")),")",""),"(","")</f>
        <v/>
      </c>
    </row>
    <row r="2549" spans="8:8" x14ac:dyDescent="0.25">
      <c r="H2549" s="4" t="str">
        <f t="array" aca="1" ref="H2549" ca="1">SUBSTITUTE(SUBSTITUTE(_xlfn.TEXTJOIN("",TRUE,IF(ISERR(MID(C2549,ROW(INDIRECT("1:100")),1)+0),MID(C2549,ROW(INDIRECT("1:100")),1),"")),")",""),"(","")</f>
        <v/>
      </c>
    </row>
    <row r="2550" spans="8:8" x14ac:dyDescent="0.25">
      <c r="H2550" s="4" t="str">
        <f t="array" aca="1" ref="H2550" ca="1">SUBSTITUTE(SUBSTITUTE(_xlfn.TEXTJOIN("",TRUE,IF(ISERR(MID(C2550,ROW(INDIRECT("1:100")),1)+0),MID(C2550,ROW(INDIRECT("1:100")),1),"")),")",""),"(","")</f>
        <v/>
      </c>
    </row>
    <row r="2551" spans="8:8" x14ac:dyDescent="0.25">
      <c r="H2551" s="4" t="str">
        <f t="array" aca="1" ref="H2551" ca="1">SUBSTITUTE(SUBSTITUTE(_xlfn.TEXTJOIN("",TRUE,IF(ISERR(MID(C2551,ROW(INDIRECT("1:100")),1)+0),MID(C2551,ROW(INDIRECT("1:100")),1),"")),")",""),"(","")</f>
        <v/>
      </c>
    </row>
    <row r="2552" spans="8:8" x14ac:dyDescent="0.25">
      <c r="H2552" s="4" t="str">
        <f t="array" aca="1" ref="H2552" ca="1">SUBSTITUTE(SUBSTITUTE(_xlfn.TEXTJOIN("",TRUE,IF(ISERR(MID(C2552,ROW(INDIRECT("1:100")),1)+0),MID(C2552,ROW(INDIRECT("1:100")),1),"")),")",""),"(","")</f>
        <v/>
      </c>
    </row>
    <row r="2553" spans="8:8" x14ac:dyDescent="0.25">
      <c r="H2553" s="4" t="str">
        <f t="array" aca="1" ref="H2553" ca="1">SUBSTITUTE(SUBSTITUTE(_xlfn.TEXTJOIN("",TRUE,IF(ISERR(MID(C2553,ROW(INDIRECT("1:100")),1)+0),MID(C2553,ROW(INDIRECT("1:100")),1),"")),")",""),"(","")</f>
        <v/>
      </c>
    </row>
    <row r="2554" spans="8:8" x14ac:dyDescent="0.25">
      <c r="H2554" s="4" t="str">
        <f t="array" aca="1" ref="H2554" ca="1">SUBSTITUTE(SUBSTITUTE(_xlfn.TEXTJOIN("",TRUE,IF(ISERR(MID(C2554,ROW(INDIRECT("1:100")),1)+0),MID(C2554,ROW(INDIRECT("1:100")),1),"")),")",""),"(","")</f>
        <v/>
      </c>
    </row>
    <row r="2555" spans="8:8" x14ac:dyDescent="0.25">
      <c r="H2555" s="4" t="str">
        <f t="array" aca="1" ref="H2555" ca="1">SUBSTITUTE(SUBSTITUTE(_xlfn.TEXTJOIN("",TRUE,IF(ISERR(MID(C2555,ROW(INDIRECT("1:100")),1)+0),MID(C2555,ROW(INDIRECT("1:100")),1),"")),")",""),"(","")</f>
        <v/>
      </c>
    </row>
    <row r="2556" spans="8:8" x14ac:dyDescent="0.25">
      <c r="H2556" s="4" t="str">
        <f t="array" aca="1" ref="H2556" ca="1">SUBSTITUTE(SUBSTITUTE(_xlfn.TEXTJOIN("",TRUE,IF(ISERR(MID(C2556,ROW(INDIRECT("1:100")),1)+0),MID(C2556,ROW(INDIRECT("1:100")),1),"")),")",""),"(","")</f>
        <v/>
      </c>
    </row>
    <row r="2557" spans="8:8" x14ac:dyDescent="0.25">
      <c r="H2557" s="4" t="str">
        <f t="array" aca="1" ref="H2557" ca="1">SUBSTITUTE(SUBSTITUTE(_xlfn.TEXTJOIN("",TRUE,IF(ISERR(MID(C2557,ROW(INDIRECT("1:100")),1)+0),MID(C2557,ROW(INDIRECT("1:100")),1),"")),")",""),"(","")</f>
        <v/>
      </c>
    </row>
    <row r="2558" spans="8:8" x14ac:dyDescent="0.25">
      <c r="H2558" s="4" t="str">
        <f t="array" aca="1" ref="H2558" ca="1">SUBSTITUTE(SUBSTITUTE(_xlfn.TEXTJOIN("",TRUE,IF(ISERR(MID(C2558,ROW(INDIRECT("1:100")),1)+0),MID(C2558,ROW(INDIRECT("1:100")),1),"")),")",""),"(","")</f>
        <v/>
      </c>
    </row>
    <row r="2559" spans="8:8" x14ac:dyDescent="0.25">
      <c r="H2559" s="4" t="str">
        <f t="array" aca="1" ref="H2559" ca="1">SUBSTITUTE(SUBSTITUTE(_xlfn.TEXTJOIN("",TRUE,IF(ISERR(MID(C2559,ROW(INDIRECT("1:100")),1)+0),MID(C2559,ROW(INDIRECT("1:100")),1),"")),")",""),"(","")</f>
        <v/>
      </c>
    </row>
    <row r="2560" spans="8:8" x14ac:dyDescent="0.25">
      <c r="H2560" s="4" t="str">
        <f t="array" aca="1" ref="H2560" ca="1">SUBSTITUTE(SUBSTITUTE(_xlfn.TEXTJOIN("",TRUE,IF(ISERR(MID(C2560,ROW(INDIRECT("1:100")),1)+0),MID(C2560,ROW(INDIRECT("1:100")),1),"")),")",""),"(","")</f>
        <v/>
      </c>
    </row>
    <row r="2561" spans="8:8" x14ac:dyDescent="0.25">
      <c r="H2561" s="4" t="str">
        <f t="array" aca="1" ref="H2561" ca="1">SUBSTITUTE(SUBSTITUTE(_xlfn.TEXTJOIN("",TRUE,IF(ISERR(MID(C2561,ROW(INDIRECT("1:100")),1)+0),MID(C2561,ROW(INDIRECT("1:100")),1),"")),")",""),"(","")</f>
        <v/>
      </c>
    </row>
    <row r="2562" spans="8:8" x14ac:dyDescent="0.25">
      <c r="H2562" s="4" t="str">
        <f t="array" aca="1" ref="H2562" ca="1">SUBSTITUTE(SUBSTITUTE(_xlfn.TEXTJOIN("",TRUE,IF(ISERR(MID(C2562,ROW(INDIRECT("1:100")),1)+0),MID(C2562,ROW(INDIRECT("1:100")),1),"")),")",""),"(","")</f>
        <v/>
      </c>
    </row>
    <row r="2563" spans="8:8" x14ac:dyDescent="0.25">
      <c r="H2563" s="4" t="str">
        <f t="array" aca="1" ref="H2563" ca="1">SUBSTITUTE(SUBSTITUTE(_xlfn.TEXTJOIN("",TRUE,IF(ISERR(MID(C2563,ROW(INDIRECT("1:100")),1)+0),MID(C2563,ROW(INDIRECT("1:100")),1),"")),")",""),"(","")</f>
        <v/>
      </c>
    </row>
    <row r="2564" spans="8:8" x14ac:dyDescent="0.25">
      <c r="H2564" s="4" t="str">
        <f t="array" aca="1" ref="H2564" ca="1">SUBSTITUTE(SUBSTITUTE(_xlfn.TEXTJOIN("",TRUE,IF(ISERR(MID(C2564,ROW(INDIRECT("1:100")),1)+0),MID(C2564,ROW(INDIRECT("1:100")),1),"")),")",""),"(","")</f>
        <v/>
      </c>
    </row>
    <row r="2565" spans="8:8" x14ac:dyDescent="0.25">
      <c r="H2565" s="4" t="str">
        <f t="array" aca="1" ref="H2565" ca="1">SUBSTITUTE(SUBSTITUTE(_xlfn.TEXTJOIN("",TRUE,IF(ISERR(MID(C2565,ROW(INDIRECT("1:100")),1)+0),MID(C2565,ROW(INDIRECT("1:100")),1),"")),")",""),"(","")</f>
        <v/>
      </c>
    </row>
    <row r="2566" spans="8:8" x14ac:dyDescent="0.25">
      <c r="H2566" s="4" t="str">
        <f t="array" aca="1" ref="H2566" ca="1">SUBSTITUTE(SUBSTITUTE(_xlfn.TEXTJOIN("",TRUE,IF(ISERR(MID(C2566,ROW(INDIRECT("1:100")),1)+0),MID(C2566,ROW(INDIRECT("1:100")),1),"")),")",""),"(","")</f>
        <v/>
      </c>
    </row>
    <row r="2567" spans="8:8" x14ac:dyDescent="0.25">
      <c r="H2567" s="4" t="str">
        <f t="array" aca="1" ref="H2567" ca="1">SUBSTITUTE(SUBSTITUTE(_xlfn.TEXTJOIN("",TRUE,IF(ISERR(MID(C2567,ROW(INDIRECT("1:100")),1)+0),MID(C2567,ROW(INDIRECT("1:100")),1),"")),")",""),"(","")</f>
        <v/>
      </c>
    </row>
    <row r="2568" spans="8:8" x14ac:dyDescent="0.25">
      <c r="H2568" s="4" t="str">
        <f t="array" aca="1" ref="H2568" ca="1">SUBSTITUTE(SUBSTITUTE(_xlfn.TEXTJOIN("",TRUE,IF(ISERR(MID(C2568,ROW(INDIRECT("1:100")),1)+0),MID(C2568,ROW(INDIRECT("1:100")),1),"")),")",""),"(","")</f>
        <v/>
      </c>
    </row>
    <row r="2569" spans="8:8" x14ac:dyDescent="0.25">
      <c r="H2569" s="4" t="str">
        <f t="array" aca="1" ref="H2569" ca="1">SUBSTITUTE(SUBSTITUTE(_xlfn.TEXTJOIN("",TRUE,IF(ISERR(MID(C2569,ROW(INDIRECT("1:100")),1)+0),MID(C2569,ROW(INDIRECT("1:100")),1),"")),")",""),"(","")</f>
        <v/>
      </c>
    </row>
    <row r="2570" spans="8:8" x14ac:dyDescent="0.25">
      <c r="H2570" s="4" t="str">
        <f t="array" aca="1" ref="H2570" ca="1">SUBSTITUTE(SUBSTITUTE(_xlfn.TEXTJOIN("",TRUE,IF(ISERR(MID(C2570,ROW(INDIRECT("1:100")),1)+0),MID(C2570,ROW(INDIRECT("1:100")),1),"")),")",""),"(","")</f>
        <v/>
      </c>
    </row>
    <row r="2571" spans="8:8" x14ac:dyDescent="0.25">
      <c r="H2571" s="4" t="str">
        <f t="array" aca="1" ref="H2571" ca="1">SUBSTITUTE(SUBSTITUTE(_xlfn.TEXTJOIN("",TRUE,IF(ISERR(MID(C2571,ROW(INDIRECT("1:100")),1)+0),MID(C2571,ROW(INDIRECT("1:100")),1),"")),")",""),"(","")</f>
        <v/>
      </c>
    </row>
    <row r="2572" spans="8:8" x14ac:dyDescent="0.25">
      <c r="H2572" s="4" t="str">
        <f t="array" aca="1" ref="H2572" ca="1">SUBSTITUTE(SUBSTITUTE(_xlfn.TEXTJOIN("",TRUE,IF(ISERR(MID(C2572,ROW(INDIRECT("1:100")),1)+0),MID(C2572,ROW(INDIRECT("1:100")),1),"")),")",""),"(","")</f>
        <v/>
      </c>
    </row>
    <row r="2573" spans="8:8" x14ac:dyDescent="0.25">
      <c r="H2573" s="4" t="str">
        <f t="array" aca="1" ref="H2573" ca="1">SUBSTITUTE(SUBSTITUTE(_xlfn.TEXTJOIN("",TRUE,IF(ISERR(MID(C2573,ROW(INDIRECT("1:100")),1)+0),MID(C2573,ROW(INDIRECT("1:100")),1),"")),")",""),"(","")</f>
        <v/>
      </c>
    </row>
    <row r="2574" spans="8:8" x14ac:dyDescent="0.25">
      <c r="H2574" s="4" t="str">
        <f t="array" aca="1" ref="H2574" ca="1">SUBSTITUTE(SUBSTITUTE(_xlfn.TEXTJOIN("",TRUE,IF(ISERR(MID(C2574,ROW(INDIRECT("1:100")),1)+0),MID(C2574,ROW(INDIRECT("1:100")),1),"")),")",""),"(","")</f>
        <v/>
      </c>
    </row>
    <row r="2575" spans="8:8" x14ac:dyDescent="0.25">
      <c r="H2575" s="4" t="str">
        <f t="array" aca="1" ref="H2575" ca="1">SUBSTITUTE(SUBSTITUTE(_xlfn.TEXTJOIN("",TRUE,IF(ISERR(MID(C2575,ROW(INDIRECT("1:100")),1)+0),MID(C2575,ROW(INDIRECT("1:100")),1),"")),")",""),"(","")</f>
        <v/>
      </c>
    </row>
    <row r="2576" spans="8:8" x14ac:dyDescent="0.25">
      <c r="H2576" s="4" t="str">
        <f t="array" aca="1" ref="H2576" ca="1">SUBSTITUTE(SUBSTITUTE(_xlfn.TEXTJOIN("",TRUE,IF(ISERR(MID(C2576,ROW(INDIRECT("1:100")),1)+0),MID(C2576,ROW(INDIRECT("1:100")),1),"")),")",""),"(","")</f>
        <v/>
      </c>
    </row>
    <row r="2577" spans="8:8" x14ac:dyDescent="0.25">
      <c r="H2577" s="4" t="str">
        <f t="array" aca="1" ref="H2577" ca="1">SUBSTITUTE(SUBSTITUTE(_xlfn.TEXTJOIN("",TRUE,IF(ISERR(MID(C2577,ROW(INDIRECT("1:100")),1)+0),MID(C2577,ROW(INDIRECT("1:100")),1),"")),")",""),"(","")</f>
        <v/>
      </c>
    </row>
    <row r="2578" spans="8:8" x14ac:dyDescent="0.25">
      <c r="H2578" s="4" t="str">
        <f t="array" aca="1" ref="H2578" ca="1">SUBSTITUTE(SUBSTITUTE(_xlfn.TEXTJOIN("",TRUE,IF(ISERR(MID(C2578,ROW(INDIRECT("1:100")),1)+0),MID(C2578,ROW(INDIRECT("1:100")),1),"")),")",""),"(","")</f>
        <v/>
      </c>
    </row>
    <row r="2579" spans="8:8" x14ac:dyDescent="0.25">
      <c r="H2579" s="4" t="str">
        <f t="array" aca="1" ref="H2579" ca="1">SUBSTITUTE(SUBSTITUTE(_xlfn.TEXTJOIN("",TRUE,IF(ISERR(MID(C2579,ROW(INDIRECT("1:100")),1)+0),MID(C2579,ROW(INDIRECT("1:100")),1),"")),")",""),"(","")</f>
        <v/>
      </c>
    </row>
    <row r="2580" spans="8:8" x14ac:dyDescent="0.25">
      <c r="H2580" s="4" t="str">
        <f t="array" aca="1" ref="H2580" ca="1">SUBSTITUTE(SUBSTITUTE(_xlfn.TEXTJOIN("",TRUE,IF(ISERR(MID(C2580,ROW(INDIRECT("1:100")),1)+0),MID(C2580,ROW(INDIRECT("1:100")),1),"")),")",""),"(","")</f>
        <v/>
      </c>
    </row>
    <row r="2581" spans="8:8" x14ac:dyDescent="0.25">
      <c r="H2581" s="4" t="str">
        <f t="array" aca="1" ref="H2581" ca="1">SUBSTITUTE(SUBSTITUTE(_xlfn.TEXTJOIN("",TRUE,IF(ISERR(MID(C2581,ROW(INDIRECT("1:100")),1)+0),MID(C2581,ROW(INDIRECT("1:100")),1),"")),")",""),"(","")</f>
        <v/>
      </c>
    </row>
    <row r="2582" spans="8:8" x14ac:dyDescent="0.25">
      <c r="H2582" s="4" t="str">
        <f t="array" aca="1" ref="H2582" ca="1">SUBSTITUTE(SUBSTITUTE(_xlfn.TEXTJOIN("",TRUE,IF(ISERR(MID(C2582,ROW(INDIRECT("1:100")),1)+0),MID(C2582,ROW(INDIRECT("1:100")),1),"")),")",""),"(","")</f>
        <v/>
      </c>
    </row>
    <row r="2583" spans="8:8" x14ac:dyDescent="0.25">
      <c r="H2583" s="4" t="str">
        <f t="array" aca="1" ref="H2583" ca="1">SUBSTITUTE(SUBSTITUTE(_xlfn.TEXTJOIN("",TRUE,IF(ISERR(MID(C2583,ROW(INDIRECT("1:100")),1)+0),MID(C2583,ROW(INDIRECT("1:100")),1),"")),")",""),"(","")</f>
        <v/>
      </c>
    </row>
    <row r="2584" spans="8:8" x14ac:dyDescent="0.25">
      <c r="H2584" s="4" t="str">
        <f t="array" aca="1" ref="H2584" ca="1">SUBSTITUTE(SUBSTITUTE(_xlfn.TEXTJOIN("",TRUE,IF(ISERR(MID(C2584,ROW(INDIRECT("1:100")),1)+0),MID(C2584,ROW(INDIRECT("1:100")),1),"")),")",""),"(","")</f>
        <v/>
      </c>
    </row>
    <row r="2585" spans="8:8" x14ac:dyDescent="0.25">
      <c r="H2585" s="4" t="str">
        <f t="array" aca="1" ref="H2585" ca="1">SUBSTITUTE(SUBSTITUTE(_xlfn.TEXTJOIN("",TRUE,IF(ISERR(MID(C2585,ROW(INDIRECT("1:100")),1)+0),MID(C2585,ROW(INDIRECT("1:100")),1),"")),")",""),"(","")</f>
        <v/>
      </c>
    </row>
    <row r="2586" spans="8:8" x14ac:dyDescent="0.25">
      <c r="H2586" s="4" t="str">
        <f t="array" aca="1" ref="H2586" ca="1">SUBSTITUTE(SUBSTITUTE(_xlfn.TEXTJOIN("",TRUE,IF(ISERR(MID(C2586,ROW(INDIRECT("1:100")),1)+0),MID(C2586,ROW(INDIRECT("1:100")),1),"")),")",""),"(","")</f>
        <v/>
      </c>
    </row>
    <row r="2587" spans="8:8" x14ac:dyDescent="0.25">
      <c r="H2587" s="4" t="str">
        <f t="array" aca="1" ref="H2587" ca="1">SUBSTITUTE(SUBSTITUTE(_xlfn.TEXTJOIN("",TRUE,IF(ISERR(MID(C2587,ROW(INDIRECT("1:100")),1)+0),MID(C2587,ROW(INDIRECT("1:100")),1),"")),")",""),"(","")</f>
        <v/>
      </c>
    </row>
    <row r="2588" spans="8:8" x14ac:dyDescent="0.25">
      <c r="H2588" s="4" t="str">
        <f t="array" aca="1" ref="H2588" ca="1">SUBSTITUTE(SUBSTITUTE(_xlfn.TEXTJOIN("",TRUE,IF(ISERR(MID(C2588,ROW(INDIRECT("1:100")),1)+0),MID(C2588,ROW(INDIRECT("1:100")),1),"")),")",""),"(","")</f>
        <v/>
      </c>
    </row>
    <row r="2589" spans="8:8" x14ac:dyDescent="0.25">
      <c r="H2589" s="4" t="str">
        <f t="array" aca="1" ref="H2589" ca="1">SUBSTITUTE(SUBSTITUTE(_xlfn.TEXTJOIN("",TRUE,IF(ISERR(MID(C2589,ROW(INDIRECT("1:100")),1)+0),MID(C2589,ROW(INDIRECT("1:100")),1),"")),")",""),"(","")</f>
        <v/>
      </c>
    </row>
    <row r="2590" spans="8:8" x14ac:dyDescent="0.25">
      <c r="H2590" s="4" t="str">
        <f t="array" aca="1" ref="H2590" ca="1">SUBSTITUTE(SUBSTITUTE(_xlfn.TEXTJOIN("",TRUE,IF(ISERR(MID(C2590,ROW(INDIRECT("1:100")),1)+0),MID(C2590,ROW(INDIRECT("1:100")),1),"")),")",""),"(","")</f>
        <v/>
      </c>
    </row>
    <row r="2591" spans="8:8" x14ac:dyDescent="0.25">
      <c r="H2591" s="4" t="str">
        <f t="array" aca="1" ref="H2591" ca="1">SUBSTITUTE(SUBSTITUTE(_xlfn.TEXTJOIN("",TRUE,IF(ISERR(MID(C2591,ROW(INDIRECT("1:100")),1)+0),MID(C2591,ROW(INDIRECT("1:100")),1),"")),")",""),"(","")</f>
        <v/>
      </c>
    </row>
    <row r="2592" spans="8:8" x14ac:dyDescent="0.25">
      <c r="H2592" s="4" t="str">
        <f t="array" aca="1" ref="H2592" ca="1">SUBSTITUTE(SUBSTITUTE(_xlfn.TEXTJOIN("",TRUE,IF(ISERR(MID(C2592,ROW(INDIRECT("1:100")),1)+0),MID(C2592,ROW(INDIRECT("1:100")),1),"")),")",""),"(","")</f>
        <v/>
      </c>
    </row>
    <row r="2593" spans="8:8" x14ac:dyDescent="0.25">
      <c r="H2593" s="4" t="str">
        <f t="array" aca="1" ref="H2593" ca="1">SUBSTITUTE(SUBSTITUTE(_xlfn.TEXTJOIN("",TRUE,IF(ISERR(MID(C2593,ROW(INDIRECT("1:100")),1)+0),MID(C2593,ROW(INDIRECT("1:100")),1),"")),")",""),"(","")</f>
        <v/>
      </c>
    </row>
    <row r="2594" spans="8:8" x14ac:dyDescent="0.25">
      <c r="H2594" s="4" t="str">
        <f t="array" aca="1" ref="H2594" ca="1">SUBSTITUTE(SUBSTITUTE(_xlfn.TEXTJOIN("",TRUE,IF(ISERR(MID(C2594,ROW(INDIRECT("1:100")),1)+0),MID(C2594,ROW(INDIRECT("1:100")),1),"")),")",""),"(","")</f>
        <v/>
      </c>
    </row>
    <row r="2595" spans="8:8" x14ac:dyDescent="0.25">
      <c r="H2595" s="4" t="str">
        <f t="array" aca="1" ref="H2595" ca="1">SUBSTITUTE(SUBSTITUTE(_xlfn.TEXTJOIN("",TRUE,IF(ISERR(MID(C2595,ROW(INDIRECT("1:100")),1)+0),MID(C2595,ROW(INDIRECT("1:100")),1),"")),")",""),"(","")</f>
        <v/>
      </c>
    </row>
    <row r="2596" spans="8:8" x14ac:dyDescent="0.25">
      <c r="H2596" s="4" t="str">
        <f t="array" aca="1" ref="H2596" ca="1">SUBSTITUTE(SUBSTITUTE(_xlfn.TEXTJOIN("",TRUE,IF(ISERR(MID(C2596,ROW(INDIRECT("1:100")),1)+0),MID(C2596,ROW(INDIRECT("1:100")),1),"")),")",""),"(","")</f>
        <v/>
      </c>
    </row>
    <row r="2597" spans="8:8" x14ac:dyDescent="0.25">
      <c r="H2597" s="4" t="str">
        <f t="array" aca="1" ref="H2597" ca="1">SUBSTITUTE(SUBSTITUTE(_xlfn.TEXTJOIN("",TRUE,IF(ISERR(MID(C2597,ROW(INDIRECT("1:100")),1)+0),MID(C2597,ROW(INDIRECT("1:100")),1),"")),")",""),"(","")</f>
        <v/>
      </c>
    </row>
    <row r="2598" spans="8:8" x14ac:dyDescent="0.25">
      <c r="H2598" s="4" t="str">
        <f t="array" aca="1" ref="H2598" ca="1">SUBSTITUTE(SUBSTITUTE(_xlfn.TEXTJOIN("",TRUE,IF(ISERR(MID(C2598,ROW(INDIRECT("1:100")),1)+0),MID(C2598,ROW(INDIRECT("1:100")),1),"")),")",""),"(","")</f>
        <v/>
      </c>
    </row>
    <row r="2599" spans="8:8" x14ac:dyDescent="0.25">
      <c r="H2599" s="4" t="str">
        <f t="array" aca="1" ref="H2599" ca="1">SUBSTITUTE(SUBSTITUTE(_xlfn.TEXTJOIN("",TRUE,IF(ISERR(MID(C2599,ROW(INDIRECT("1:100")),1)+0),MID(C2599,ROW(INDIRECT("1:100")),1),"")),")",""),"(","")</f>
        <v/>
      </c>
    </row>
    <row r="2600" spans="8:8" x14ac:dyDescent="0.25">
      <c r="H2600" s="4" t="str">
        <f t="array" aca="1" ref="H2600" ca="1">SUBSTITUTE(SUBSTITUTE(_xlfn.TEXTJOIN("",TRUE,IF(ISERR(MID(C2600,ROW(INDIRECT("1:100")),1)+0),MID(C2600,ROW(INDIRECT("1:100")),1),"")),")",""),"(","")</f>
        <v/>
      </c>
    </row>
    <row r="2601" spans="8:8" x14ac:dyDescent="0.25">
      <c r="H2601" s="4" t="str">
        <f t="array" aca="1" ref="H2601" ca="1">SUBSTITUTE(SUBSTITUTE(_xlfn.TEXTJOIN("",TRUE,IF(ISERR(MID(C2601,ROW(INDIRECT("1:100")),1)+0),MID(C2601,ROW(INDIRECT("1:100")),1),"")),")",""),"(","")</f>
        <v/>
      </c>
    </row>
    <row r="2602" spans="8:8" x14ac:dyDescent="0.25">
      <c r="H2602" s="4" t="str">
        <f t="array" aca="1" ref="H2602" ca="1">SUBSTITUTE(SUBSTITUTE(_xlfn.TEXTJOIN("",TRUE,IF(ISERR(MID(C2602,ROW(INDIRECT("1:100")),1)+0),MID(C2602,ROW(INDIRECT("1:100")),1),"")),")",""),"(","")</f>
        <v/>
      </c>
    </row>
    <row r="2603" spans="8:8" x14ac:dyDescent="0.25">
      <c r="H2603" s="4" t="str">
        <f t="array" aca="1" ref="H2603" ca="1">SUBSTITUTE(SUBSTITUTE(_xlfn.TEXTJOIN("",TRUE,IF(ISERR(MID(C2603,ROW(INDIRECT("1:100")),1)+0),MID(C2603,ROW(INDIRECT("1:100")),1),"")),")",""),"(","")</f>
        <v/>
      </c>
    </row>
    <row r="2604" spans="8:8" x14ac:dyDescent="0.25">
      <c r="H2604" s="4" t="str">
        <f t="array" aca="1" ref="H2604" ca="1">SUBSTITUTE(SUBSTITUTE(_xlfn.TEXTJOIN("",TRUE,IF(ISERR(MID(C2604,ROW(INDIRECT("1:100")),1)+0),MID(C2604,ROW(INDIRECT("1:100")),1),"")),")",""),"(","")</f>
        <v/>
      </c>
    </row>
    <row r="2605" spans="8:8" x14ac:dyDescent="0.25">
      <c r="H2605" s="4" t="str">
        <f t="array" aca="1" ref="H2605" ca="1">SUBSTITUTE(SUBSTITUTE(_xlfn.TEXTJOIN("",TRUE,IF(ISERR(MID(C2605,ROW(INDIRECT("1:100")),1)+0),MID(C2605,ROW(INDIRECT("1:100")),1),"")),")",""),"(","")</f>
        <v/>
      </c>
    </row>
    <row r="2606" spans="8:8" x14ac:dyDescent="0.25">
      <c r="H2606" s="4" t="str">
        <f t="array" aca="1" ref="H2606" ca="1">SUBSTITUTE(SUBSTITUTE(_xlfn.TEXTJOIN("",TRUE,IF(ISERR(MID(C2606,ROW(INDIRECT("1:100")),1)+0),MID(C2606,ROW(INDIRECT("1:100")),1),"")),")",""),"(","")</f>
        <v/>
      </c>
    </row>
    <row r="2607" spans="8:8" x14ac:dyDescent="0.25">
      <c r="H2607" s="4" t="str">
        <f t="array" aca="1" ref="H2607" ca="1">SUBSTITUTE(SUBSTITUTE(_xlfn.TEXTJOIN("",TRUE,IF(ISERR(MID(C2607,ROW(INDIRECT("1:100")),1)+0),MID(C2607,ROW(INDIRECT("1:100")),1),"")),")",""),"(","")</f>
        <v/>
      </c>
    </row>
    <row r="2608" spans="8:8" x14ac:dyDescent="0.25">
      <c r="H2608" s="4" t="str">
        <f t="array" aca="1" ref="H2608" ca="1">SUBSTITUTE(SUBSTITUTE(_xlfn.TEXTJOIN("",TRUE,IF(ISERR(MID(C2608,ROW(INDIRECT("1:100")),1)+0),MID(C2608,ROW(INDIRECT("1:100")),1),"")),")",""),"(","")</f>
        <v/>
      </c>
    </row>
    <row r="2609" spans="8:8" x14ac:dyDescent="0.25">
      <c r="H2609" s="4" t="str">
        <f t="array" aca="1" ref="H2609" ca="1">SUBSTITUTE(SUBSTITUTE(_xlfn.TEXTJOIN("",TRUE,IF(ISERR(MID(C2609,ROW(INDIRECT("1:100")),1)+0),MID(C2609,ROW(INDIRECT("1:100")),1),"")),")",""),"(","")</f>
        <v/>
      </c>
    </row>
    <row r="2610" spans="8:8" x14ac:dyDescent="0.25">
      <c r="H2610" s="4" t="str">
        <f t="array" aca="1" ref="H2610" ca="1">SUBSTITUTE(SUBSTITUTE(_xlfn.TEXTJOIN("",TRUE,IF(ISERR(MID(C2610,ROW(INDIRECT("1:100")),1)+0),MID(C2610,ROW(INDIRECT("1:100")),1),"")),")",""),"(","")</f>
        <v/>
      </c>
    </row>
    <row r="2611" spans="8:8" x14ac:dyDescent="0.25">
      <c r="H2611" s="4" t="str">
        <f t="array" aca="1" ref="H2611" ca="1">SUBSTITUTE(SUBSTITUTE(_xlfn.TEXTJOIN("",TRUE,IF(ISERR(MID(C2611,ROW(INDIRECT("1:100")),1)+0),MID(C2611,ROW(INDIRECT("1:100")),1),"")),")",""),"(","")</f>
        <v/>
      </c>
    </row>
    <row r="2612" spans="8:8" x14ac:dyDescent="0.25">
      <c r="H2612" s="4" t="str">
        <f t="array" aca="1" ref="H2612" ca="1">SUBSTITUTE(SUBSTITUTE(_xlfn.TEXTJOIN("",TRUE,IF(ISERR(MID(C2612,ROW(INDIRECT("1:100")),1)+0),MID(C2612,ROW(INDIRECT("1:100")),1),"")),")",""),"(","")</f>
        <v/>
      </c>
    </row>
    <row r="2613" spans="8:8" x14ac:dyDescent="0.25">
      <c r="H2613" s="4" t="str">
        <f t="array" aca="1" ref="H2613" ca="1">SUBSTITUTE(SUBSTITUTE(_xlfn.TEXTJOIN("",TRUE,IF(ISERR(MID(C2613,ROW(INDIRECT("1:100")),1)+0),MID(C2613,ROW(INDIRECT("1:100")),1),"")),")",""),"(","")</f>
        <v/>
      </c>
    </row>
    <row r="2614" spans="8:8" x14ac:dyDescent="0.25">
      <c r="H2614" s="4" t="str">
        <f t="array" aca="1" ref="H2614" ca="1">SUBSTITUTE(SUBSTITUTE(_xlfn.TEXTJOIN("",TRUE,IF(ISERR(MID(C2614,ROW(INDIRECT("1:100")),1)+0),MID(C2614,ROW(INDIRECT("1:100")),1),"")),")",""),"(","")</f>
        <v/>
      </c>
    </row>
    <row r="2615" spans="8:8" x14ac:dyDescent="0.25">
      <c r="H2615" s="4" t="str">
        <f t="array" aca="1" ref="H2615" ca="1">SUBSTITUTE(SUBSTITUTE(_xlfn.TEXTJOIN("",TRUE,IF(ISERR(MID(C2615,ROW(INDIRECT("1:100")),1)+0),MID(C2615,ROW(INDIRECT("1:100")),1),"")),")",""),"(","")</f>
        <v/>
      </c>
    </row>
    <row r="2616" spans="8:8" x14ac:dyDescent="0.25">
      <c r="H2616" s="4" t="str">
        <f t="array" aca="1" ref="H2616" ca="1">SUBSTITUTE(SUBSTITUTE(_xlfn.TEXTJOIN("",TRUE,IF(ISERR(MID(C2616,ROW(INDIRECT("1:100")),1)+0),MID(C2616,ROW(INDIRECT("1:100")),1),"")),")",""),"(","")</f>
        <v/>
      </c>
    </row>
    <row r="2617" spans="8:8" x14ac:dyDescent="0.25">
      <c r="H2617" s="4" t="str">
        <f t="array" aca="1" ref="H2617" ca="1">SUBSTITUTE(SUBSTITUTE(_xlfn.TEXTJOIN("",TRUE,IF(ISERR(MID(C2617,ROW(INDIRECT("1:100")),1)+0),MID(C2617,ROW(INDIRECT("1:100")),1),"")),")",""),"(","")</f>
        <v/>
      </c>
    </row>
    <row r="2618" spans="8:8" x14ac:dyDescent="0.25">
      <c r="H2618" s="4" t="str">
        <f t="array" aca="1" ref="H2618" ca="1">SUBSTITUTE(SUBSTITUTE(_xlfn.TEXTJOIN("",TRUE,IF(ISERR(MID(C2618,ROW(INDIRECT("1:100")),1)+0),MID(C2618,ROW(INDIRECT("1:100")),1),"")),")",""),"(","")</f>
        <v/>
      </c>
    </row>
    <row r="2619" spans="8:8" x14ac:dyDescent="0.25">
      <c r="H2619" s="4" t="str">
        <f t="array" aca="1" ref="H2619" ca="1">SUBSTITUTE(SUBSTITUTE(_xlfn.TEXTJOIN("",TRUE,IF(ISERR(MID(C2619,ROW(INDIRECT("1:100")),1)+0),MID(C2619,ROW(INDIRECT("1:100")),1),"")),")",""),"(","")</f>
        <v/>
      </c>
    </row>
    <row r="2620" spans="8:8" x14ac:dyDescent="0.25">
      <c r="H2620" s="4" t="str">
        <f t="array" aca="1" ref="H2620" ca="1">SUBSTITUTE(SUBSTITUTE(_xlfn.TEXTJOIN("",TRUE,IF(ISERR(MID(C2620,ROW(INDIRECT("1:100")),1)+0),MID(C2620,ROW(INDIRECT("1:100")),1),"")),")",""),"(","")</f>
        <v/>
      </c>
    </row>
    <row r="2621" spans="8:8" x14ac:dyDescent="0.25">
      <c r="H2621" s="4" t="str">
        <f t="array" aca="1" ref="H2621" ca="1">SUBSTITUTE(SUBSTITUTE(_xlfn.TEXTJOIN("",TRUE,IF(ISERR(MID(C2621,ROW(INDIRECT("1:100")),1)+0),MID(C2621,ROW(INDIRECT("1:100")),1),"")),")",""),"(","")</f>
        <v/>
      </c>
    </row>
    <row r="2622" spans="8:8" x14ac:dyDescent="0.25">
      <c r="H2622" s="4" t="str">
        <f t="array" aca="1" ref="H2622" ca="1">SUBSTITUTE(SUBSTITUTE(_xlfn.TEXTJOIN("",TRUE,IF(ISERR(MID(C2622,ROW(INDIRECT("1:100")),1)+0),MID(C2622,ROW(INDIRECT("1:100")),1),"")),")",""),"(","")</f>
        <v/>
      </c>
    </row>
    <row r="2623" spans="8:8" x14ac:dyDescent="0.25">
      <c r="H2623" s="4" t="str">
        <f t="array" aca="1" ref="H2623" ca="1">SUBSTITUTE(SUBSTITUTE(_xlfn.TEXTJOIN("",TRUE,IF(ISERR(MID(C2623,ROW(INDIRECT("1:100")),1)+0),MID(C2623,ROW(INDIRECT("1:100")),1),"")),")",""),"(","")</f>
        <v/>
      </c>
    </row>
    <row r="2624" spans="8:8" x14ac:dyDescent="0.25">
      <c r="H2624" s="4" t="str">
        <f t="array" aca="1" ref="H2624" ca="1">SUBSTITUTE(SUBSTITUTE(_xlfn.TEXTJOIN("",TRUE,IF(ISERR(MID(C2624,ROW(INDIRECT("1:100")),1)+0),MID(C2624,ROW(INDIRECT("1:100")),1),"")),")",""),"(","")</f>
        <v/>
      </c>
    </row>
    <row r="2625" spans="8:8" x14ac:dyDescent="0.25">
      <c r="H2625" s="4" t="str">
        <f t="array" aca="1" ref="H2625" ca="1">SUBSTITUTE(SUBSTITUTE(_xlfn.TEXTJOIN("",TRUE,IF(ISERR(MID(C2625,ROW(INDIRECT("1:100")),1)+0),MID(C2625,ROW(INDIRECT("1:100")),1),"")),")",""),"(","")</f>
        <v/>
      </c>
    </row>
    <row r="2626" spans="8:8" x14ac:dyDescent="0.25">
      <c r="H2626" s="4" t="str">
        <f t="array" aca="1" ref="H2626" ca="1">SUBSTITUTE(SUBSTITUTE(_xlfn.TEXTJOIN("",TRUE,IF(ISERR(MID(C2626,ROW(INDIRECT("1:100")),1)+0),MID(C2626,ROW(INDIRECT("1:100")),1),"")),")",""),"(","")</f>
        <v/>
      </c>
    </row>
    <row r="2627" spans="8:8" x14ac:dyDescent="0.25">
      <c r="H2627" s="4" t="str">
        <f t="array" aca="1" ref="H2627" ca="1">SUBSTITUTE(SUBSTITUTE(_xlfn.TEXTJOIN("",TRUE,IF(ISERR(MID(C2627,ROW(INDIRECT("1:100")),1)+0),MID(C2627,ROW(INDIRECT("1:100")),1),"")),")",""),"(","")</f>
        <v/>
      </c>
    </row>
    <row r="2628" spans="8:8" x14ac:dyDescent="0.25">
      <c r="H2628" s="4" t="str">
        <f t="array" aca="1" ref="H2628" ca="1">SUBSTITUTE(SUBSTITUTE(_xlfn.TEXTJOIN("",TRUE,IF(ISERR(MID(C2628,ROW(INDIRECT("1:100")),1)+0),MID(C2628,ROW(INDIRECT("1:100")),1),"")),")",""),"(","")</f>
        <v/>
      </c>
    </row>
    <row r="2629" spans="8:8" x14ac:dyDescent="0.25">
      <c r="H2629" s="4" t="str">
        <f t="array" aca="1" ref="H2629" ca="1">SUBSTITUTE(SUBSTITUTE(_xlfn.TEXTJOIN("",TRUE,IF(ISERR(MID(C2629,ROW(INDIRECT("1:100")),1)+0),MID(C2629,ROW(INDIRECT("1:100")),1),"")),")",""),"(","")</f>
        <v/>
      </c>
    </row>
    <row r="2630" spans="8:8" x14ac:dyDescent="0.25">
      <c r="H2630" s="4" t="str">
        <f t="array" aca="1" ref="H2630" ca="1">SUBSTITUTE(SUBSTITUTE(_xlfn.TEXTJOIN("",TRUE,IF(ISERR(MID(C2630,ROW(INDIRECT("1:100")),1)+0),MID(C2630,ROW(INDIRECT("1:100")),1),"")),")",""),"(","")</f>
        <v/>
      </c>
    </row>
    <row r="2631" spans="8:8" x14ac:dyDescent="0.25">
      <c r="H2631" s="4" t="str">
        <f t="array" aca="1" ref="H2631" ca="1">SUBSTITUTE(SUBSTITUTE(_xlfn.TEXTJOIN("",TRUE,IF(ISERR(MID(C2631,ROW(INDIRECT("1:100")),1)+0),MID(C2631,ROW(INDIRECT("1:100")),1),"")),")",""),"(","")</f>
        <v/>
      </c>
    </row>
    <row r="2632" spans="8:8" x14ac:dyDescent="0.25">
      <c r="H2632" s="4" t="str">
        <f t="array" aca="1" ref="H2632" ca="1">SUBSTITUTE(SUBSTITUTE(_xlfn.TEXTJOIN("",TRUE,IF(ISERR(MID(C2632,ROW(INDIRECT("1:100")),1)+0),MID(C2632,ROW(INDIRECT("1:100")),1),"")),")",""),"(","")</f>
        <v/>
      </c>
    </row>
    <row r="2633" spans="8:8" x14ac:dyDescent="0.25">
      <c r="H2633" s="4" t="str">
        <f t="array" aca="1" ref="H2633" ca="1">SUBSTITUTE(SUBSTITUTE(_xlfn.TEXTJOIN("",TRUE,IF(ISERR(MID(C2633,ROW(INDIRECT("1:100")),1)+0),MID(C2633,ROW(INDIRECT("1:100")),1),"")),")",""),"(","")</f>
        <v/>
      </c>
    </row>
    <row r="2634" spans="8:8" x14ac:dyDescent="0.25">
      <c r="H2634" s="4" t="str">
        <f t="array" aca="1" ref="H2634" ca="1">SUBSTITUTE(SUBSTITUTE(_xlfn.TEXTJOIN("",TRUE,IF(ISERR(MID(C2634,ROW(INDIRECT("1:100")),1)+0),MID(C2634,ROW(INDIRECT("1:100")),1),"")),")",""),"(","")</f>
        <v/>
      </c>
    </row>
    <row r="2635" spans="8:8" x14ac:dyDescent="0.25">
      <c r="H2635" s="4" t="str">
        <f t="array" aca="1" ref="H2635" ca="1">SUBSTITUTE(SUBSTITUTE(_xlfn.TEXTJOIN("",TRUE,IF(ISERR(MID(C2635,ROW(INDIRECT("1:100")),1)+0),MID(C2635,ROW(INDIRECT("1:100")),1),"")),")",""),"(","")</f>
        <v/>
      </c>
    </row>
    <row r="2636" spans="8:8" x14ac:dyDescent="0.25">
      <c r="H2636" s="4" t="str">
        <f t="array" aca="1" ref="H2636" ca="1">SUBSTITUTE(SUBSTITUTE(_xlfn.TEXTJOIN("",TRUE,IF(ISERR(MID(C2636,ROW(INDIRECT("1:100")),1)+0),MID(C2636,ROW(INDIRECT("1:100")),1),"")),")",""),"(","")</f>
        <v/>
      </c>
    </row>
    <row r="2637" spans="8:8" x14ac:dyDescent="0.25">
      <c r="H2637" s="4" t="str">
        <f t="array" aca="1" ref="H2637" ca="1">SUBSTITUTE(SUBSTITUTE(_xlfn.TEXTJOIN("",TRUE,IF(ISERR(MID(C2637,ROW(INDIRECT("1:100")),1)+0),MID(C2637,ROW(INDIRECT("1:100")),1),"")),")",""),"(","")</f>
        <v/>
      </c>
    </row>
    <row r="2638" spans="8:8" x14ac:dyDescent="0.25">
      <c r="H2638" s="4" t="str">
        <f t="array" aca="1" ref="H2638" ca="1">SUBSTITUTE(SUBSTITUTE(_xlfn.TEXTJOIN("",TRUE,IF(ISERR(MID(C2638,ROW(INDIRECT("1:100")),1)+0),MID(C2638,ROW(INDIRECT("1:100")),1),"")),")",""),"(","")</f>
        <v/>
      </c>
    </row>
    <row r="2639" spans="8:8" x14ac:dyDescent="0.25">
      <c r="H2639" s="4" t="str">
        <f t="array" aca="1" ref="H2639" ca="1">SUBSTITUTE(SUBSTITUTE(_xlfn.TEXTJOIN("",TRUE,IF(ISERR(MID(C2639,ROW(INDIRECT("1:100")),1)+0),MID(C2639,ROW(INDIRECT("1:100")),1),"")),")",""),"(","")</f>
        <v/>
      </c>
    </row>
    <row r="2640" spans="8:8" x14ac:dyDescent="0.25">
      <c r="H2640" s="4" t="str">
        <f t="array" aca="1" ref="H2640" ca="1">SUBSTITUTE(SUBSTITUTE(_xlfn.TEXTJOIN("",TRUE,IF(ISERR(MID(C2640,ROW(INDIRECT("1:100")),1)+0),MID(C2640,ROW(INDIRECT("1:100")),1),"")),")",""),"(","")</f>
        <v/>
      </c>
    </row>
    <row r="2641" spans="8:8" x14ac:dyDescent="0.25">
      <c r="H2641" s="4" t="str">
        <f t="array" aca="1" ref="H2641" ca="1">SUBSTITUTE(SUBSTITUTE(_xlfn.TEXTJOIN("",TRUE,IF(ISERR(MID(C2641,ROW(INDIRECT("1:100")),1)+0),MID(C2641,ROW(INDIRECT("1:100")),1),"")),")",""),"(","")</f>
        <v/>
      </c>
    </row>
    <row r="2642" spans="8:8" x14ac:dyDescent="0.25">
      <c r="H2642" s="4" t="str">
        <f t="array" aca="1" ref="H2642" ca="1">SUBSTITUTE(SUBSTITUTE(_xlfn.TEXTJOIN("",TRUE,IF(ISERR(MID(C2642,ROW(INDIRECT("1:100")),1)+0),MID(C2642,ROW(INDIRECT("1:100")),1),"")),")",""),"(","")</f>
        <v/>
      </c>
    </row>
    <row r="2643" spans="8:8" x14ac:dyDescent="0.25">
      <c r="H2643" s="4" t="str">
        <f t="array" aca="1" ref="H2643" ca="1">SUBSTITUTE(SUBSTITUTE(_xlfn.TEXTJOIN("",TRUE,IF(ISERR(MID(C2643,ROW(INDIRECT("1:100")),1)+0),MID(C2643,ROW(INDIRECT("1:100")),1),"")),")",""),"(","")</f>
        <v/>
      </c>
    </row>
    <row r="2644" spans="8:8" x14ac:dyDescent="0.25">
      <c r="H2644" s="4" t="str">
        <f t="array" aca="1" ref="H2644" ca="1">SUBSTITUTE(SUBSTITUTE(_xlfn.TEXTJOIN("",TRUE,IF(ISERR(MID(C2644,ROW(INDIRECT("1:100")),1)+0),MID(C2644,ROW(INDIRECT("1:100")),1),"")),")",""),"(","")</f>
        <v/>
      </c>
    </row>
    <row r="2645" spans="8:8" x14ac:dyDescent="0.25">
      <c r="H2645" s="4" t="str">
        <f t="array" aca="1" ref="H2645" ca="1">SUBSTITUTE(SUBSTITUTE(_xlfn.TEXTJOIN("",TRUE,IF(ISERR(MID(C2645,ROW(INDIRECT("1:100")),1)+0),MID(C2645,ROW(INDIRECT("1:100")),1),"")),")",""),"(","")</f>
        <v/>
      </c>
    </row>
    <row r="2646" spans="8:8" x14ac:dyDescent="0.25">
      <c r="H2646" s="4" t="str">
        <f t="array" aca="1" ref="H2646" ca="1">SUBSTITUTE(SUBSTITUTE(_xlfn.TEXTJOIN("",TRUE,IF(ISERR(MID(C2646,ROW(INDIRECT("1:100")),1)+0),MID(C2646,ROW(INDIRECT("1:100")),1),"")),")",""),"(","")</f>
        <v/>
      </c>
    </row>
    <row r="2647" spans="8:8" x14ac:dyDescent="0.25">
      <c r="H2647" s="4" t="str">
        <f t="array" aca="1" ref="H2647" ca="1">SUBSTITUTE(SUBSTITUTE(_xlfn.TEXTJOIN("",TRUE,IF(ISERR(MID(C2647,ROW(INDIRECT("1:100")),1)+0),MID(C2647,ROW(INDIRECT("1:100")),1),"")),")",""),"(","")</f>
        <v/>
      </c>
    </row>
    <row r="2648" spans="8:8" x14ac:dyDescent="0.25">
      <c r="H2648" s="4" t="str">
        <f t="array" aca="1" ref="H2648" ca="1">SUBSTITUTE(SUBSTITUTE(_xlfn.TEXTJOIN("",TRUE,IF(ISERR(MID(C2648,ROW(INDIRECT("1:100")),1)+0),MID(C2648,ROW(INDIRECT("1:100")),1),"")),")",""),"(","")</f>
        <v/>
      </c>
    </row>
    <row r="2649" spans="8:8" x14ac:dyDescent="0.25">
      <c r="H2649" s="4" t="str">
        <f t="array" aca="1" ref="H2649" ca="1">SUBSTITUTE(SUBSTITUTE(_xlfn.TEXTJOIN("",TRUE,IF(ISERR(MID(C2649,ROW(INDIRECT("1:100")),1)+0),MID(C2649,ROW(INDIRECT("1:100")),1),"")),")",""),"(","")</f>
        <v/>
      </c>
    </row>
    <row r="2650" spans="8:8" x14ac:dyDescent="0.25">
      <c r="H2650" s="4" t="str">
        <f t="array" aca="1" ref="H2650" ca="1">SUBSTITUTE(SUBSTITUTE(_xlfn.TEXTJOIN("",TRUE,IF(ISERR(MID(C2650,ROW(INDIRECT("1:100")),1)+0),MID(C2650,ROW(INDIRECT("1:100")),1),"")),")",""),"(","")</f>
        <v/>
      </c>
    </row>
    <row r="2651" spans="8:8" x14ac:dyDescent="0.25">
      <c r="H2651" s="4" t="str">
        <f t="array" aca="1" ref="H2651" ca="1">SUBSTITUTE(SUBSTITUTE(_xlfn.TEXTJOIN("",TRUE,IF(ISERR(MID(C2651,ROW(INDIRECT("1:100")),1)+0),MID(C2651,ROW(INDIRECT("1:100")),1),"")),")",""),"(","")</f>
        <v/>
      </c>
    </row>
    <row r="2652" spans="8:8" x14ac:dyDescent="0.25">
      <c r="H2652" s="4" t="str">
        <f t="array" aca="1" ref="H2652" ca="1">SUBSTITUTE(SUBSTITUTE(_xlfn.TEXTJOIN("",TRUE,IF(ISERR(MID(C2652,ROW(INDIRECT("1:100")),1)+0),MID(C2652,ROW(INDIRECT("1:100")),1),"")),")",""),"(","")</f>
        <v/>
      </c>
    </row>
    <row r="2653" spans="8:8" x14ac:dyDescent="0.25">
      <c r="H2653" s="4" t="str">
        <f t="array" aca="1" ref="H2653" ca="1">SUBSTITUTE(SUBSTITUTE(_xlfn.TEXTJOIN("",TRUE,IF(ISERR(MID(C2653,ROW(INDIRECT("1:100")),1)+0),MID(C2653,ROW(INDIRECT("1:100")),1),"")),")",""),"(","")</f>
        <v/>
      </c>
    </row>
    <row r="2654" spans="8:8" x14ac:dyDescent="0.25">
      <c r="H2654" s="4" t="str">
        <f t="array" aca="1" ref="H2654" ca="1">SUBSTITUTE(SUBSTITUTE(_xlfn.TEXTJOIN("",TRUE,IF(ISERR(MID(C2654,ROW(INDIRECT("1:100")),1)+0),MID(C2654,ROW(INDIRECT("1:100")),1),"")),")",""),"(","")</f>
        <v/>
      </c>
    </row>
    <row r="2655" spans="8:8" x14ac:dyDescent="0.25">
      <c r="H2655" s="4" t="str">
        <f t="array" aca="1" ref="H2655" ca="1">SUBSTITUTE(SUBSTITUTE(_xlfn.TEXTJOIN("",TRUE,IF(ISERR(MID(C2655,ROW(INDIRECT("1:100")),1)+0),MID(C2655,ROW(INDIRECT("1:100")),1),"")),")",""),"(","")</f>
        <v/>
      </c>
    </row>
    <row r="2656" spans="8:8" x14ac:dyDescent="0.25">
      <c r="H2656" s="4" t="str">
        <f t="array" aca="1" ref="H2656" ca="1">SUBSTITUTE(SUBSTITUTE(_xlfn.TEXTJOIN("",TRUE,IF(ISERR(MID(C2656,ROW(INDIRECT("1:100")),1)+0),MID(C2656,ROW(INDIRECT("1:100")),1),"")),")",""),"(","")</f>
        <v/>
      </c>
    </row>
    <row r="2657" spans="8:8" x14ac:dyDescent="0.25">
      <c r="H2657" s="4" t="str">
        <f t="array" aca="1" ref="H2657" ca="1">SUBSTITUTE(SUBSTITUTE(_xlfn.TEXTJOIN("",TRUE,IF(ISERR(MID(C2657,ROW(INDIRECT("1:100")),1)+0),MID(C2657,ROW(INDIRECT("1:100")),1),"")),")",""),"(","")</f>
        <v/>
      </c>
    </row>
    <row r="2658" spans="8:8" x14ac:dyDescent="0.25">
      <c r="H2658" s="4" t="str">
        <f t="array" aca="1" ref="H2658" ca="1">SUBSTITUTE(SUBSTITUTE(_xlfn.TEXTJOIN("",TRUE,IF(ISERR(MID(C2658,ROW(INDIRECT("1:100")),1)+0),MID(C2658,ROW(INDIRECT("1:100")),1),"")),")",""),"(","")</f>
        <v/>
      </c>
    </row>
    <row r="2659" spans="8:8" x14ac:dyDescent="0.25">
      <c r="H2659" s="4" t="str">
        <f t="array" aca="1" ref="H2659" ca="1">SUBSTITUTE(SUBSTITUTE(_xlfn.TEXTJOIN("",TRUE,IF(ISERR(MID(C2659,ROW(INDIRECT("1:100")),1)+0),MID(C2659,ROW(INDIRECT("1:100")),1),"")),")",""),"(","")</f>
        <v/>
      </c>
    </row>
    <row r="2660" spans="8:8" x14ac:dyDescent="0.25">
      <c r="H2660" s="4" t="str">
        <f t="array" aca="1" ref="H2660" ca="1">SUBSTITUTE(SUBSTITUTE(_xlfn.TEXTJOIN("",TRUE,IF(ISERR(MID(C2660,ROW(INDIRECT("1:100")),1)+0),MID(C2660,ROW(INDIRECT("1:100")),1),"")),")",""),"(","")</f>
        <v/>
      </c>
    </row>
    <row r="2661" spans="8:8" x14ac:dyDescent="0.25">
      <c r="H2661" s="4" t="str">
        <f t="array" aca="1" ref="H2661" ca="1">SUBSTITUTE(SUBSTITUTE(_xlfn.TEXTJOIN("",TRUE,IF(ISERR(MID(C2661,ROW(INDIRECT("1:100")),1)+0),MID(C2661,ROW(INDIRECT("1:100")),1),"")),")",""),"(","")</f>
        <v/>
      </c>
    </row>
    <row r="2662" spans="8:8" x14ac:dyDescent="0.25">
      <c r="H2662" s="4" t="str">
        <f t="array" aca="1" ref="H2662" ca="1">SUBSTITUTE(SUBSTITUTE(_xlfn.TEXTJOIN("",TRUE,IF(ISERR(MID(C2662,ROW(INDIRECT("1:100")),1)+0),MID(C2662,ROW(INDIRECT("1:100")),1),"")),")",""),"(","")</f>
        <v/>
      </c>
    </row>
    <row r="2663" spans="8:8" x14ac:dyDescent="0.25">
      <c r="H2663" s="4" t="str">
        <f t="array" aca="1" ref="H2663" ca="1">SUBSTITUTE(SUBSTITUTE(_xlfn.TEXTJOIN("",TRUE,IF(ISERR(MID(C2663,ROW(INDIRECT("1:100")),1)+0),MID(C2663,ROW(INDIRECT("1:100")),1),"")),")",""),"(","")</f>
        <v/>
      </c>
    </row>
    <row r="2664" spans="8:8" x14ac:dyDescent="0.25">
      <c r="H2664" s="4" t="str">
        <f t="array" aca="1" ref="H2664" ca="1">SUBSTITUTE(SUBSTITUTE(_xlfn.TEXTJOIN("",TRUE,IF(ISERR(MID(C2664,ROW(INDIRECT("1:100")),1)+0),MID(C2664,ROW(INDIRECT("1:100")),1),"")),")",""),"(","")</f>
        <v/>
      </c>
    </row>
    <row r="2665" spans="8:8" x14ac:dyDescent="0.25">
      <c r="H2665" s="4" t="str">
        <f t="array" aca="1" ref="H2665" ca="1">SUBSTITUTE(SUBSTITUTE(_xlfn.TEXTJOIN("",TRUE,IF(ISERR(MID(C2665,ROW(INDIRECT("1:100")),1)+0),MID(C2665,ROW(INDIRECT("1:100")),1),"")),")",""),"(","")</f>
        <v/>
      </c>
    </row>
    <row r="2666" spans="8:8" x14ac:dyDescent="0.25">
      <c r="H2666" s="4" t="str">
        <f t="array" aca="1" ref="H2666" ca="1">SUBSTITUTE(SUBSTITUTE(_xlfn.TEXTJOIN("",TRUE,IF(ISERR(MID(C2666,ROW(INDIRECT("1:100")),1)+0),MID(C2666,ROW(INDIRECT("1:100")),1),"")),")",""),"(","")</f>
        <v/>
      </c>
    </row>
    <row r="2667" spans="8:8" x14ac:dyDescent="0.25">
      <c r="H2667" s="4" t="str">
        <f t="array" aca="1" ref="H2667" ca="1">SUBSTITUTE(SUBSTITUTE(_xlfn.TEXTJOIN("",TRUE,IF(ISERR(MID(C2667,ROW(INDIRECT("1:100")),1)+0),MID(C2667,ROW(INDIRECT("1:100")),1),"")),")",""),"(","")</f>
        <v/>
      </c>
    </row>
    <row r="2668" spans="8:8" x14ac:dyDescent="0.25">
      <c r="H2668" s="4" t="str">
        <f t="array" aca="1" ref="H2668" ca="1">SUBSTITUTE(SUBSTITUTE(_xlfn.TEXTJOIN("",TRUE,IF(ISERR(MID(C2668,ROW(INDIRECT("1:100")),1)+0),MID(C2668,ROW(INDIRECT("1:100")),1),"")),")",""),"(","")</f>
        <v/>
      </c>
    </row>
    <row r="2669" spans="8:8" x14ac:dyDescent="0.25">
      <c r="H2669" s="4" t="str">
        <f t="array" aca="1" ref="H2669" ca="1">SUBSTITUTE(SUBSTITUTE(_xlfn.TEXTJOIN("",TRUE,IF(ISERR(MID(C2669,ROW(INDIRECT("1:100")),1)+0),MID(C2669,ROW(INDIRECT("1:100")),1),"")),")",""),"(","")</f>
        <v/>
      </c>
    </row>
    <row r="2670" spans="8:8" x14ac:dyDescent="0.25">
      <c r="H2670" s="4" t="str">
        <f t="array" aca="1" ref="H2670" ca="1">SUBSTITUTE(SUBSTITUTE(_xlfn.TEXTJOIN("",TRUE,IF(ISERR(MID(C2670,ROW(INDIRECT("1:100")),1)+0),MID(C2670,ROW(INDIRECT("1:100")),1),"")),")",""),"(","")</f>
        <v/>
      </c>
    </row>
    <row r="2671" spans="8:8" x14ac:dyDescent="0.25">
      <c r="H2671" s="4" t="str">
        <f t="array" aca="1" ref="H2671" ca="1">SUBSTITUTE(SUBSTITUTE(_xlfn.TEXTJOIN("",TRUE,IF(ISERR(MID(C2671,ROW(INDIRECT("1:100")),1)+0),MID(C2671,ROW(INDIRECT("1:100")),1),"")),")",""),"(","")</f>
        <v/>
      </c>
    </row>
    <row r="2672" spans="8:8" x14ac:dyDescent="0.25">
      <c r="H2672" s="4" t="str">
        <f t="array" aca="1" ref="H2672" ca="1">SUBSTITUTE(SUBSTITUTE(_xlfn.TEXTJOIN("",TRUE,IF(ISERR(MID(C2672,ROW(INDIRECT("1:100")),1)+0),MID(C2672,ROW(INDIRECT("1:100")),1),"")),")",""),"(","")</f>
        <v/>
      </c>
    </row>
    <row r="2673" spans="8:8" x14ac:dyDescent="0.25">
      <c r="H2673" s="4" t="str">
        <f t="array" aca="1" ref="H2673" ca="1">SUBSTITUTE(SUBSTITUTE(_xlfn.TEXTJOIN("",TRUE,IF(ISERR(MID(C2673,ROW(INDIRECT("1:100")),1)+0),MID(C2673,ROW(INDIRECT("1:100")),1),"")),")",""),"(","")</f>
        <v/>
      </c>
    </row>
    <row r="2674" spans="8:8" x14ac:dyDescent="0.25">
      <c r="H2674" s="4" t="str">
        <f t="array" aca="1" ref="H2674" ca="1">SUBSTITUTE(SUBSTITUTE(_xlfn.TEXTJOIN("",TRUE,IF(ISERR(MID(C2674,ROW(INDIRECT("1:100")),1)+0),MID(C2674,ROW(INDIRECT("1:100")),1),"")),")",""),"(","")</f>
        <v/>
      </c>
    </row>
    <row r="2675" spans="8:8" x14ac:dyDescent="0.25">
      <c r="H2675" s="4" t="str">
        <f t="array" aca="1" ref="H2675" ca="1">SUBSTITUTE(SUBSTITUTE(_xlfn.TEXTJOIN("",TRUE,IF(ISERR(MID(C2675,ROW(INDIRECT("1:100")),1)+0),MID(C2675,ROW(INDIRECT("1:100")),1),"")),")",""),"(","")</f>
        <v/>
      </c>
    </row>
    <row r="2676" spans="8:8" x14ac:dyDescent="0.25">
      <c r="H2676" s="4" t="str">
        <f t="array" aca="1" ref="H2676" ca="1">SUBSTITUTE(SUBSTITUTE(_xlfn.TEXTJOIN("",TRUE,IF(ISERR(MID(C2676,ROW(INDIRECT("1:100")),1)+0),MID(C2676,ROW(INDIRECT("1:100")),1),"")),")",""),"(","")</f>
        <v/>
      </c>
    </row>
    <row r="2677" spans="8:8" x14ac:dyDescent="0.25">
      <c r="H2677" s="4" t="str">
        <f t="array" aca="1" ref="H2677" ca="1">SUBSTITUTE(SUBSTITUTE(_xlfn.TEXTJOIN("",TRUE,IF(ISERR(MID(C2677,ROW(INDIRECT("1:100")),1)+0),MID(C2677,ROW(INDIRECT("1:100")),1),"")),")",""),"(","")</f>
        <v/>
      </c>
    </row>
    <row r="2678" spans="8:8" x14ac:dyDescent="0.25">
      <c r="H2678" s="4" t="str">
        <f t="array" aca="1" ref="H2678" ca="1">SUBSTITUTE(SUBSTITUTE(_xlfn.TEXTJOIN("",TRUE,IF(ISERR(MID(C2678,ROW(INDIRECT("1:100")),1)+0),MID(C2678,ROW(INDIRECT("1:100")),1),"")),")",""),"(","")</f>
        <v/>
      </c>
    </row>
    <row r="2679" spans="8:8" x14ac:dyDescent="0.25">
      <c r="H2679" s="4" t="str">
        <f t="array" aca="1" ref="H2679" ca="1">SUBSTITUTE(SUBSTITUTE(_xlfn.TEXTJOIN("",TRUE,IF(ISERR(MID(C2679,ROW(INDIRECT("1:100")),1)+0),MID(C2679,ROW(INDIRECT("1:100")),1),"")),")",""),"(","")</f>
        <v/>
      </c>
    </row>
    <row r="2680" spans="8:8" x14ac:dyDescent="0.25">
      <c r="H2680" s="4" t="str">
        <f t="array" aca="1" ref="H2680" ca="1">SUBSTITUTE(SUBSTITUTE(_xlfn.TEXTJOIN("",TRUE,IF(ISERR(MID(C2680,ROW(INDIRECT("1:100")),1)+0),MID(C2680,ROW(INDIRECT("1:100")),1),"")),")",""),"(","")</f>
        <v/>
      </c>
    </row>
    <row r="2681" spans="8:8" x14ac:dyDescent="0.25">
      <c r="H2681" s="4" t="str">
        <f t="array" aca="1" ref="H2681" ca="1">SUBSTITUTE(SUBSTITUTE(_xlfn.TEXTJOIN("",TRUE,IF(ISERR(MID(C2681,ROW(INDIRECT("1:100")),1)+0),MID(C2681,ROW(INDIRECT("1:100")),1),"")),")",""),"(","")</f>
        <v/>
      </c>
    </row>
    <row r="2682" spans="8:8" x14ac:dyDescent="0.25">
      <c r="H2682" s="4" t="str">
        <f t="array" aca="1" ref="H2682" ca="1">SUBSTITUTE(SUBSTITUTE(_xlfn.TEXTJOIN("",TRUE,IF(ISERR(MID(C2682,ROW(INDIRECT("1:100")),1)+0),MID(C2682,ROW(INDIRECT("1:100")),1),"")),")",""),"(","")</f>
        <v/>
      </c>
    </row>
    <row r="2683" spans="8:8" x14ac:dyDescent="0.25">
      <c r="H2683" s="4" t="str">
        <f t="array" aca="1" ref="H2683" ca="1">SUBSTITUTE(SUBSTITUTE(_xlfn.TEXTJOIN("",TRUE,IF(ISERR(MID(C2683,ROW(INDIRECT("1:100")),1)+0),MID(C2683,ROW(INDIRECT("1:100")),1),"")),")",""),"(","")</f>
        <v/>
      </c>
    </row>
    <row r="2684" spans="8:8" x14ac:dyDescent="0.25">
      <c r="H2684" s="4" t="str">
        <f t="array" aca="1" ref="H2684" ca="1">SUBSTITUTE(SUBSTITUTE(_xlfn.TEXTJOIN("",TRUE,IF(ISERR(MID(C2684,ROW(INDIRECT("1:100")),1)+0),MID(C2684,ROW(INDIRECT("1:100")),1),"")),")",""),"(","")</f>
        <v/>
      </c>
    </row>
    <row r="2685" spans="8:8" x14ac:dyDescent="0.25">
      <c r="H2685" s="4" t="str">
        <f t="array" aca="1" ref="H2685" ca="1">SUBSTITUTE(SUBSTITUTE(_xlfn.TEXTJOIN("",TRUE,IF(ISERR(MID(C2685,ROW(INDIRECT("1:100")),1)+0),MID(C2685,ROW(INDIRECT("1:100")),1),"")),")",""),"(","")</f>
        <v/>
      </c>
    </row>
    <row r="2686" spans="8:8" x14ac:dyDescent="0.25">
      <c r="H2686" s="4" t="str">
        <f t="array" aca="1" ref="H2686" ca="1">SUBSTITUTE(SUBSTITUTE(_xlfn.TEXTJOIN("",TRUE,IF(ISERR(MID(C2686,ROW(INDIRECT("1:100")),1)+0),MID(C2686,ROW(INDIRECT("1:100")),1),"")),")",""),"(","")</f>
        <v/>
      </c>
    </row>
    <row r="2687" spans="8:8" x14ac:dyDescent="0.25">
      <c r="H2687" s="4" t="str">
        <f t="array" aca="1" ref="H2687" ca="1">SUBSTITUTE(SUBSTITUTE(_xlfn.TEXTJOIN("",TRUE,IF(ISERR(MID(C2687,ROW(INDIRECT("1:100")),1)+0),MID(C2687,ROW(INDIRECT("1:100")),1),"")),")",""),"(","")</f>
        <v/>
      </c>
    </row>
    <row r="2688" spans="8:8" x14ac:dyDescent="0.25">
      <c r="H2688" s="4" t="str">
        <f t="array" aca="1" ref="H2688" ca="1">SUBSTITUTE(SUBSTITUTE(_xlfn.TEXTJOIN("",TRUE,IF(ISERR(MID(C2688,ROW(INDIRECT("1:100")),1)+0),MID(C2688,ROW(INDIRECT("1:100")),1),"")),")",""),"(","")</f>
        <v/>
      </c>
    </row>
    <row r="2689" spans="8:8" x14ac:dyDescent="0.25">
      <c r="H2689" s="4" t="str">
        <f t="array" aca="1" ref="H2689" ca="1">SUBSTITUTE(SUBSTITUTE(_xlfn.TEXTJOIN("",TRUE,IF(ISERR(MID(C2689,ROW(INDIRECT("1:100")),1)+0),MID(C2689,ROW(INDIRECT("1:100")),1),"")),")",""),"(","")</f>
        <v/>
      </c>
    </row>
    <row r="2690" spans="8:8" x14ac:dyDescent="0.25">
      <c r="H2690" s="4" t="str">
        <f t="array" aca="1" ref="H2690" ca="1">SUBSTITUTE(SUBSTITUTE(_xlfn.TEXTJOIN("",TRUE,IF(ISERR(MID(C2690,ROW(INDIRECT("1:100")),1)+0),MID(C2690,ROW(INDIRECT("1:100")),1),"")),")",""),"(","")</f>
        <v/>
      </c>
    </row>
    <row r="2691" spans="8:8" x14ac:dyDescent="0.25">
      <c r="H2691" s="4" t="str">
        <f t="array" aca="1" ref="H2691" ca="1">SUBSTITUTE(SUBSTITUTE(_xlfn.TEXTJOIN("",TRUE,IF(ISERR(MID(C2691,ROW(INDIRECT("1:100")),1)+0),MID(C2691,ROW(INDIRECT("1:100")),1),"")),")",""),"(","")</f>
        <v/>
      </c>
    </row>
    <row r="2692" spans="8:8" x14ac:dyDescent="0.25">
      <c r="H2692" s="4" t="str">
        <f t="array" aca="1" ref="H2692" ca="1">SUBSTITUTE(SUBSTITUTE(_xlfn.TEXTJOIN("",TRUE,IF(ISERR(MID(C2692,ROW(INDIRECT("1:100")),1)+0),MID(C2692,ROW(INDIRECT("1:100")),1),"")),")",""),"(","")</f>
        <v/>
      </c>
    </row>
    <row r="2693" spans="8:8" x14ac:dyDescent="0.25">
      <c r="H2693" s="4" t="str">
        <f t="array" aca="1" ref="H2693" ca="1">SUBSTITUTE(SUBSTITUTE(_xlfn.TEXTJOIN("",TRUE,IF(ISERR(MID(C2693,ROW(INDIRECT("1:100")),1)+0),MID(C2693,ROW(INDIRECT("1:100")),1),"")),")",""),"(","")</f>
        <v/>
      </c>
    </row>
    <row r="2694" spans="8:8" x14ac:dyDescent="0.25">
      <c r="H2694" s="4" t="str">
        <f t="array" aca="1" ref="H2694" ca="1">SUBSTITUTE(SUBSTITUTE(_xlfn.TEXTJOIN("",TRUE,IF(ISERR(MID(C2694,ROW(INDIRECT("1:100")),1)+0),MID(C2694,ROW(INDIRECT("1:100")),1),"")),")",""),"(","")</f>
        <v/>
      </c>
    </row>
    <row r="2695" spans="8:8" x14ac:dyDescent="0.25">
      <c r="H2695" s="4" t="str">
        <f t="array" aca="1" ref="H2695" ca="1">SUBSTITUTE(SUBSTITUTE(_xlfn.TEXTJOIN("",TRUE,IF(ISERR(MID(C2695,ROW(INDIRECT("1:100")),1)+0),MID(C2695,ROW(INDIRECT("1:100")),1),"")),")",""),"(","")</f>
        <v/>
      </c>
    </row>
    <row r="2696" spans="8:8" x14ac:dyDescent="0.25">
      <c r="H2696" s="4" t="str">
        <f t="array" aca="1" ref="H2696" ca="1">SUBSTITUTE(SUBSTITUTE(_xlfn.TEXTJOIN("",TRUE,IF(ISERR(MID(C2696,ROW(INDIRECT("1:100")),1)+0),MID(C2696,ROW(INDIRECT("1:100")),1),"")),")",""),"(","")</f>
        <v/>
      </c>
    </row>
    <row r="2697" spans="8:8" x14ac:dyDescent="0.25">
      <c r="H2697" s="4" t="str">
        <f t="array" aca="1" ref="H2697" ca="1">SUBSTITUTE(SUBSTITUTE(_xlfn.TEXTJOIN("",TRUE,IF(ISERR(MID(C2697,ROW(INDIRECT("1:100")),1)+0),MID(C2697,ROW(INDIRECT("1:100")),1),"")),")",""),"(","")</f>
        <v/>
      </c>
    </row>
    <row r="2698" spans="8:8" x14ac:dyDescent="0.25">
      <c r="H2698" s="4" t="str">
        <f t="array" aca="1" ref="H2698" ca="1">SUBSTITUTE(SUBSTITUTE(_xlfn.TEXTJOIN("",TRUE,IF(ISERR(MID(C2698,ROW(INDIRECT("1:100")),1)+0),MID(C2698,ROW(INDIRECT("1:100")),1),"")),")",""),"(","")</f>
        <v/>
      </c>
    </row>
    <row r="2699" spans="8:8" x14ac:dyDescent="0.25">
      <c r="H2699" s="4" t="str">
        <f t="array" aca="1" ref="H2699" ca="1">SUBSTITUTE(SUBSTITUTE(_xlfn.TEXTJOIN("",TRUE,IF(ISERR(MID(C2699,ROW(INDIRECT("1:100")),1)+0),MID(C2699,ROW(INDIRECT("1:100")),1),"")),")",""),"(","")</f>
        <v/>
      </c>
    </row>
    <row r="2700" spans="8:8" x14ac:dyDescent="0.25">
      <c r="H2700" s="4" t="str">
        <f t="array" aca="1" ref="H2700" ca="1">SUBSTITUTE(SUBSTITUTE(_xlfn.TEXTJOIN("",TRUE,IF(ISERR(MID(C2700,ROW(INDIRECT("1:100")),1)+0),MID(C2700,ROW(INDIRECT("1:100")),1),"")),")",""),"(","")</f>
        <v/>
      </c>
    </row>
    <row r="2701" spans="8:8" x14ac:dyDescent="0.25">
      <c r="H2701" s="4" t="str">
        <f t="array" aca="1" ref="H2701" ca="1">SUBSTITUTE(SUBSTITUTE(_xlfn.TEXTJOIN("",TRUE,IF(ISERR(MID(C2701,ROW(INDIRECT("1:100")),1)+0),MID(C2701,ROW(INDIRECT("1:100")),1),"")),")",""),"(","")</f>
        <v/>
      </c>
    </row>
    <row r="2702" spans="8:8" x14ac:dyDescent="0.25">
      <c r="H2702" s="4" t="str">
        <f t="array" aca="1" ref="H2702" ca="1">SUBSTITUTE(SUBSTITUTE(_xlfn.TEXTJOIN("",TRUE,IF(ISERR(MID(C2702,ROW(INDIRECT("1:100")),1)+0),MID(C2702,ROW(INDIRECT("1:100")),1),"")),")",""),"(","")</f>
        <v/>
      </c>
    </row>
    <row r="2703" spans="8:8" x14ac:dyDescent="0.25">
      <c r="H2703" s="4" t="str">
        <f t="array" aca="1" ref="H2703" ca="1">SUBSTITUTE(SUBSTITUTE(_xlfn.TEXTJOIN("",TRUE,IF(ISERR(MID(C2703,ROW(INDIRECT("1:100")),1)+0),MID(C2703,ROW(INDIRECT("1:100")),1),"")),")",""),"(","")</f>
        <v/>
      </c>
    </row>
    <row r="2704" spans="8:8" x14ac:dyDescent="0.25">
      <c r="H2704" s="4" t="str">
        <f t="array" aca="1" ref="H2704" ca="1">SUBSTITUTE(SUBSTITUTE(_xlfn.TEXTJOIN("",TRUE,IF(ISERR(MID(C2704,ROW(INDIRECT("1:100")),1)+0),MID(C2704,ROW(INDIRECT("1:100")),1),"")),")",""),"(","")</f>
        <v/>
      </c>
    </row>
    <row r="2705" spans="8:8" x14ac:dyDescent="0.25">
      <c r="H2705" s="4" t="str">
        <f t="array" aca="1" ref="H2705" ca="1">SUBSTITUTE(SUBSTITUTE(_xlfn.TEXTJOIN("",TRUE,IF(ISERR(MID(C2705,ROW(INDIRECT("1:100")),1)+0),MID(C2705,ROW(INDIRECT("1:100")),1),"")),")",""),"(","")</f>
        <v/>
      </c>
    </row>
    <row r="2706" spans="8:8" x14ac:dyDescent="0.25">
      <c r="H2706" s="4" t="str">
        <f t="array" aca="1" ref="H2706" ca="1">SUBSTITUTE(SUBSTITUTE(_xlfn.TEXTJOIN("",TRUE,IF(ISERR(MID(C2706,ROW(INDIRECT("1:100")),1)+0),MID(C2706,ROW(INDIRECT("1:100")),1),"")),")",""),"(","")</f>
        <v/>
      </c>
    </row>
    <row r="2707" spans="8:8" x14ac:dyDescent="0.25">
      <c r="H2707" s="4" t="str">
        <f t="array" aca="1" ref="H2707" ca="1">SUBSTITUTE(SUBSTITUTE(_xlfn.TEXTJOIN("",TRUE,IF(ISERR(MID(C2707,ROW(INDIRECT("1:100")),1)+0),MID(C2707,ROW(INDIRECT("1:100")),1),"")),")",""),"(","")</f>
        <v/>
      </c>
    </row>
    <row r="2708" spans="8:8" x14ac:dyDescent="0.25">
      <c r="H2708" s="4" t="str">
        <f t="array" aca="1" ref="H2708" ca="1">SUBSTITUTE(SUBSTITUTE(_xlfn.TEXTJOIN("",TRUE,IF(ISERR(MID(C2708,ROW(INDIRECT("1:100")),1)+0),MID(C2708,ROW(INDIRECT("1:100")),1),"")),")",""),"(","")</f>
        <v/>
      </c>
    </row>
    <row r="2709" spans="8:8" x14ac:dyDescent="0.25">
      <c r="H2709" s="4" t="str">
        <f t="array" aca="1" ref="H2709" ca="1">SUBSTITUTE(SUBSTITUTE(_xlfn.TEXTJOIN("",TRUE,IF(ISERR(MID(C2709,ROW(INDIRECT("1:100")),1)+0),MID(C2709,ROW(INDIRECT("1:100")),1),"")),")",""),"(","")</f>
        <v/>
      </c>
    </row>
    <row r="2710" spans="8:8" x14ac:dyDescent="0.25">
      <c r="H2710" s="4" t="str">
        <f t="array" aca="1" ref="H2710" ca="1">SUBSTITUTE(SUBSTITUTE(_xlfn.TEXTJOIN("",TRUE,IF(ISERR(MID(C2710,ROW(INDIRECT("1:100")),1)+0),MID(C2710,ROW(INDIRECT("1:100")),1),"")),")",""),"(","")</f>
        <v/>
      </c>
    </row>
    <row r="2711" spans="8:8" x14ac:dyDescent="0.25">
      <c r="H2711" s="4" t="str">
        <f t="array" aca="1" ref="H2711" ca="1">SUBSTITUTE(SUBSTITUTE(_xlfn.TEXTJOIN("",TRUE,IF(ISERR(MID(C2711,ROW(INDIRECT("1:100")),1)+0),MID(C2711,ROW(INDIRECT("1:100")),1),"")),")",""),"(","")</f>
        <v/>
      </c>
    </row>
    <row r="2712" spans="8:8" x14ac:dyDescent="0.25">
      <c r="H2712" s="4" t="str">
        <f t="array" aca="1" ref="H2712" ca="1">SUBSTITUTE(SUBSTITUTE(_xlfn.TEXTJOIN("",TRUE,IF(ISERR(MID(C2712,ROW(INDIRECT("1:100")),1)+0),MID(C2712,ROW(INDIRECT("1:100")),1),"")),")",""),"(","")</f>
        <v/>
      </c>
    </row>
    <row r="2713" spans="8:8" x14ac:dyDescent="0.25">
      <c r="H2713" s="4" t="str">
        <f t="array" aca="1" ref="H2713" ca="1">SUBSTITUTE(SUBSTITUTE(_xlfn.TEXTJOIN("",TRUE,IF(ISERR(MID(C2713,ROW(INDIRECT("1:100")),1)+0),MID(C2713,ROW(INDIRECT("1:100")),1),"")),")",""),"(","")</f>
        <v/>
      </c>
    </row>
    <row r="2714" spans="8:8" x14ac:dyDescent="0.25">
      <c r="H2714" s="4" t="str">
        <f t="array" aca="1" ref="H2714" ca="1">SUBSTITUTE(SUBSTITUTE(_xlfn.TEXTJOIN("",TRUE,IF(ISERR(MID(C2714,ROW(INDIRECT("1:100")),1)+0),MID(C2714,ROW(INDIRECT("1:100")),1),"")),")",""),"(","")</f>
        <v/>
      </c>
    </row>
    <row r="2715" spans="8:8" x14ac:dyDescent="0.25">
      <c r="H2715" s="4" t="str">
        <f t="array" aca="1" ref="H2715" ca="1">SUBSTITUTE(SUBSTITUTE(_xlfn.TEXTJOIN("",TRUE,IF(ISERR(MID(C2715,ROW(INDIRECT("1:100")),1)+0),MID(C2715,ROW(INDIRECT("1:100")),1),"")),")",""),"(","")</f>
        <v/>
      </c>
    </row>
    <row r="2716" spans="8:8" x14ac:dyDescent="0.25">
      <c r="H2716" s="4" t="str">
        <f t="array" aca="1" ref="H2716" ca="1">SUBSTITUTE(SUBSTITUTE(_xlfn.TEXTJOIN("",TRUE,IF(ISERR(MID(C2716,ROW(INDIRECT("1:100")),1)+0),MID(C2716,ROW(INDIRECT("1:100")),1),"")),")",""),"(","")</f>
        <v/>
      </c>
    </row>
    <row r="2717" spans="8:8" x14ac:dyDescent="0.25">
      <c r="H2717" s="4" t="str">
        <f t="array" aca="1" ref="H2717" ca="1">SUBSTITUTE(SUBSTITUTE(_xlfn.TEXTJOIN("",TRUE,IF(ISERR(MID(C2717,ROW(INDIRECT("1:100")),1)+0),MID(C2717,ROW(INDIRECT("1:100")),1),"")),")",""),"(","")</f>
        <v/>
      </c>
    </row>
    <row r="2718" spans="8:8" x14ac:dyDescent="0.25">
      <c r="H2718" s="4" t="str">
        <f t="array" aca="1" ref="H2718" ca="1">SUBSTITUTE(SUBSTITUTE(_xlfn.TEXTJOIN("",TRUE,IF(ISERR(MID(C2718,ROW(INDIRECT("1:100")),1)+0),MID(C2718,ROW(INDIRECT("1:100")),1),"")),")",""),"(","")</f>
        <v/>
      </c>
    </row>
    <row r="2719" spans="8:8" x14ac:dyDescent="0.25">
      <c r="H2719" s="4" t="str">
        <f t="array" aca="1" ref="H2719" ca="1">SUBSTITUTE(SUBSTITUTE(_xlfn.TEXTJOIN("",TRUE,IF(ISERR(MID(C2719,ROW(INDIRECT("1:100")),1)+0),MID(C2719,ROW(INDIRECT("1:100")),1),"")),")",""),"(","")</f>
        <v/>
      </c>
    </row>
    <row r="2720" spans="8:8" x14ac:dyDescent="0.25">
      <c r="H2720" s="4" t="str">
        <f t="array" aca="1" ref="H2720" ca="1">SUBSTITUTE(SUBSTITUTE(_xlfn.TEXTJOIN("",TRUE,IF(ISERR(MID(C2720,ROW(INDIRECT("1:100")),1)+0),MID(C2720,ROW(INDIRECT("1:100")),1),"")),")",""),"(","")</f>
        <v/>
      </c>
    </row>
    <row r="2721" spans="8:8" x14ac:dyDescent="0.25">
      <c r="H2721" s="4" t="str">
        <f t="array" aca="1" ref="H2721" ca="1">SUBSTITUTE(SUBSTITUTE(_xlfn.TEXTJOIN("",TRUE,IF(ISERR(MID(C2721,ROW(INDIRECT("1:100")),1)+0),MID(C2721,ROW(INDIRECT("1:100")),1),"")),")",""),"(","")</f>
        <v/>
      </c>
    </row>
    <row r="2722" spans="8:8" x14ac:dyDescent="0.25">
      <c r="H2722" s="4" t="str">
        <f t="array" aca="1" ref="H2722" ca="1">SUBSTITUTE(SUBSTITUTE(_xlfn.TEXTJOIN("",TRUE,IF(ISERR(MID(C2722,ROW(INDIRECT("1:100")),1)+0),MID(C2722,ROW(INDIRECT("1:100")),1),"")),")",""),"(","")</f>
        <v/>
      </c>
    </row>
    <row r="2723" spans="8:8" x14ac:dyDescent="0.25">
      <c r="H2723" s="4" t="str">
        <f t="array" aca="1" ref="H2723" ca="1">SUBSTITUTE(SUBSTITUTE(_xlfn.TEXTJOIN("",TRUE,IF(ISERR(MID(C2723,ROW(INDIRECT("1:100")),1)+0),MID(C2723,ROW(INDIRECT("1:100")),1),"")),")",""),"(","")</f>
        <v/>
      </c>
    </row>
    <row r="2724" spans="8:8" x14ac:dyDescent="0.25">
      <c r="H2724" s="4" t="str">
        <f t="array" aca="1" ref="H2724" ca="1">SUBSTITUTE(SUBSTITUTE(_xlfn.TEXTJOIN("",TRUE,IF(ISERR(MID(C2724,ROW(INDIRECT("1:100")),1)+0),MID(C2724,ROW(INDIRECT("1:100")),1),"")),")",""),"(","")</f>
        <v/>
      </c>
    </row>
    <row r="2725" spans="8:8" x14ac:dyDescent="0.25">
      <c r="H2725" s="4" t="str">
        <f t="array" aca="1" ref="H2725" ca="1">SUBSTITUTE(SUBSTITUTE(_xlfn.TEXTJOIN("",TRUE,IF(ISERR(MID(C2725,ROW(INDIRECT("1:100")),1)+0),MID(C2725,ROW(INDIRECT("1:100")),1),"")),")",""),"(","")</f>
        <v/>
      </c>
    </row>
    <row r="2726" spans="8:8" x14ac:dyDescent="0.25">
      <c r="H2726" s="4" t="str">
        <f t="array" aca="1" ref="H2726" ca="1">SUBSTITUTE(SUBSTITUTE(_xlfn.TEXTJOIN("",TRUE,IF(ISERR(MID(C2726,ROW(INDIRECT("1:100")),1)+0),MID(C2726,ROW(INDIRECT("1:100")),1),"")),")",""),"(","")</f>
        <v/>
      </c>
    </row>
    <row r="2727" spans="8:8" x14ac:dyDescent="0.25">
      <c r="H2727" s="4" t="str">
        <f t="array" aca="1" ref="H2727" ca="1">SUBSTITUTE(SUBSTITUTE(_xlfn.TEXTJOIN("",TRUE,IF(ISERR(MID(C2727,ROW(INDIRECT("1:100")),1)+0),MID(C2727,ROW(INDIRECT("1:100")),1),"")),")",""),"(","")</f>
        <v/>
      </c>
    </row>
    <row r="2728" spans="8:8" x14ac:dyDescent="0.25">
      <c r="H2728" s="4" t="str">
        <f t="array" aca="1" ref="H2728" ca="1">SUBSTITUTE(SUBSTITUTE(_xlfn.TEXTJOIN("",TRUE,IF(ISERR(MID(C2728,ROW(INDIRECT("1:100")),1)+0),MID(C2728,ROW(INDIRECT("1:100")),1),"")),")",""),"(","")</f>
        <v/>
      </c>
    </row>
    <row r="2729" spans="8:8" x14ac:dyDescent="0.25">
      <c r="H2729" s="4" t="str">
        <f t="array" aca="1" ref="H2729" ca="1">SUBSTITUTE(SUBSTITUTE(_xlfn.TEXTJOIN("",TRUE,IF(ISERR(MID(C2729,ROW(INDIRECT("1:100")),1)+0),MID(C2729,ROW(INDIRECT("1:100")),1),"")),")",""),"(","")</f>
        <v/>
      </c>
    </row>
    <row r="2730" spans="8:8" x14ac:dyDescent="0.25">
      <c r="H2730" s="4" t="str">
        <f t="array" aca="1" ref="H2730" ca="1">SUBSTITUTE(SUBSTITUTE(_xlfn.TEXTJOIN("",TRUE,IF(ISERR(MID(C2730,ROW(INDIRECT("1:100")),1)+0),MID(C2730,ROW(INDIRECT("1:100")),1),"")),")",""),"(","")</f>
        <v/>
      </c>
    </row>
    <row r="2731" spans="8:8" x14ac:dyDescent="0.25">
      <c r="H2731" s="4" t="str">
        <f t="array" aca="1" ref="H2731" ca="1">SUBSTITUTE(SUBSTITUTE(_xlfn.TEXTJOIN("",TRUE,IF(ISERR(MID(C2731,ROW(INDIRECT("1:100")),1)+0),MID(C2731,ROW(INDIRECT("1:100")),1),"")),")",""),"(","")</f>
        <v/>
      </c>
    </row>
    <row r="2732" spans="8:8" x14ac:dyDescent="0.25">
      <c r="H2732" s="4" t="str">
        <f t="array" aca="1" ref="H2732" ca="1">SUBSTITUTE(SUBSTITUTE(_xlfn.TEXTJOIN("",TRUE,IF(ISERR(MID(C2732,ROW(INDIRECT("1:100")),1)+0),MID(C2732,ROW(INDIRECT("1:100")),1),"")),")",""),"(","")</f>
        <v/>
      </c>
    </row>
    <row r="2733" spans="8:8" x14ac:dyDescent="0.25">
      <c r="H2733" s="4" t="str">
        <f t="array" aca="1" ref="H2733" ca="1">SUBSTITUTE(SUBSTITUTE(_xlfn.TEXTJOIN("",TRUE,IF(ISERR(MID(C2733,ROW(INDIRECT("1:100")),1)+0),MID(C2733,ROW(INDIRECT("1:100")),1),"")),")",""),"(","")</f>
        <v/>
      </c>
    </row>
    <row r="2734" spans="8:8" x14ac:dyDescent="0.25">
      <c r="H2734" s="4" t="str">
        <f t="array" aca="1" ref="H2734" ca="1">SUBSTITUTE(SUBSTITUTE(_xlfn.TEXTJOIN("",TRUE,IF(ISERR(MID(C2734,ROW(INDIRECT("1:100")),1)+0),MID(C2734,ROW(INDIRECT("1:100")),1),"")),")",""),"(","")</f>
        <v/>
      </c>
    </row>
    <row r="2735" spans="8:8" x14ac:dyDescent="0.25">
      <c r="H2735" s="4" t="str">
        <f t="array" aca="1" ref="H2735" ca="1">SUBSTITUTE(SUBSTITUTE(_xlfn.TEXTJOIN("",TRUE,IF(ISERR(MID(C2735,ROW(INDIRECT("1:100")),1)+0),MID(C2735,ROW(INDIRECT("1:100")),1),"")),")",""),"(","")</f>
        <v/>
      </c>
    </row>
    <row r="2736" spans="8:8" x14ac:dyDescent="0.25">
      <c r="H2736" s="4" t="str">
        <f t="array" aca="1" ref="H2736" ca="1">SUBSTITUTE(SUBSTITUTE(_xlfn.TEXTJOIN("",TRUE,IF(ISERR(MID(C2736,ROW(INDIRECT("1:100")),1)+0),MID(C2736,ROW(INDIRECT("1:100")),1),"")),")",""),"(","")</f>
        <v/>
      </c>
    </row>
    <row r="2737" spans="8:8" x14ac:dyDescent="0.25">
      <c r="H2737" s="4" t="str">
        <f t="array" aca="1" ref="H2737" ca="1">SUBSTITUTE(SUBSTITUTE(_xlfn.TEXTJOIN("",TRUE,IF(ISERR(MID(C2737,ROW(INDIRECT("1:100")),1)+0),MID(C2737,ROW(INDIRECT("1:100")),1),"")),")",""),"(","")</f>
        <v/>
      </c>
    </row>
    <row r="2738" spans="8:8" x14ac:dyDescent="0.25">
      <c r="H2738" s="4" t="str">
        <f t="array" aca="1" ref="H2738" ca="1">SUBSTITUTE(SUBSTITUTE(_xlfn.TEXTJOIN("",TRUE,IF(ISERR(MID(C2738,ROW(INDIRECT("1:100")),1)+0),MID(C2738,ROW(INDIRECT("1:100")),1),"")),")",""),"(","")</f>
        <v/>
      </c>
    </row>
    <row r="2739" spans="8:8" x14ac:dyDescent="0.25">
      <c r="H2739" s="4" t="str">
        <f t="array" aca="1" ref="H2739" ca="1">SUBSTITUTE(SUBSTITUTE(_xlfn.TEXTJOIN("",TRUE,IF(ISERR(MID(C2739,ROW(INDIRECT("1:100")),1)+0),MID(C2739,ROW(INDIRECT("1:100")),1),"")),")",""),"(","")</f>
        <v/>
      </c>
    </row>
    <row r="2740" spans="8:8" x14ac:dyDescent="0.25">
      <c r="H2740" s="4" t="str">
        <f t="array" aca="1" ref="H2740" ca="1">SUBSTITUTE(SUBSTITUTE(_xlfn.TEXTJOIN("",TRUE,IF(ISERR(MID(C2740,ROW(INDIRECT("1:100")),1)+0),MID(C2740,ROW(INDIRECT("1:100")),1),"")),")",""),"(","")</f>
        <v/>
      </c>
    </row>
    <row r="2741" spans="8:8" x14ac:dyDescent="0.25">
      <c r="H2741" s="4" t="str">
        <f t="array" aca="1" ref="H2741" ca="1">SUBSTITUTE(SUBSTITUTE(_xlfn.TEXTJOIN("",TRUE,IF(ISERR(MID(C2741,ROW(INDIRECT("1:100")),1)+0),MID(C2741,ROW(INDIRECT("1:100")),1),"")),")",""),"(","")</f>
        <v/>
      </c>
    </row>
    <row r="2742" spans="8:8" x14ac:dyDescent="0.25">
      <c r="H2742" s="4" t="str">
        <f t="array" aca="1" ref="H2742" ca="1">SUBSTITUTE(SUBSTITUTE(_xlfn.TEXTJOIN("",TRUE,IF(ISERR(MID(C2742,ROW(INDIRECT("1:100")),1)+0),MID(C2742,ROW(INDIRECT("1:100")),1),"")),")",""),"(","")</f>
        <v/>
      </c>
    </row>
    <row r="2743" spans="8:8" x14ac:dyDescent="0.25">
      <c r="H2743" s="4" t="str">
        <f t="array" aca="1" ref="H2743" ca="1">SUBSTITUTE(SUBSTITUTE(_xlfn.TEXTJOIN("",TRUE,IF(ISERR(MID(C2743,ROW(INDIRECT("1:100")),1)+0),MID(C2743,ROW(INDIRECT("1:100")),1),"")),")",""),"(","")</f>
        <v/>
      </c>
    </row>
    <row r="2744" spans="8:8" x14ac:dyDescent="0.25">
      <c r="H2744" s="4" t="str">
        <f t="array" aca="1" ref="H2744" ca="1">SUBSTITUTE(SUBSTITUTE(_xlfn.TEXTJOIN("",TRUE,IF(ISERR(MID(C2744,ROW(INDIRECT("1:100")),1)+0),MID(C2744,ROW(INDIRECT("1:100")),1),"")),")",""),"(","")</f>
        <v/>
      </c>
    </row>
    <row r="2745" spans="8:8" x14ac:dyDescent="0.25">
      <c r="H2745" s="4" t="str">
        <f t="array" aca="1" ref="H2745" ca="1">SUBSTITUTE(SUBSTITUTE(_xlfn.TEXTJOIN("",TRUE,IF(ISERR(MID(C2745,ROW(INDIRECT("1:100")),1)+0),MID(C2745,ROW(INDIRECT("1:100")),1),"")),")",""),"(","")</f>
        <v/>
      </c>
    </row>
    <row r="2746" spans="8:8" x14ac:dyDescent="0.25">
      <c r="H2746" s="4" t="str">
        <f t="array" aca="1" ref="H2746" ca="1">SUBSTITUTE(SUBSTITUTE(_xlfn.TEXTJOIN("",TRUE,IF(ISERR(MID(C2746,ROW(INDIRECT("1:100")),1)+0),MID(C2746,ROW(INDIRECT("1:100")),1),"")),")",""),"(","")</f>
        <v/>
      </c>
    </row>
    <row r="2747" spans="8:8" x14ac:dyDescent="0.25">
      <c r="H2747" s="4" t="str">
        <f t="array" aca="1" ref="H2747" ca="1">SUBSTITUTE(SUBSTITUTE(_xlfn.TEXTJOIN("",TRUE,IF(ISERR(MID(C2747,ROW(INDIRECT("1:100")),1)+0),MID(C2747,ROW(INDIRECT("1:100")),1),"")),")",""),"(","")</f>
        <v/>
      </c>
    </row>
    <row r="2748" spans="8:8" x14ac:dyDescent="0.25">
      <c r="H2748" s="4" t="str">
        <f t="array" aca="1" ref="H2748" ca="1">SUBSTITUTE(SUBSTITUTE(_xlfn.TEXTJOIN("",TRUE,IF(ISERR(MID(C2748,ROW(INDIRECT("1:100")),1)+0),MID(C2748,ROW(INDIRECT("1:100")),1),"")),")",""),"(","")</f>
        <v/>
      </c>
    </row>
    <row r="2749" spans="8:8" x14ac:dyDescent="0.25">
      <c r="H2749" s="4" t="str">
        <f t="array" aca="1" ref="H2749" ca="1">SUBSTITUTE(SUBSTITUTE(_xlfn.TEXTJOIN("",TRUE,IF(ISERR(MID(C2749,ROW(INDIRECT("1:100")),1)+0),MID(C2749,ROW(INDIRECT("1:100")),1),"")),")",""),"(","")</f>
        <v/>
      </c>
    </row>
    <row r="2750" spans="8:8" x14ac:dyDescent="0.25">
      <c r="H2750" s="4" t="str">
        <f t="array" aca="1" ref="H2750" ca="1">SUBSTITUTE(SUBSTITUTE(_xlfn.TEXTJOIN("",TRUE,IF(ISERR(MID(C2750,ROW(INDIRECT("1:100")),1)+0),MID(C2750,ROW(INDIRECT("1:100")),1),"")),")",""),"(","")</f>
        <v/>
      </c>
    </row>
    <row r="2751" spans="8:8" x14ac:dyDescent="0.25">
      <c r="H2751" s="4" t="str">
        <f t="array" aca="1" ref="H2751" ca="1">SUBSTITUTE(SUBSTITUTE(_xlfn.TEXTJOIN("",TRUE,IF(ISERR(MID(C2751,ROW(INDIRECT("1:100")),1)+0),MID(C2751,ROW(INDIRECT("1:100")),1),"")),")",""),"(","")</f>
        <v/>
      </c>
    </row>
    <row r="2752" spans="8:8" x14ac:dyDescent="0.25">
      <c r="H2752" s="4" t="str">
        <f t="array" aca="1" ref="H2752" ca="1">SUBSTITUTE(SUBSTITUTE(_xlfn.TEXTJOIN("",TRUE,IF(ISERR(MID(C2752,ROW(INDIRECT("1:100")),1)+0),MID(C2752,ROW(INDIRECT("1:100")),1),"")),")",""),"(","")</f>
        <v/>
      </c>
    </row>
    <row r="2753" spans="8:8" x14ac:dyDescent="0.25">
      <c r="H2753" s="4" t="str">
        <f t="array" aca="1" ref="H2753" ca="1">SUBSTITUTE(SUBSTITUTE(_xlfn.TEXTJOIN("",TRUE,IF(ISERR(MID(C2753,ROW(INDIRECT("1:100")),1)+0),MID(C2753,ROW(INDIRECT("1:100")),1),"")),")",""),"(","")</f>
        <v/>
      </c>
    </row>
    <row r="2754" spans="8:8" x14ac:dyDescent="0.25">
      <c r="H2754" s="4" t="str">
        <f t="array" aca="1" ref="H2754" ca="1">SUBSTITUTE(SUBSTITUTE(_xlfn.TEXTJOIN("",TRUE,IF(ISERR(MID(C2754,ROW(INDIRECT("1:100")),1)+0),MID(C2754,ROW(INDIRECT("1:100")),1),"")),")",""),"(","")</f>
        <v/>
      </c>
    </row>
    <row r="2755" spans="8:8" x14ac:dyDescent="0.25">
      <c r="H2755" s="4" t="str">
        <f t="array" aca="1" ref="H2755" ca="1">SUBSTITUTE(SUBSTITUTE(_xlfn.TEXTJOIN("",TRUE,IF(ISERR(MID(C2755,ROW(INDIRECT("1:100")),1)+0),MID(C2755,ROW(INDIRECT("1:100")),1),"")),")",""),"(","")</f>
        <v/>
      </c>
    </row>
    <row r="2756" spans="8:8" x14ac:dyDescent="0.25">
      <c r="H2756" s="4" t="str">
        <f t="array" aca="1" ref="H2756" ca="1">SUBSTITUTE(SUBSTITUTE(_xlfn.TEXTJOIN("",TRUE,IF(ISERR(MID(C2756,ROW(INDIRECT("1:100")),1)+0),MID(C2756,ROW(INDIRECT("1:100")),1),"")),")",""),"(","")</f>
        <v/>
      </c>
    </row>
    <row r="2757" spans="8:8" x14ac:dyDescent="0.25">
      <c r="H2757" s="4" t="str">
        <f t="array" aca="1" ref="H2757" ca="1">SUBSTITUTE(SUBSTITUTE(_xlfn.TEXTJOIN("",TRUE,IF(ISERR(MID(C2757,ROW(INDIRECT("1:100")),1)+0),MID(C2757,ROW(INDIRECT("1:100")),1),"")),")",""),"(","")</f>
        <v/>
      </c>
    </row>
    <row r="2758" spans="8:8" x14ac:dyDescent="0.25">
      <c r="H2758" s="4" t="str">
        <f t="array" aca="1" ref="H2758" ca="1">SUBSTITUTE(SUBSTITUTE(_xlfn.TEXTJOIN("",TRUE,IF(ISERR(MID(C2758,ROW(INDIRECT("1:100")),1)+0),MID(C2758,ROW(INDIRECT("1:100")),1),"")),")",""),"(","")</f>
        <v/>
      </c>
    </row>
    <row r="2759" spans="8:8" x14ac:dyDescent="0.25">
      <c r="H2759" s="4" t="str">
        <f t="array" aca="1" ref="H2759" ca="1">SUBSTITUTE(SUBSTITUTE(_xlfn.TEXTJOIN("",TRUE,IF(ISERR(MID(C2759,ROW(INDIRECT("1:100")),1)+0),MID(C2759,ROW(INDIRECT("1:100")),1),"")),")",""),"(","")</f>
        <v/>
      </c>
    </row>
    <row r="2760" spans="8:8" x14ac:dyDescent="0.25">
      <c r="H2760" s="4" t="str">
        <f t="array" aca="1" ref="H2760" ca="1">SUBSTITUTE(SUBSTITUTE(_xlfn.TEXTJOIN("",TRUE,IF(ISERR(MID(C2760,ROW(INDIRECT("1:100")),1)+0),MID(C2760,ROW(INDIRECT("1:100")),1),"")),")",""),"(","")</f>
        <v/>
      </c>
    </row>
    <row r="2761" spans="8:8" x14ac:dyDescent="0.25">
      <c r="H2761" s="4" t="str">
        <f t="array" aca="1" ref="H2761" ca="1">SUBSTITUTE(SUBSTITUTE(_xlfn.TEXTJOIN("",TRUE,IF(ISERR(MID(C2761,ROW(INDIRECT("1:100")),1)+0),MID(C2761,ROW(INDIRECT("1:100")),1),"")),")",""),"(","")</f>
        <v/>
      </c>
    </row>
    <row r="2762" spans="8:8" x14ac:dyDescent="0.25">
      <c r="H2762" s="4" t="str">
        <f t="array" aca="1" ref="H2762" ca="1">SUBSTITUTE(SUBSTITUTE(_xlfn.TEXTJOIN("",TRUE,IF(ISERR(MID(C2762,ROW(INDIRECT("1:100")),1)+0),MID(C2762,ROW(INDIRECT("1:100")),1),"")),")",""),"(","")</f>
        <v/>
      </c>
    </row>
    <row r="2763" spans="8:8" x14ac:dyDescent="0.25">
      <c r="H2763" s="4" t="str">
        <f t="array" aca="1" ref="H2763" ca="1">SUBSTITUTE(SUBSTITUTE(_xlfn.TEXTJOIN("",TRUE,IF(ISERR(MID(C2763,ROW(INDIRECT("1:100")),1)+0),MID(C2763,ROW(INDIRECT("1:100")),1),"")),")",""),"(","")</f>
        <v/>
      </c>
    </row>
    <row r="2764" spans="8:8" x14ac:dyDescent="0.25">
      <c r="H2764" s="4" t="str">
        <f t="array" aca="1" ref="H2764" ca="1">SUBSTITUTE(SUBSTITUTE(_xlfn.TEXTJOIN("",TRUE,IF(ISERR(MID(C2764,ROW(INDIRECT("1:100")),1)+0),MID(C2764,ROW(INDIRECT("1:100")),1),"")),")",""),"(","")</f>
        <v/>
      </c>
    </row>
    <row r="2765" spans="8:8" x14ac:dyDescent="0.25">
      <c r="H2765" s="4" t="str">
        <f t="array" aca="1" ref="H2765" ca="1">SUBSTITUTE(SUBSTITUTE(_xlfn.TEXTJOIN("",TRUE,IF(ISERR(MID(C2765,ROW(INDIRECT("1:100")),1)+0),MID(C2765,ROW(INDIRECT("1:100")),1),"")),")",""),"(","")</f>
        <v/>
      </c>
    </row>
    <row r="2766" spans="8:8" x14ac:dyDescent="0.25">
      <c r="H2766" s="4" t="str">
        <f t="array" aca="1" ref="H2766" ca="1">SUBSTITUTE(SUBSTITUTE(_xlfn.TEXTJOIN("",TRUE,IF(ISERR(MID(C2766,ROW(INDIRECT("1:100")),1)+0),MID(C2766,ROW(INDIRECT("1:100")),1),"")),")",""),"(","")</f>
        <v/>
      </c>
    </row>
    <row r="2767" spans="8:8" x14ac:dyDescent="0.25">
      <c r="H2767" s="4" t="str">
        <f t="array" aca="1" ref="H2767" ca="1">SUBSTITUTE(SUBSTITUTE(_xlfn.TEXTJOIN("",TRUE,IF(ISERR(MID(C2767,ROW(INDIRECT("1:100")),1)+0),MID(C2767,ROW(INDIRECT("1:100")),1),"")),")",""),"(","")</f>
        <v/>
      </c>
    </row>
    <row r="2768" spans="8:8" x14ac:dyDescent="0.25">
      <c r="H2768" s="4" t="str">
        <f t="array" aca="1" ref="H2768" ca="1">SUBSTITUTE(SUBSTITUTE(_xlfn.TEXTJOIN("",TRUE,IF(ISERR(MID(C2768,ROW(INDIRECT("1:100")),1)+0),MID(C2768,ROW(INDIRECT("1:100")),1),"")),")",""),"(","")</f>
        <v/>
      </c>
    </row>
    <row r="2769" spans="8:8" x14ac:dyDescent="0.25">
      <c r="H2769" s="4" t="str">
        <f t="array" aca="1" ref="H2769" ca="1">SUBSTITUTE(SUBSTITUTE(_xlfn.TEXTJOIN("",TRUE,IF(ISERR(MID(C2769,ROW(INDIRECT("1:100")),1)+0),MID(C2769,ROW(INDIRECT("1:100")),1),"")),")",""),"(","")</f>
        <v/>
      </c>
    </row>
    <row r="2770" spans="8:8" x14ac:dyDescent="0.25">
      <c r="H2770" s="4" t="str">
        <f t="array" aca="1" ref="H2770" ca="1">SUBSTITUTE(SUBSTITUTE(_xlfn.TEXTJOIN("",TRUE,IF(ISERR(MID(C2770,ROW(INDIRECT("1:100")),1)+0),MID(C2770,ROW(INDIRECT("1:100")),1),"")),")",""),"(","")</f>
        <v/>
      </c>
    </row>
    <row r="2771" spans="8:8" x14ac:dyDescent="0.25">
      <c r="H2771" s="4" t="str">
        <f t="array" aca="1" ref="H2771" ca="1">SUBSTITUTE(SUBSTITUTE(_xlfn.TEXTJOIN("",TRUE,IF(ISERR(MID(C2771,ROW(INDIRECT("1:100")),1)+0),MID(C2771,ROW(INDIRECT("1:100")),1),"")),")",""),"(","")</f>
        <v/>
      </c>
    </row>
    <row r="2772" spans="8:8" x14ac:dyDescent="0.25">
      <c r="H2772" s="4" t="str">
        <f t="array" aca="1" ref="H2772" ca="1">SUBSTITUTE(SUBSTITUTE(_xlfn.TEXTJOIN("",TRUE,IF(ISERR(MID(C2772,ROW(INDIRECT("1:100")),1)+0),MID(C2772,ROW(INDIRECT("1:100")),1),"")),")",""),"(","")</f>
        <v/>
      </c>
    </row>
    <row r="2773" spans="8:8" x14ac:dyDescent="0.25">
      <c r="H2773" s="4" t="str">
        <f t="array" aca="1" ref="H2773" ca="1">SUBSTITUTE(SUBSTITUTE(_xlfn.TEXTJOIN("",TRUE,IF(ISERR(MID(C2773,ROW(INDIRECT("1:100")),1)+0),MID(C2773,ROW(INDIRECT("1:100")),1),"")),")",""),"(","")</f>
        <v/>
      </c>
    </row>
    <row r="2774" spans="8:8" x14ac:dyDescent="0.25">
      <c r="H2774" s="4" t="str">
        <f t="array" aca="1" ref="H2774" ca="1">SUBSTITUTE(SUBSTITUTE(_xlfn.TEXTJOIN("",TRUE,IF(ISERR(MID(C2774,ROW(INDIRECT("1:100")),1)+0),MID(C2774,ROW(INDIRECT("1:100")),1),"")),")",""),"(","")</f>
        <v/>
      </c>
    </row>
    <row r="2775" spans="8:8" x14ac:dyDescent="0.25">
      <c r="H2775" s="4" t="str">
        <f t="array" aca="1" ref="H2775" ca="1">SUBSTITUTE(SUBSTITUTE(_xlfn.TEXTJOIN("",TRUE,IF(ISERR(MID(C2775,ROW(INDIRECT("1:100")),1)+0),MID(C2775,ROW(INDIRECT("1:100")),1),"")),")",""),"(","")</f>
        <v/>
      </c>
    </row>
    <row r="2776" spans="8:8" x14ac:dyDescent="0.25">
      <c r="H2776" s="4" t="str">
        <f t="array" aca="1" ref="H2776" ca="1">SUBSTITUTE(SUBSTITUTE(_xlfn.TEXTJOIN("",TRUE,IF(ISERR(MID(C2776,ROW(INDIRECT("1:100")),1)+0),MID(C2776,ROW(INDIRECT("1:100")),1),"")),")",""),"(","")</f>
        <v/>
      </c>
    </row>
    <row r="2777" spans="8:8" x14ac:dyDescent="0.25">
      <c r="H2777" s="4" t="str">
        <f t="array" aca="1" ref="H2777" ca="1">SUBSTITUTE(SUBSTITUTE(_xlfn.TEXTJOIN("",TRUE,IF(ISERR(MID(C2777,ROW(INDIRECT("1:100")),1)+0),MID(C2777,ROW(INDIRECT("1:100")),1),"")),")",""),"(","")</f>
        <v/>
      </c>
    </row>
    <row r="2778" spans="8:8" x14ac:dyDescent="0.25">
      <c r="H2778" s="4" t="str">
        <f t="array" aca="1" ref="H2778" ca="1">SUBSTITUTE(SUBSTITUTE(_xlfn.TEXTJOIN("",TRUE,IF(ISERR(MID(C2778,ROW(INDIRECT("1:100")),1)+0),MID(C2778,ROW(INDIRECT("1:100")),1),"")),")",""),"(","")</f>
        <v/>
      </c>
    </row>
    <row r="2779" spans="8:8" x14ac:dyDescent="0.25">
      <c r="H2779" s="4" t="str">
        <f t="array" aca="1" ref="H2779" ca="1">SUBSTITUTE(SUBSTITUTE(_xlfn.TEXTJOIN("",TRUE,IF(ISERR(MID(C2779,ROW(INDIRECT("1:100")),1)+0),MID(C2779,ROW(INDIRECT("1:100")),1),"")),")",""),"(","")</f>
        <v/>
      </c>
    </row>
    <row r="2780" spans="8:8" x14ac:dyDescent="0.25">
      <c r="H2780" s="4" t="str">
        <f t="array" aca="1" ref="H2780" ca="1">SUBSTITUTE(SUBSTITUTE(_xlfn.TEXTJOIN("",TRUE,IF(ISERR(MID(C2780,ROW(INDIRECT("1:100")),1)+0),MID(C2780,ROW(INDIRECT("1:100")),1),"")),")",""),"(","")</f>
        <v/>
      </c>
    </row>
    <row r="2781" spans="8:8" x14ac:dyDescent="0.25">
      <c r="H2781" s="4" t="str">
        <f t="array" aca="1" ref="H2781" ca="1">SUBSTITUTE(SUBSTITUTE(_xlfn.TEXTJOIN("",TRUE,IF(ISERR(MID(C2781,ROW(INDIRECT("1:100")),1)+0),MID(C2781,ROW(INDIRECT("1:100")),1),"")),")",""),"(","")</f>
        <v/>
      </c>
    </row>
    <row r="2782" spans="8:8" x14ac:dyDescent="0.25">
      <c r="H2782" s="4" t="str">
        <f t="array" aca="1" ref="H2782" ca="1">SUBSTITUTE(SUBSTITUTE(_xlfn.TEXTJOIN("",TRUE,IF(ISERR(MID(C2782,ROW(INDIRECT("1:100")),1)+0),MID(C2782,ROW(INDIRECT("1:100")),1),"")),")",""),"(","")</f>
        <v/>
      </c>
    </row>
    <row r="2783" spans="8:8" x14ac:dyDescent="0.25">
      <c r="H2783" s="4" t="str">
        <f t="array" aca="1" ref="H2783" ca="1">SUBSTITUTE(SUBSTITUTE(_xlfn.TEXTJOIN("",TRUE,IF(ISERR(MID(C2783,ROW(INDIRECT("1:100")),1)+0),MID(C2783,ROW(INDIRECT("1:100")),1),"")),")",""),"(","")</f>
        <v/>
      </c>
    </row>
    <row r="2784" spans="8:8" x14ac:dyDescent="0.25">
      <c r="H2784" s="4" t="str">
        <f t="array" aca="1" ref="H2784" ca="1">SUBSTITUTE(SUBSTITUTE(_xlfn.TEXTJOIN("",TRUE,IF(ISERR(MID(C2784,ROW(INDIRECT("1:100")),1)+0),MID(C2784,ROW(INDIRECT("1:100")),1),"")),")",""),"(","")</f>
        <v/>
      </c>
    </row>
    <row r="2785" spans="8:8" x14ac:dyDescent="0.25">
      <c r="H2785" s="4" t="str">
        <f t="array" aca="1" ref="H2785" ca="1">SUBSTITUTE(SUBSTITUTE(_xlfn.TEXTJOIN("",TRUE,IF(ISERR(MID(C2785,ROW(INDIRECT("1:100")),1)+0),MID(C2785,ROW(INDIRECT("1:100")),1),"")),")",""),"(","")</f>
        <v/>
      </c>
    </row>
    <row r="2786" spans="8:8" x14ac:dyDescent="0.25">
      <c r="H2786" s="4" t="str">
        <f t="array" aca="1" ref="H2786" ca="1">SUBSTITUTE(SUBSTITUTE(_xlfn.TEXTJOIN("",TRUE,IF(ISERR(MID(C2786,ROW(INDIRECT("1:100")),1)+0),MID(C2786,ROW(INDIRECT("1:100")),1),"")),")",""),"(","")</f>
        <v/>
      </c>
    </row>
    <row r="2787" spans="8:8" x14ac:dyDescent="0.25">
      <c r="H2787" s="4" t="str">
        <f t="array" aca="1" ref="H2787" ca="1">SUBSTITUTE(SUBSTITUTE(_xlfn.TEXTJOIN("",TRUE,IF(ISERR(MID(C2787,ROW(INDIRECT("1:100")),1)+0),MID(C2787,ROW(INDIRECT("1:100")),1),"")),")",""),"(","")</f>
        <v/>
      </c>
    </row>
    <row r="2788" spans="8:8" x14ac:dyDescent="0.25">
      <c r="H2788" s="4" t="str">
        <f t="array" aca="1" ref="H2788" ca="1">SUBSTITUTE(SUBSTITUTE(_xlfn.TEXTJOIN("",TRUE,IF(ISERR(MID(C2788,ROW(INDIRECT("1:100")),1)+0),MID(C2788,ROW(INDIRECT("1:100")),1),"")),")",""),"(","")</f>
        <v/>
      </c>
    </row>
    <row r="2789" spans="8:8" x14ac:dyDescent="0.25">
      <c r="H2789" s="4" t="str">
        <f t="array" aca="1" ref="H2789" ca="1">SUBSTITUTE(SUBSTITUTE(_xlfn.TEXTJOIN("",TRUE,IF(ISERR(MID(C2789,ROW(INDIRECT("1:100")),1)+0),MID(C2789,ROW(INDIRECT("1:100")),1),"")),")",""),"(","")</f>
        <v/>
      </c>
    </row>
    <row r="2790" spans="8:8" x14ac:dyDescent="0.25">
      <c r="H2790" s="4" t="str">
        <f t="array" aca="1" ref="H2790" ca="1">SUBSTITUTE(SUBSTITUTE(_xlfn.TEXTJOIN("",TRUE,IF(ISERR(MID(C2790,ROW(INDIRECT("1:100")),1)+0),MID(C2790,ROW(INDIRECT("1:100")),1),"")),")",""),"(","")</f>
        <v/>
      </c>
    </row>
    <row r="2791" spans="8:8" x14ac:dyDescent="0.25">
      <c r="H2791" s="4" t="str">
        <f t="array" aca="1" ref="H2791" ca="1">SUBSTITUTE(SUBSTITUTE(_xlfn.TEXTJOIN("",TRUE,IF(ISERR(MID(C2791,ROW(INDIRECT("1:100")),1)+0),MID(C2791,ROW(INDIRECT("1:100")),1),"")),")",""),"(","")</f>
        <v/>
      </c>
    </row>
    <row r="2792" spans="8:8" x14ac:dyDescent="0.25">
      <c r="H2792" s="4" t="str">
        <f t="array" aca="1" ref="H2792" ca="1">SUBSTITUTE(SUBSTITUTE(_xlfn.TEXTJOIN("",TRUE,IF(ISERR(MID(C2792,ROW(INDIRECT("1:100")),1)+0),MID(C2792,ROW(INDIRECT("1:100")),1),"")),")",""),"(","")</f>
        <v/>
      </c>
    </row>
    <row r="2793" spans="8:8" x14ac:dyDescent="0.25">
      <c r="H2793" s="4" t="str">
        <f t="array" aca="1" ref="H2793" ca="1">SUBSTITUTE(SUBSTITUTE(_xlfn.TEXTJOIN("",TRUE,IF(ISERR(MID(C2793,ROW(INDIRECT("1:100")),1)+0),MID(C2793,ROW(INDIRECT("1:100")),1),"")),")",""),"(","")</f>
        <v/>
      </c>
    </row>
    <row r="2794" spans="8:8" x14ac:dyDescent="0.25">
      <c r="H2794" s="4" t="str">
        <f t="array" aca="1" ref="H2794" ca="1">SUBSTITUTE(SUBSTITUTE(_xlfn.TEXTJOIN("",TRUE,IF(ISERR(MID(C2794,ROW(INDIRECT("1:100")),1)+0),MID(C2794,ROW(INDIRECT("1:100")),1),"")),")",""),"(","")</f>
        <v/>
      </c>
    </row>
    <row r="2795" spans="8:8" x14ac:dyDescent="0.25">
      <c r="H2795" s="4" t="str">
        <f t="array" aca="1" ref="H2795" ca="1">SUBSTITUTE(SUBSTITUTE(_xlfn.TEXTJOIN("",TRUE,IF(ISERR(MID(C2795,ROW(INDIRECT("1:100")),1)+0),MID(C2795,ROW(INDIRECT("1:100")),1),"")),")",""),"(","")</f>
        <v/>
      </c>
    </row>
    <row r="2796" spans="8:8" x14ac:dyDescent="0.25">
      <c r="H2796" s="4" t="str">
        <f t="array" aca="1" ref="H2796" ca="1">SUBSTITUTE(SUBSTITUTE(_xlfn.TEXTJOIN("",TRUE,IF(ISERR(MID(C2796,ROW(INDIRECT("1:100")),1)+0),MID(C2796,ROW(INDIRECT("1:100")),1),"")),")",""),"(","")</f>
        <v/>
      </c>
    </row>
    <row r="2797" spans="8:8" x14ac:dyDescent="0.25">
      <c r="H2797" s="4" t="str">
        <f t="array" aca="1" ref="H2797" ca="1">SUBSTITUTE(SUBSTITUTE(_xlfn.TEXTJOIN("",TRUE,IF(ISERR(MID(C2797,ROW(INDIRECT("1:100")),1)+0),MID(C2797,ROW(INDIRECT("1:100")),1),"")),")",""),"(","")</f>
        <v/>
      </c>
    </row>
    <row r="2798" spans="8:8" x14ac:dyDescent="0.25">
      <c r="H2798" s="4" t="str">
        <f t="array" aca="1" ref="H2798" ca="1">SUBSTITUTE(SUBSTITUTE(_xlfn.TEXTJOIN("",TRUE,IF(ISERR(MID(C2798,ROW(INDIRECT("1:100")),1)+0),MID(C2798,ROW(INDIRECT("1:100")),1),"")),")",""),"(","")</f>
        <v/>
      </c>
    </row>
    <row r="2799" spans="8:8" x14ac:dyDescent="0.25">
      <c r="H2799" s="4" t="str">
        <f t="array" aca="1" ref="H2799" ca="1">SUBSTITUTE(SUBSTITUTE(_xlfn.TEXTJOIN("",TRUE,IF(ISERR(MID(C2799,ROW(INDIRECT("1:100")),1)+0),MID(C2799,ROW(INDIRECT("1:100")),1),"")),")",""),"(","")</f>
        <v/>
      </c>
    </row>
    <row r="2800" spans="8:8" x14ac:dyDescent="0.25">
      <c r="H2800" s="4" t="str">
        <f t="array" aca="1" ref="H2800" ca="1">SUBSTITUTE(SUBSTITUTE(_xlfn.TEXTJOIN("",TRUE,IF(ISERR(MID(C2800,ROW(INDIRECT("1:100")),1)+0),MID(C2800,ROW(INDIRECT("1:100")),1),"")),")",""),"(","")</f>
        <v/>
      </c>
    </row>
    <row r="2801" spans="8:8" x14ac:dyDescent="0.25">
      <c r="H2801" s="4" t="str">
        <f t="array" aca="1" ref="H2801" ca="1">SUBSTITUTE(SUBSTITUTE(_xlfn.TEXTJOIN("",TRUE,IF(ISERR(MID(C2801,ROW(INDIRECT("1:100")),1)+0),MID(C2801,ROW(INDIRECT("1:100")),1),"")),")",""),"(","")</f>
        <v/>
      </c>
    </row>
    <row r="2802" spans="8:8" x14ac:dyDescent="0.25">
      <c r="H2802" s="4" t="str">
        <f t="array" aca="1" ref="H2802" ca="1">SUBSTITUTE(SUBSTITUTE(_xlfn.TEXTJOIN("",TRUE,IF(ISERR(MID(C2802,ROW(INDIRECT("1:100")),1)+0),MID(C2802,ROW(INDIRECT("1:100")),1),"")),")",""),"(","")</f>
        <v/>
      </c>
    </row>
    <row r="2803" spans="8:8" x14ac:dyDescent="0.25">
      <c r="H2803" s="4" t="str">
        <f t="array" aca="1" ref="H2803" ca="1">SUBSTITUTE(SUBSTITUTE(_xlfn.TEXTJOIN("",TRUE,IF(ISERR(MID(C2803,ROW(INDIRECT("1:100")),1)+0),MID(C2803,ROW(INDIRECT("1:100")),1),"")),")",""),"(","")</f>
        <v/>
      </c>
    </row>
    <row r="2804" spans="8:8" x14ac:dyDescent="0.25">
      <c r="H2804" s="4" t="str">
        <f t="array" aca="1" ref="H2804" ca="1">SUBSTITUTE(SUBSTITUTE(_xlfn.TEXTJOIN("",TRUE,IF(ISERR(MID(C2804,ROW(INDIRECT("1:100")),1)+0),MID(C2804,ROW(INDIRECT("1:100")),1),"")),")",""),"(","")</f>
        <v/>
      </c>
    </row>
    <row r="2805" spans="8:8" x14ac:dyDescent="0.25">
      <c r="H2805" s="4" t="str">
        <f t="array" aca="1" ref="H2805" ca="1">SUBSTITUTE(SUBSTITUTE(_xlfn.TEXTJOIN("",TRUE,IF(ISERR(MID(C2805,ROW(INDIRECT("1:100")),1)+0),MID(C2805,ROW(INDIRECT("1:100")),1),"")),")",""),"(","")</f>
        <v/>
      </c>
    </row>
    <row r="2806" spans="8:8" x14ac:dyDescent="0.25">
      <c r="H2806" s="4" t="str">
        <f t="array" aca="1" ref="H2806" ca="1">SUBSTITUTE(SUBSTITUTE(_xlfn.TEXTJOIN("",TRUE,IF(ISERR(MID(C2806,ROW(INDIRECT("1:100")),1)+0),MID(C2806,ROW(INDIRECT("1:100")),1),"")),")",""),"(","")</f>
        <v/>
      </c>
    </row>
    <row r="2807" spans="8:8" x14ac:dyDescent="0.25">
      <c r="H2807" s="4" t="str">
        <f t="array" aca="1" ref="H2807" ca="1">SUBSTITUTE(SUBSTITUTE(_xlfn.TEXTJOIN("",TRUE,IF(ISERR(MID(C2807,ROW(INDIRECT("1:100")),1)+0),MID(C2807,ROW(INDIRECT("1:100")),1),"")),")",""),"(","")</f>
        <v/>
      </c>
    </row>
    <row r="2808" spans="8:8" x14ac:dyDescent="0.25">
      <c r="H2808" s="4" t="str">
        <f t="array" aca="1" ref="H2808" ca="1">SUBSTITUTE(SUBSTITUTE(_xlfn.TEXTJOIN("",TRUE,IF(ISERR(MID(C2808,ROW(INDIRECT("1:100")),1)+0),MID(C2808,ROW(INDIRECT("1:100")),1),"")),")",""),"(","")</f>
        <v/>
      </c>
    </row>
    <row r="2809" spans="8:8" x14ac:dyDescent="0.25">
      <c r="H2809" s="4" t="str">
        <f t="array" aca="1" ref="H2809" ca="1">SUBSTITUTE(SUBSTITUTE(_xlfn.TEXTJOIN("",TRUE,IF(ISERR(MID(C2809,ROW(INDIRECT("1:100")),1)+0),MID(C2809,ROW(INDIRECT("1:100")),1),"")),")",""),"(","")</f>
        <v/>
      </c>
    </row>
    <row r="2810" spans="8:8" x14ac:dyDescent="0.25">
      <c r="H2810" s="4" t="str">
        <f t="array" aca="1" ref="H2810" ca="1">SUBSTITUTE(SUBSTITUTE(_xlfn.TEXTJOIN("",TRUE,IF(ISERR(MID(C2810,ROW(INDIRECT("1:100")),1)+0),MID(C2810,ROW(INDIRECT("1:100")),1),"")),")",""),"(","")</f>
        <v/>
      </c>
    </row>
    <row r="2811" spans="8:8" x14ac:dyDescent="0.25">
      <c r="H2811" s="4" t="str">
        <f t="array" aca="1" ref="H2811" ca="1">SUBSTITUTE(SUBSTITUTE(_xlfn.TEXTJOIN("",TRUE,IF(ISERR(MID(C2811,ROW(INDIRECT("1:100")),1)+0),MID(C2811,ROW(INDIRECT("1:100")),1),"")),")",""),"(","")</f>
        <v/>
      </c>
    </row>
    <row r="2812" spans="8:8" x14ac:dyDescent="0.25">
      <c r="H2812" s="4" t="str">
        <f t="array" aca="1" ref="H2812" ca="1">SUBSTITUTE(SUBSTITUTE(_xlfn.TEXTJOIN("",TRUE,IF(ISERR(MID(C2812,ROW(INDIRECT("1:100")),1)+0),MID(C2812,ROW(INDIRECT("1:100")),1),"")),")",""),"(","")</f>
        <v/>
      </c>
    </row>
    <row r="2813" spans="8:8" x14ac:dyDescent="0.25">
      <c r="H2813" s="4" t="str">
        <f t="array" aca="1" ref="H2813" ca="1">SUBSTITUTE(SUBSTITUTE(_xlfn.TEXTJOIN("",TRUE,IF(ISERR(MID(C2813,ROW(INDIRECT("1:100")),1)+0),MID(C2813,ROW(INDIRECT("1:100")),1),"")),")",""),"(","")</f>
        <v/>
      </c>
    </row>
    <row r="2814" spans="8:8" x14ac:dyDescent="0.25">
      <c r="H2814" s="4" t="str">
        <f t="array" aca="1" ref="H2814" ca="1">SUBSTITUTE(SUBSTITUTE(_xlfn.TEXTJOIN("",TRUE,IF(ISERR(MID(C2814,ROW(INDIRECT("1:100")),1)+0),MID(C2814,ROW(INDIRECT("1:100")),1),"")),")",""),"(","")</f>
        <v/>
      </c>
    </row>
    <row r="2815" spans="8:8" x14ac:dyDescent="0.25">
      <c r="H2815" s="4" t="str">
        <f t="array" aca="1" ref="H2815" ca="1">SUBSTITUTE(SUBSTITUTE(_xlfn.TEXTJOIN("",TRUE,IF(ISERR(MID(C2815,ROW(INDIRECT("1:100")),1)+0),MID(C2815,ROW(INDIRECT("1:100")),1),"")),")",""),"(","")</f>
        <v/>
      </c>
    </row>
    <row r="2816" spans="8:8" x14ac:dyDescent="0.25">
      <c r="H2816" s="4" t="str">
        <f t="array" aca="1" ref="H2816" ca="1">SUBSTITUTE(SUBSTITUTE(_xlfn.TEXTJOIN("",TRUE,IF(ISERR(MID(C2816,ROW(INDIRECT("1:100")),1)+0),MID(C2816,ROW(INDIRECT("1:100")),1),"")),")",""),"(","")</f>
        <v/>
      </c>
    </row>
    <row r="2817" spans="8:8" x14ac:dyDescent="0.25">
      <c r="H2817" s="4" t="str">
        <f t="array" aca="1" ref="H2817" ca="1">SUBSTITUTE(SUBSTITUTE(_xlfn.TEXTJOIN("",TRUE,IF(ISERR(MID(C2817,ROW(INDIRECT("1:100")),1)+0),MID(C2817,ROW(INDIRECT("1:100")),1),"")),")",""),"(","")</f>
        <v/>
      </c>
    </row>
    <row r="2818" spans="8:8" x14ac:dyDescent="0.25">
      <c r="H2818" s="4" t="str">
        <f t="array" aca="1" ref="H2818" ca="1">SUBSTITUTE(SUBSTITUTE(_xlfn.TEXTJOIN("",TRUE,IF(ISERR(MID(C2818,ROW(INDIRECT("1:100")),1)+0),MID(C2818,ROW(INDIRECT("1:100")),1),"")),")",""),"(","")</f>
        <v/>
      </c>
    </row>
    <row r="2819" spans="8:8" x14ac:dyDescent="0.25">
      <c r="H2819" s="4" t="str">
        <f t="array" aca="1" ref="H2819" ca="1">SUBSTITUTE(SUBSTITUTE(_xlfn.TEXTJOIN("",TRUE,IF(ISERR(MID(C2819,ROW(INDIRECT("1:100")),1)+0),MID(C2819,ROW(INDIRECT("1:100")),1),"")),")",""),"(","")</f>
        <v/>
      </c>
    </row>
    <row r="2820" spans="8:8" x14ac:dyDescent="0.25">
      <c r="H2820" s="4" t="str">
        <f t="array" aca="1" ref="H2820" ca="1">SUBSTITUTE(SUBSTITUTE(_xlfn.TEXTJOIN("",TRUE,IF(ISERR(MID(C2820,ROW(INDIRECT("1:100")),1)+0),MID(C2820,ROW(INDIRECT("1:100")),1),"")),")",""),"(","")</f>
        <v/>
      </c>
    </row>
    <row r="2821" spans="8:8" x14ac:dyDescent="0.25">
      <c r="H2821" s="4" t="str">
        <f t="array" aca="1" ref="H2821" ca="1">SUBSTITUTE(SUBSTITUTE(_xlfn.TEXTJOIN("",TRUE,IF(ISERR(MID(C2821,ROW(INDIRECT("1:100")),1)+0),MID(C2821,ROW(INDIRECT("1:100")),1),"")),")",""),"(","")</f>
        <v/>
      </c>
    </row>
    <row r="2822" spans="8:8" x14ac:dyDescent="0.25">
      <c r="H2822" s="4" t="str">
        <f t="array" aca="1" ref="H2822" ca="1">SUBSTITUTE(SUBSTITUTE(_xlfn.TEXTJOIN("",TRUE,IF(ISERR(MID(C2822,ROW(INDIRECT("1:100")),1)+0),MID(C2822,ROW(INDIRECT("1:100")),1),"")),")",""),"(","")</f>
        <v/>
      </c>
    </row>
    <row r="2823" spans="8:8" x14ac:dyDescent="0.25">
      <c r="H2823" s="4" t="str">
        <f t="array" aca="1" ref="H2823" ca="1">SUBSTITUTE(SUBSTITUTE(_xlfn.TEXTJOIN("",TRUE,IF(ISERR(MID(C2823,ROW(INDIRECT("1:100")),1)+0),MID(C2823,ROW(INDIRECT("1:100")),1),"")),")",""),"(","")</f>
        <v/>
      </c>
    </row>
    <row r="2824" spans="8:8" x14ac:dyDescent="0.25">
      <c r="H2824" s="4" t="str">
        <f t="array" aca="1" ref="H2824" ca="1">SUBSTITUTE(SUBSTITUTE(_xlfn.TEXTJOIN("",TRUE,IF(ISERR(MID(C2824,ROW(INDIRECT("1:100")),1)+0),MID(C2824,ROW(INDIRECT("1:100")),1),"")),")",""),"(","")</f>
        <v/>
      </c>
    </row>
    <row r="2825" spans="8:8" x14ac:dyDescent="0.25">
      <c r="H2825" s="4" t="str">
        <f t="array" aca="1" ref="H2825" ca="1">SUBSTITUTE(SUBSTITUTE(_xlfn.TEXTJOIN("",TRUE,IF(ISERR(MID(C2825,ROW(INDIRECT("1:100")),1)+0),MID(C2825,ROW(INDIRECT("1:100")),1),"")),")",""),"(","")</f>
        <v/>
      </c>
    </row>
    <row r="2826" spans="8:8" x14ac:dyDescent="0.25">
      <c r="H2826" s="4" t="str">
        <f t="array" aca="1" ref="H2826" ca="1">SUBSTITUTE(SUBSTITUTE(_xlfn.TEXTJOIN("",TRUE,IF(ISERR(MID(C2826,ROW(INDIRECT("1:100")),1)+0),MID(C2826,ROW(INDIRECT("1:100")),1),"")),")",""),"(","")</f>
        <v/>
      </c>
    </row>
    <row r="2827" spans="8:8" x14ac:dyDescent="0.25">
      <c r="H2827" s="4" t="str">
        <f t="array" aca="1" ref="H2827" ca="1">SUBSTITUTE(SUBSTITUTE(_xlfn.TEXTJOIN("",TRUE,IF(ISERR(MID(C2827,ROW(INDIRECT("1:100")),1)+0),MID(C2827,ROW(INDIRECT("1:100")),1),"")),")",""),"(","")</f>
        <v/>
      </c>
    </row>
    <row r="2828" spans="8:8" x14ac:dyDescent="0.25">
      <c r="H2828" s="4" t="str">
        <f t="array" aca="1" ref="H2828" ca="1">SUBSTITUTE(SUBSTITUTE(_xlfn.TEXTJOIN("",TRUE,IF(ISERR(MID(C2828,ROW(INDIRECT("1:100")),1)+0),MID(C2828,ROW(INDIRECT("1:100")),1),"")),")",""),"(","")</f>
        <v/>
      </c>
    </row>
    <row r="2829" spans="8:8" x14ac:dyDescent="0.25">
      <c r="H2829" s="4" t="str">
        <f t="array" aca="1" ref="H2829" ca="1">SUBSTITUTE(SUBSTITUTE(_xlfn.TEXTJOIN("",TRUE,IF(ISERR(MID(C2829,ROW(INDIRECT("1:100")),1)+0),MID(C2829,ROW(INDIRECT("1:100")),1),"")),")",""),"(","")</f>
        <v/>
      </c>
    </row>
    <row r="2830" spans="8:8" x14ac:dyDescent="0.25">
      <c r="H2830" s="4" t="str">
        <f t="array" aca="1" ref="H2830" ca="1">SUBSTITUTE(SUBSTITUTE(_xlfn.TEXTJOIN("",TRUE,IF(ISERR(MID(C2830,ROW(INDIRECT("1:100")),1)+0),MID(C2830,ROW(INDIRECT("1:100")),1),"")),")",""),"(","")</f>
        <v/>
      </c>
    </row>
    <row r="2831" spans="8:8" x14ac:dyDescent="0.25">
      <c r="H2831" s="4" t="str">
        <f t="array" aca="1" ref="H2831" ca="1">SUBSTITUTE(SUBSTITUTE(_xlfn.TEXTJOIN("",TRUE,IF(ISERR(MID(C2831,ROW(INDIRECT("1:100")),1)+0),MID(C2831,ROW(INDIRECT("1:100")),1),"")),")",""),"(","")</f>
        <v/>
      </c>
    </row>
    <row r="2832" spans="8:8" x14ac:dyDescent="0.25">
      <c r="H2832" s="4" t="str">
        <f t="array" aca="1" ref="H2832" ca="1">SUBSTITUTE(SUBSTITUTE(_xlfn.TEXTJOIN("",TRUE,IF(ISERR(MID(C2832,ROW(INDIRECT("1:100")),1)+0),MID(C2832,ROW(INDIRECT("1:100")),1),"")),")",""),"(","")</f>
        <v/>
      </c>
    </row>
    <row r="2833" spans="8:8" x14ac:dyDescent="0.25">
      <c r="H2833" s="4" t="str">
        <f t="array" aca="1" ref="H2833" ca="1">SUBSTITUTE(SUBSTITUTE(_xlfn.TEXTJOIN("",TRUE,IF(ISERR(MID(C2833,ROW(INDIRECT("1:100")),1)+0),MID(C2833,ROW(INDIRECT("1:100")),1),"")),")",""),"(","")</f>
        <v/>
      </c>
    </row>
    <row r="2834" spans="8:8" x14ac:dyDescent="0.25">
      <c r="H2834" s="4" t="str">
        <f t="array" aca="1" ref="H2834" ca="1">SUBSTITUTE(SUBSTITUTE(_xlfn.TEXTJOIN("",TRUE,IF(ISERR(MID(C2834,ROW(INDIRECT("1:100")),1)+0),MID(C2834,ROW(INDIRECT("1:100")),1),"")),")",""),"(","")</f>
        <v/>
      </c>
    </row>
    <row r="2835" spans="8:8" x14ac:dyDescent="0.25">
      <c r="H2835" s="4" t="str">
        <f t="array" aca="1" ref="H2835" ca="1">SUBSTITUTE(SUBSTITUTE(_xlfn.TEXTJOIN("",TRUE,IF(ISERR(MID(C2835,ROW(INDIRECT("1:100")),1)+0),MID(C2835,ROW(INDIRECT("1:100")),1),"")),")",""),"(","")</f>
        <v/>
      </c>
    </row>
    <row r="2836" spans="8:8" x14ac:dyDescent="0.25">
      <c r="H2836" s="4" t="str">
        <f t="array" aca="1" ref="H2836" ca="1">SUBSTITUTE(SUBSTITUTE(_xlfn.TEXTJOIN("",TRUE,IF(ISERR(MID(C2836,ROW(INDIRECT("1:100")),1)+0),MID(C2836,ROW(INDIRECT("1:100")),1),"")),")",""),"(","")</f>
        <v/>
      </c>
    </row>
    <row r="2837" spans="8:8" x14ac:dyDescent="0.25">
      <c r="H2837" s="4" t="str">
        <f t="array" aca="1" ref="H2837" ca="1">SUBSTITUTE(SUBSTITUTE(_xlfn.TEXTJOIN("",TRUE,IF(ISERR(MID(C2837,ROW(INDIRECT("1:100")),1)+0),MID(C2837,ROW(INDIRECT("1:100")),1),"")),")",""),"(","")</f>
        <v/>
      </c>
    </row>
    <row r="2838" spans="8:8" x14ac:dyDescent="0.25">
      <c r="H2838" s="4" t="str">
        <f t="array" aca="1" ref="H2838" ca="1">SUBSTITUTE(SUBSTITUTE(_xlfn.TEXTJOIN("",TRUE,IF(ISERR(MID(C2838,ROW(INDIRECT("1:100")),1)+0),MID(C2838,ROW(INDIRECT("1:100")),1),"")),")",""),"(","")</f>
        <v/>
      </c>
    </row>
    <row r="2839" spans="8:8" x14ac:dyDescent="0.25">
      <c r="H2839" s="4" t="str">
        <f t="array" aca="1" ref="H2839" ca="1">SUBSTITUTE(SUBSTITUTE(_xlfn.TEXTJOIN("",TRUE,IF(ISERR(MID(C2839,ROW(INDIRECT("1:100")),1)+0),MID(C2839,ROW(INDIRECT("1:100")),1),"")),")",""),"(","")</f>
        <v/>
      </c>
    </row>
    <row r="2840" spans="8:8" x14ac:dyDescent="0.25">
      <c r="H2840" s="4" t="str">
        <f t="array" aca="1" ref="H2840" ca="1">SUBSTITUTE(SUBSTITUTE(_xlfn.TEXTJOIN("",TRUE,IF(ISERR(MID(C2840,ROW(INDIRECT("1:100")),1)+0),MID(C2840,ROW(INDIRECT("1:100")),1),"")),")",""),"(","")</f>
        <v/>
      </c>
    </row>
    <row r="2841" spans="8:8" x14ac:dyDescent="0.25">
      <c r="H2841" s="4" t="str">
        <f t="array" aca="1" ref="H2841" ca="1">SUBSTITUTE(SUBSTITUTE(_xlfn.TEXTJOIN("",TRUE,IF(ISERR(MID(C2841,ROW(INDIRECT("1:100")),1)+0),MID(C2841,ROW(INDIRECT("1:100")),1),"")),")",""),"(","")</f>
        <v/>
      </c>
    </row>
    <row r="2842" spans="8:8" x14ac:dyDescent="0.25">
      <c r="H2842" s="4" t="str">
        <f t="array" aca="1" ref="H2842" ca="1">SUBSTITUTE(SUBSTITUTE(_xlfn.TEXTJOIN("",TRUE,IF(ISERR(MID(C2842,ROW(INDIRECT("1:100")),1)+0),MID(C2842,ROW(INDIRECT("1:100")),1),"")),")",""),"(","")</f>
        <v/>
      </c>
    </row>
    <row r="2843" spans="8:8" x14ac:dyDescent="0.25">
      <c r="H2843" s="4" t="str">
        <f t="array" aca="1" ref="H2843" ca="1">SUBSTITUTE(SUBSTITUTE(_xlfn.TEXTJOIN("",TRUE,IF(ISERR(MID(C2843,ROW(INDIRECT("1:100")),1)+0),MID(C2843,ROW(INDIRECT("1:100")),1),"")),")",""),"(","")</f>
        <v/>
      </c>
    </row>
    <row r="2844" spans="8:8" x14ac:dyDescent="0.25">
      <c r="H2844" s="4" t="str">
        <f t="array" aca="1" ref="H2844" ca="1">SUBSTITUTE(SUBSTITUTE(_xlfn.TEXTJOIN("",TRUE,IF(ISERR(MID(C2844,ROW(INDIRECT("1:100")),1)+0),MID(C2844,ROW(INDIRECT("1:100")),1),"")),")",""),"(","")</f>
        <v/>
      </c>
    </row>
    <row r="2845" spans="8:8" x14ac:dyDescent="0.25">
      <c r="H2845" s="4" t="str">
        <f t="array" aca="1" ref="H2845" ca="1">SUBSTITUTE(SUBSTITUTE(_xlfn.TEXTJOIN("",TRUE,IF(ISERR(MID(C2845,ROW(INDIRECT("1:100")),1)+0),MID(C2845,ROW(INDIRECT("1:100")),1),"")),")",""),"(","")</f>
        <v/>
      </c>
    </row>
    <row r="2846" spans="8:8" x14ac:dyDescent="0.25">
      <c r="H2846" s="4" t="str">
        <f t="array" aca="1" ref="H2846" ca="1">SUBSTITUTE(SUBSTITUTE(_xlfn.TEXTJOIN("",TRUE,IF(ISERR(MID(C2846,ROW(INDIRECT("1:100")),1)+0),MID(C2846,ROW(INDIRECT("1:100")),1),"")),")",""),"(","")</f>
        <v/>
      </c>
    </row>
    <row r="2847" spans="8:8" x14ac:dyDescent="0.25">
      <c r="H2847" s="4" t="str">
        <f t="array" aca="1" ref="H2847" ca="1">SUBSTITUTE(SUBSTITUTE(_xlfn.TEXTJOIN("",TRUE,IF(ISERR(MID(C2847,ROW(INDIRECT("1:100")),1)+0),MID(C2847,ROW(INDIRECT("1:100")),1),"")),")",""),"(","")</f>
        <v/>
      </c>
    </row>
    <row r="2848" spans="8:8" x14ac:dyDescent="0.25">
      <c r="H2848" s="4" t="str">
        <f t="array" aca="1" ref="H2848" ca="1">SUBSTITUTE(SUBSTITUTE(_xlfn.TEXTJOIN("",TRUE,IF(ISERR(MID(C2848,ROW(INDIRECT("1:100")),1)+0),MID(C2848,ROW(INDIRECT("1:100")),1),"")),")",""),"(","")</f>
        <v/>
      </c>
    </row>
    <row r="2849" spans="8:8" x14ac:dyDescent="0.25">
      <c r="H2849" s="4" t="str">
        <f t="array" aca="1" ref="H2849" ca="1">SUBSTITUTE(SUBSTITUTE(_xlfn.TEXTJOIN("",TRUE,IF(ISERR(MID(C2849,ROW(INDIRECT("1:100")),1)+0),MID(C2849,ROW(INDIRECT("1:100")),1),"")),")",""),"(","")</f>
        <v/>
      </c>
    </row>
    <row r="2850" spans="8:8" x14ac:dyDescent="0.25">
      <c r="H2850" s="4" t="str">
        <f t="array" aca="1" ref="H2850" ca="1">SUBSTITUTE(SUBSTITUTE(_xlfn.TEXTJOIN("",TRUE,IF(ISERR(MID(C2850,ROW(INDIRECT("1:100")),1)+0),MID(C2850,ROW(INDIRECT("1:100")),1),"")),")",""),"(","")</f>
        <v/>
      </c>
    </row>
    <row r="2851" spans="8:8" x14ac:dyDescent="0.25">
      <c r="H2851" s="4" t="str">
        <f t="array" aca="1" ref="H2851" ca="1">SUBSTITUTE(SUBSTITUTE(_xlfn.TEXTJOIN("",TRUE,IF(ISERR(MID(C2851,ROW(INDIRECT("1:100")),1)+0),MID(C2851,ROW(INDIRECT("1:100")),1),"")),")",""),"(","")</f>
        <v/>
      </c>
    </row>
    <row r="2852" spans="8:8" x14ac:dyDescent="0.25">
      <c r="H2852" s="4" t="str">
        <f t="array" aca="1" ref="H2852" ca="1">SUBSTITUTE(SUBSTITUTE(_xlfn.TEXTJOIN("",TRUE,IF(ISERR(MID(C2852,ROW(INDIRECT("1:100")),1)+0),MID(C2852,ROW(INDIRECT("1:100")),1),"")),")",""),"(","")</f>
        <v/>
      </c>
    </row>
    <row r="2853" spans="8:8" x14ac:dyDescent="0.25">
      <c r="H2853" s="4" t="str">
        <f t="array" aca="1" ref="H2853" ca="1">SUBSTITUTE(SUBSTITUTE(_xlfn.TEXTJOIN("",TRUE,IF(ISERR(MID(C2853,ROW(INDIRECT("1:100")),1)+0),MID(C2853,ROW(INDIRECT("1:100")),1),"")),")",""),"(","")</f>
        <v/>
      </c>
    </row>
    <row r="2854" spans="8:8" x14ac:dyDescent="0.25">
      <c r="H2854" s="4" t="str">
        <f t="array" aca="1" ref="H2854" ca="1">SUBSTITUTE(SUBSTITUTE(_xlfn.TEXTJOIN("",TRUE,IF(ISERR(MID(C2854,ROW(INDIRECT("1:100")),1)+0),MID(C2854,ROW(INDIRECT("1:100")),1),"")),")",""),"(","")</f>
        <v/>
      </c>
    </row>
    <row r="2855" spans="8:8" x14ac:dyDescent="0.25">
      <c r="H2855" s="4" t="str">
        <f t="array" aca="1" ref="H2855" ca="1">SUBSTITUTE(SUBSTITUTE(_xlfn.TEXTJOIN("",TRUE,IF(ISERR(MID(C2855,ROW(INDIRECT("1:100")),1)+0),MID(C2855,ROW(INDIRECT("1:100")),1),"")),")",""),"(","")</f>
        <v/>
      </c>
    </row>
    <row r="2856" spans="8:8" x14ac:dyDescent="0.25">
      <c r="H2856" s="4" t="str">
        <f t="array" aca="1" ref="H2856" ca="1">SUBSTITUTE(SUBSTITUTE(_xlfn.TEXTJOIN("",TRUE,IF(ISERR(MID(C2856,ROW(INDIRECT("1:100")),1)+0),MID(C2856,ROW(INDIRECT("1:100")),1),"")),")",""),"(","")</f>
        <v/>
      </c>
    </row>
    <row r="2857" spans="8:8" x14ac:dyDescent="0.25">
      <c r="H2857" s="4" t="str">
        <f t="array" aca="1" ref="H2857" ca="1">SUBSTITUTE(SUBSTITUTE(_xlfn.TEXTJOIN("",TRUE,IF(ISERR(MID(C2857,ROW(INDIRECT("1:100")),1)+0),MID(C2857,ROW(INDIRECT("1:100")),1),"")),")",""),"(","")</f>
        <v/>
      </c>
    </row>
    <row r="2858" spans="8:8" x14ac:dyDescent="0.25">
      <c r="H2858" s="4" t="str">
        <f t="array" aca="1" ref="H2858" ca="1">SUBSTITUTE(SUBSTITUTE(_xlfn.TEXTJOIN("",TRUE,IF(ISERR(MID(C2858,ROW(INDIRECT("1:100")),1)+0),MID(C2858,ROW(INDIRECT("1:100")),1),"")),")",""),"(","")</f>
        <v/>
      </c>
    </row>
    <row r="2859" spans="8:8" x14ac:dyDescent="0.25">
      <c r="H2859" s="4" t="str">
        <f t="array" aca="1" ref="H2859" ca="1">SUBSTITUTE(SUBSTITUTE(_xlfn.TEXTJOIN("",TRUE,IF(ISERR(MID(C2859,ROW(INDIRECT("1:100")),1)+0),MID(C2859,ROW(INDIRECT("1:100")),1),"")),")",""),"(","")</f>
        <v/>
      </c>
    </row>
    <row r="2860" spans="8:8" x14ac:dyDescent="0.25">
      <c r="H2860" s="4" t="str">
        <f t="array" aca="1" ref="H2860" ca="1">SUBSTITUTE(SUBSTITUTE(_xlfn.TEXTJOIN("",TRUE,IF(ISERR(MID(C2860,ROW(INDIRECT("1:100")),1)+0),MID(C2860,ROW(INDIRECT("1:100")),1),"")),")",""),"(","")</f>
        <v/>
      </c>
    </row>
    <row r="2861" spans="8:8" x14ac:dyDescent="0.25">
      <c r="H2861" s="4" t="str">
        <f t="array" aca="1" ref="H2861" ca="1">SUBSTITUTE(SUBSTITUTE(_xlfn.TEXTJOIN("",TRUE,IF(ISERR(MID(C2861,ROW(INDIRECT("1:100")),1)+0),MID(C2861,ROW(INDIRECT("1:100")),1),"")),")",""),"(","")</f>
        <v/>
      </c>
    </row>
    <row r="2862" spans="8:8" x14ac:dyDescent="0.25">
      <c r="H2862" s="4" t="str">
        <f t="array" aca="1" ref="H2862" ca="1">SUBSTITUTE(SUBSTITUTE(_xlfn.TEXTJOIN("",TRUE,IF(ISERR(MID(C2862,ROW(INDIRECT("1:100")),1)+0),MID(C2862,ROW(INDIRECT("1:100")),1),"")),")",""),"(","")</f>
        <v/>
      </c>
    </row>
    <row r="2863" spans="8:8" x14ac:dyDescent="0.25">
      <c r="H2863" s="4" t="str">
        <f t="array" aca="1" ref="H2863" ca="1">SUBSTITUTE(SUBSTITUTE(_xlfn.TEXTJOIN("",TRUE,IF(ISERR(MID(C2863,ROW(INDIRECT("1:100")),1)+0),MID(C2863,ROW(INDIRECT("1:100")),1),"")),")",""),"(","")</f>
        <v/>
      </c>
    </row>
    <row r="2864" spans="8:8" x14ac:dyDescent="0.25">
      <c r="H2864" s="4" t="str">
        <f t="array" aca="1" ref="H2864" ca="1">SUBSTITUTE(SUBSTITUTE(_xlfn.TEXTJOIN("",TRUE,IF(ISERR(MID(C2864,ROW(INDIRECT("1:100")),1)+0),MID(C2864,ROW(INDIRECT("1:100")),1),"")),")",""),"(","")</f>
        <v/>
      </c>
    </row>
    <row r="2865" spans="8:8" x14ac:dyDescent="0.25">
      <c r="H2865" s="4" t="str">
        <f t="array" aca="1" ref="H2865" ca="1">SUBSTITUTE(SUBSTITUTE(_xlfn.TEXTJOIN("",TRUE,IF(ISERR(MID(C2865,ROW(INDIRECT("1:100")),1)+0),MID(C2865,ROW(INDIRECT("1:100")),1),"")),")",""),"(","")</f>
        <v/>
      </c>
    </row>
    <row r="2866" spans="8:8" x14ac:dyDescent="0.25">
      <c r="H2866" s="4" t="str">
        <f t="array" aca="1" ref="H2866" ca="1">SUBSTITUTE(SUBSTITUTE(_xlfn.TEXTJOIN("",TRUE,IF(ISERR(MID(C2866,ROW(INDIRECT("1:100")),1)+0),MID(C2866,ROW(INDIRECT("1:100")),1),"")),")",""),"(","")</f>
        <v/>
      </c>
    </row>
    <row r="2867" spans="8:8" x14ac:dyDescent="0.25">
      <c r="H2867" s="4" t="str">
        <f t="array" aca="1" ref="H2867" ca="1">SUBSTITUTE(SUBSTITUTE(_xlfn.TEXTJOIN("",TRUE,IF(ISERR(MID(C2867,ROW(INDIRECT("1:100")),1)+0),MID(C2867,ROW(INDIRECT("1:100")),1),"")),")",""),"(","")</f>
        <v/>
      </c>
    </row>
    <row r="2868" spans="8:8" x14ac:dyDescent="0.25">
      <c r="H2868" s="4" t="str">
        <f t="array" aca="1" ref="H2868" ca="1">SUBSTITUTE(SUBSTITUTE(_xlfn.TEXTJOIN("",TRUE,IF(ISERR(MID(C2868,ROW(INDIRECT("1:100")),1)+0),MID(C2868,ROW(INDIRECT("1:100")),1),"")),")",""),"(","")</f>
        <v/>
      </c>
    </row>
    <row r="2869" spans="8:8" x14ac:dyDescent="0.25">
      <c r="H2869" s="4" t="str">
        <f t="array" aca="1" ref="H2869" ca="1">SUBSTITUTE(SUBSTITUTE(_xlfn.TEXTJOIN("",TRUE,IF(ISERR(MID(C2869,ROW(INDIRECT("1:100")),1)+0),MID(C2869,ROW(INDIRECT("1:100")),1),"")),")",""),"(","")</f>
        <v/>
      </c>
    </row>
    <row r="2870" spans="8:8" x14ac:dyDescent="0.25">
      <c r="H2870" s="4" t="str">
        <f t="array" aca="1" ref="H2870" ca="1">SUBSTITUTE(SUBSTITUTE(_xlfn.TEXTJOIN("",TRUE,IF(ISERR(MID(C2870,ROW(INDIRECT("1:100")),1)+0),MID(C2870,ROW(INDIRECT("1:100")),1),"")),")",""),"(","")</f>
        <v/>
      </c>
    </row>
    <row r="2871" spans="8:8" x14ac:dyDescent="0.25">
      <c r="H2871" s="4" t="str">
        <f t="array" aca="1" ref="H2871" ca="1">SUBSTITUTE(SUBSTITUTE(_xlfn.TEXTJOIN("",TRUE,IF(ISERR(MID(C2871,ROW(INDIRECT("1:100")),1)+0),MID(C2871,ROW(INDIRECT("1:100")),1),"")),")",""),"(","")</f>
        <v/>
      </c>
    </row>
    <row r="2872" spans="8:8" x14ac:dyDescent="0.25">
      <c r="H2872" s="4" t="str">
        <f t="array" aca="1" ref="H2872" ca="1">SUBSTITUTE(SUBSTITUTE(_xlfn.TEXTJOIN("",TRUE,IF(ISERR(MID(C2872,ROW(INDIRECT("1:100")),1)+0),MID(C2872,ROW(INDIRECT("1:100")),1),"")),")",""),"(","")</f>
        <v/>
      </c>
    </row>
    <row r="2873" spans="8:8" x14ac:dyDescent="0.25">
      <c r="H2873" s="4" t="str">
        <f t="array" aca="1" ref="H2873" ca="1">SUBSTITUTE(SUBSTITUTE(_xlfn.TEXTJOIN("",TRUE,IF(ISERR(MID(C2873,ROW(INDIRECT("1:100")),1)+0),MID(C2873,ROW(INDIRECT("1:100")),1),"")),")",""),"(","")</f>
        <v/>
      </c>
    </row>
    <row r="2874" spans="8:8" x14ac:dyDescent="0.25">
      <c r="H2874" s="4" t="str">
        <f t="array" aca="1" ref="H2874" ca="1">SUBSTITUTE(SUBSTITUTE(_xlfn.TEXTJOIN("",TRUE,IF(ISERR(MID(C2874,ROW(INDIRECT("1:100")),1)+0),MID(C2874,ROW(INDIRECT("1:100")),1),"")),")",""),"(","")</f>
        <v/>
      </c>
    </row>
    <row r="2875" spans="8:8" x14ac:dyDescent="0.25">
      <c r="H2875" s="4" t="str">
        <f t="array" aca="1" ref="H2875" ca="1">SUBSTITUTE(SUBSTITUTE(_xlfn.TEXTJOIN("",TRUE,IF(ISERR(MID(C2875,ROW(INDIRECT("1:100")),1)+0),MID(C2875,ROW(INDIRECT("1:100")),1),"")),")",""),"(","")</f>
        <v/>
      </c>
    </row>
    <row r="2876" spans="8:8" x14ac:dyDescent="0.25">
      <c r="H2876" s="4" t="str">
        <f t="array" aca="1" ref="H2876" ca="1">SUBSTITUTE(SUBSTITUTE(_xlfn.TEXTJOIN("",TRUE,IF(ISERR(MID(C2876,ROW(INDIRECT("1:100")),1)+0),MID(C2876,ROW(INDIRECT("1:100")),1),"")),")",""),"(","")</f>
        <v/>
      </c>
    </row>
    <row r="2877" spans="8:8" x14ac:dyDescent="0.25">
      <c r="H2877" s="4" t="str">
        <f t="array" aca="1" ref="H2877" ca="1">SUBSTITUTE(SUBSTITUTE(_xlfn.TEXTJOIN("",TRUE,IF(ISERR(MID(C2877,ROW(INDIRECT("1:100")),1)+0),MID(C2877,ROW(INDIRECT("1:100")),1),"")),")",""),"(","")</f>
        <v/>
      </c>
    </row>
    <row r="2878" spans="8:8" x14ac:dyDescent="0.25">
      <c r="H2878" s="4" t="str">
        <f t="array" aca="1" ref="H2878" ca="1">SUBSTITUTE(SUBSTITUTE(_xlfn.TEXTJOIN("",TRUE,IF(ISERR(MID(C2878,ROW(INDIRECT("1:100")),1)+0),MID(C2878,ROW(INDIRECT("1:100")),1),"")),")",""),"(","")</f>
        <v/>
      </c>
    </row>
    <row r="2879" spans="8:8" x14ac:dyDescent="0.25">
      <c r="H2879" s="4" t="str">
        <f t="array" aca="1" ref="H2879" ca="1">SUBSTITUTE(SUBSTITUTE(_xlfn.TEXTJOIN("",TRUE,IF(ISERR(MID(C2879,ROW(INDIRECT("1:100")),1)+0),MID(C2879,ROW(INDIRECT("1:100")),1),"")),")",""),"(","")</f>
        <v/>
      </c>
    </row>
    <row r="2880" spans="8:8" x14ac:dyDescent="0.25">
      <c r="H2880" s="4" t="str">
        <f t="array" aca="1" ref="H2880" ca="1">SUBSTITUTE(SUBSTITUTE(_xlfn.TEXTJOIN("",TRUE,IF(ISERR(MID(C2880,ROW(INDIRECT("1:100")),1)+0),MID(C2880,ROW(INDIRECT("1:100")),1),"")),")",""),"(","")</f>
        <v/>
      </c>
    </row>
    <row r="2881" spans="8:8" x14ac:dyDescent="0.25">
      <c r="H2881" s="4" t="str">
        <f t="array" aca="1" ref="H2881" ca="1">SUBSTITUTE(SUBSTITUTE(_xlfn.TEXTJOIN("",TRUE,IF(ISERR(MID(C2881,ROW(INDIRECT("1:100")),1)+0),MID(C2881,ROW(INDIRECT("1:100")),1),"")),")",""),"(","")</f>
        <v/>
      </c>
    </row>
    <row r="2882" spans="8:8" x14ac:dyDescent="0.25">
      <c r="H2882" s="4" t="str">
        <f t="array" aca="1" ref="H2882" ca="1">SUBSTITUTE(SUBSTITUTE(_xlfn.TEXTJOIN("",TRUE,IF(ISERR(MID(C2882,ROW(INDIRECT("1:100")),1)+0),MID(C2882,ROW(INDIRECT("1:100")),1),"")),")",""),"(","")</f>
        <v/>
      </c>
    </row>
    <row r="2883" spans="8:8" x14ac:dyDescent="0.25">
      <c r="H2883" s="4" t="str">
        <f t="array" aca="1" ref="H2883" ca="1">SUBSTITUTE(SUBSTITUTE(_xlfn.TEXTJOIN("",TRUE,IF(ISERR(MID(C2883,ROW(INDIRECT("1:100")),1)+0),MID(C2883,ROW(INDIRECT("1:100")),1),"")),")",""),"(","")</f>
        <v/>
      </c>
    </row>
    <row r="2884" spans="8:8" x14ac:dyDescent="0.25">
      <c r="H2884" s="4" t="str">
        <f t="array" aca="1" ref="H2884" ca="1">SUBSTITUTE(SUBSTITUTE(_xlfn.TEXTJOIN("",TRUE,IF(ISERR(MID(C2884,ROW(INDIRECT("1:100")),1)+0),MID(C2884,ROW(INDIRECT("1:100")),1),"")),")",""),"(","")</f>
        <v/>
      </c>
    </row>
    <row r="2885" spans="8:8" x14ac:dyDescent="0.25">
      <c r="H2885" s="4" t="str">
        <f t="array" aca="1" ref="H2885" ca="1">SUBSTITUTE(SUBSTITUTE(_xlfn.TEXTJOIN("",TRUE,IF(ISERR(MID(C2885,ROW(INDIRECT("1:100")),1)+0),MID(C2885,ROW(INDIRECT("1:100")),1),"")),")",""),"(","")</f>
        <v/>
      </c>
    </row>
    <row r="2886" spans="8:8" x14ac:dyDescent="0.25">
      <c r="H2886" s="4" t="str">
        <f t="array" aca="1" ref="H2886" ca="1">SUBSTITUTE(SUBSTITUTE(_xlfn.TEXTJOIN("",TRUE,IF(ISERR(MID(C2886,ROW(INDIRECT("1:100")),1)+0),MID(C2886,ROW(INDIRECT("1:100")),1),"")),")",""),"(","")</f>
        <v/>
      </c>
    </row>
    <row r="2887" spans="8:8" x14ac:dyDescent="0.25">
      <c r="H2887" s="4" t="str">
        <f t="array" aca="1" ref="H2887" ca="1">SUBSTITUTE(SUBSTITUTE(_xlfn.TEXTJOIN("",TRUE,IF(ISERR(MID(C2887,ROW(INDIRECT("1:100")),1)+0),MID(C2887,ROW(INDIRECT("1:100")),1),"")),")",""),"(","")</f>
        <v/>
      </c>
    </row>
    <row r="2888" spans="8:8" x14ac:dyDescent="0.25">
      <c r="H2888" s="4" t="str">
        <f t="array" aca="1" ref="H2888" ca="1">SUBSTITUTE(SUBSTITUTE(_xlfn.TEXTJOIN("",TRUE,IF(ISERR(MID(C2888,ROW(INDIRECT("1:100")),1)+0),MID(C2888,ROW(INDIRECT("1:100")),1),"")),")",""),"(","")</f>
        <v/>
      </c>
    </row>
    <row r="2889" spans="8:8" x14ac:dyDescent="0.25">
      <c r="H2889" s="4" t="str">
        <f t="array" aca="1" ref="H2889" ca="1">SUBSTITUTE(SUBSTITUTE(_xlfn.TEXTJOIN("",TRUE,IF(ISERR(MID(C2889,ROW(INDIRECT("1:100")),1)+0),MID(C2889,ROW(INDIRECT("1:100")),1),"")),")",""),"(","")</f>
        <v/>
      </c>
    </row>
    <row r="2890" spans="8:8" x14ac:dyDescent="0.25">
      <c r="H2890" s="4" t="str">
        <f t="array" aca="1" ref="H2890" ca="1">SUBSTITUTE(SUBSTITUTE(_xlfn.TEXTJOIN("",TRUE,IF(ISERR(MID(C2890,ROW(INDIRECT("1:100")),1)+0),MID(C2890,ROW(INDIRECT("1:100")),1),"")),")",""),"(","")</f>
        <v/>
      </c>
    </row>
    <row r="2891" spans="8:8" x14ac:dyDescent="0.25">
      <c r="H2891" s="4" t="str">
        <f t="array" aca="1" ref="H2891" ca="1">SUBSTITUTE(SUBSTITUTE(_xlfn.TEXTJOIN("",TRUE,IF(ISERR(MID(C2891,ROW(INDIRECT("1:100")),1)+0),MID(C2891,ROW(INDIRECT("1:100")),1),"")),")",""),"(","")</f>
        <v/>
      </c>
    </row>
    <row r="2892" spans="8:8" x14ac:dyDescent="0.25">
      <c r="H2892" s="4" t="str">
        <f t="array" aca="1" ref="H2892" ca="1">SUBSTITUTE(SUBSTITUTE(_xlfn.TEXTJOIN("",TRUE,IF(ISERR(MID(C2892,ROW(INDIRECT("1:100")),1)+0),MID(C2892,ROW(INDIRECT("1:100")),1),"")),")",""),"(","")</f>
        <v/>
      </c>
    </row>
    <row r="2893" spans="8:8" x14ac:dyDescent="0.25">
      <c r="H2893" s="4" t="str">
        <f t="array" aca="1" ref="H2893" ca="1">SUBSTITUTE(SUBSTITUTE(_xlfn.TEXTJOIN("",TRUE,IF(ISERR(MID(C2893,ROW(INDIRECT("1:100")),1)+0),MID(C2893,ROW(INDIRECT("1:100")),1),"")),")",""),"(","")</f>
        <v/>
      </c>
    </row>
    <row r="2894" spans="8:8" x14ac:dyDescent="0.25">
      <c r="H2894" s="4" t="str">
        <f t="array" aca="1" ref="H2894" ca="1">SUBSTITUTE(SUBSTITUTE(_xlfn.TEXTJOIN("",TRUE,IF(ISERR(MID(C2894,ROW(INDIRECT("1:100")),1)+0),MID(C2894,ROW(INDIRECT("1:100")),1),"")),")",""),"(","")</f>
        <v/>
      </c>
    </row>
    <row r="2895" spans="8:8" x14ac:dyDescent="0.25">
      <c r="H2895" s="4" t="str">
        <f t="array" aca="1" ref="H2895" ca="1">SUBSTITUTE(SUBSTITUTE(_xlfn.TEXTJOIN("",TRUE,IF(ISERR(MID(C2895,ROW(INDIRECT("1:100")),1)+0),MID(C2895,ROW(INDIRECT("1:100")),1),"")),")",""),"(","")</f>
        <v/>
      </c>
    </row>
    <row r="2896" spans="8:8" x14ac:dyDescent="0.25">
      <c r="H2896" s="4" t="str">
        <f t="array" aca="1" ref="H2896" ca="1">SUBSTITUTE(SUBSTITUTE(_xlfn.TEXTJOIN("",TRUE,IF(ISERR(MID(C2896,ROW(INDIRECT("1:100")),1)+0),MID(C2896,ROW(INDIRECT("1:100")),1),"")),")",""),"(","")</f>
        <v/>
      </c>
    </row>
    <row r="2897" spans="8:8" x14ac:dyDescent="0.25">
      <c r="H2897" s="4" t="str">
        <f t="array" aca="1" ref="H2897" ca="1">SUBSTITUTE(SUBSTITUTE(_xlfn.TEXTJOIN("",TRUE,IF(ISERR(MID(C2897,ROW(INDIRECT("1:100")),1)+0),MID(C2897,ROW(INDIRECT("1:100")),1),"")),")",""),"(","")</f>
        <v/>
      </c>
    </row>
    <row r="2898" spans="8:8" x14ac:dyDescent="0.25">
      <c r="H2898" s="4" t="str">
        <f t="array" aca="1" ref="H2898" ca="1">SUBSTITUTE(SUBSTITUTE(_xlfn.TEXTJOIN("",TRUE,IF(ISERR(MID(C2898,ROW(INDIRECT("1:100")),1)+0),MID(C2898,ROW(INDIRECT("1:100")),1),"")),")",""),"(","")</f>
        <v/>
      </c>
    </row>
    <row r="2899" spans="8:8" x14ac:dyDescent="0.25">
      <c r="H2899" s="4" t="str">
        <f t="array" aca="1" ref="H2899" ca="1">SUBSTITUTE(SUBSTITUTE(_xlfn.TEXTJOIN("",TRUE,IF(ISERR(MID(C2899,ROW(INDIRECT("1:100")),1)+0),MID(C2899,ROW(INDIRECT("1:100")),1),"")),")",""),"(","")</f>
        <v/>
      </c>
    </row>
    <row r="2900" spans="8:8" x14ac:dyDescent="0.25">
      <c r="H2900" s="4" t="str">
        <f t="array" aca="1" ref="H2900" ca="1">SUBSTITUTE(SUBSTITUTE(_xlfn.TEXTJOIN("",TRUE,IF(ISERR(MID(C2900,ROW(INDIRECT("1:100")),1)+0),MID(C2900,ROW(INDIRECT("1:100")),1),"")),")",""),"(","")</f>
        <v/>
      </c>
    </row>
    <row r="2901" spans="8:8" x14ac:dyDescent="0.25">
      <c r="H2901" s="4" t="str">
        <f t="array" aca="1" ref="H2901" ca="1">SUBSTITUTE(SUBSTITUTE(_xlfn.TEXTJOIN("",TRUE,IF(ISERR(MID(C2901,ROW(INDIRECT("1:100")),1)+0),MID(C2901,ROW(INDIRECT("1:100")),1),"")),")",""),"(","")</f>
        <v/>
      </c>
    </row>
    <row r="2902" spans="8:8" x14ac:dyDescent="0.25">
      <c r="H2902" s="4" t="str">
        <f t="array" aca="1" ref="H2902" ca="1">SUBSTITUTE(SUBSTITUTE(_xlfn.TEXTJOIN("",TRUE,IF(ISERR(MID(C2902,ROW(INDIRECT("1:100")),1)+0),MID(C2902,ROW(INDIRECT("1:100")),1),"")),")",""),"(","")</f>
        <v/>
      </c>
    </row>
    <row r="2903" spans="8:8" x14ac:dyDescent="0.25">
      <c r="H2903" s="4" t="str">
        <f t="array" aca="1" ref="H2903" ca="1">SUBSTITUTE(SUBSTITUTE(_xlfn.TEXTJOIN("",TRUE,IF(ISERR(MID(C2903,ROW(INDIRECT("1:100")),1)+0),MID(C2903,ROW(INDIRECT("1:100")),1),"")),")",""),"(","")</f>
        <v/>
      </c>
    </row>
    <row r="2904" spans="8:8" x14ac:dyDescent="0.25">
      <c r="H2904" s="4" t="str">
        <f t="array" aca="1" ref="H2904" ca="1">SUBSTITUTE(SUBSTITUTE(_xlfn.TEXTJOIN("",TRUE,IF(ISERR(MID(C2904,ROW(INDIRECT("1:100")),1)+0),MID(C2904,ROW(INDIRECT("1:100")),1),"")),")",""),"(","")</f>
        <v/>
      </c>
    </row>
    <row r="2905" spans="8:8" x14ac:dyDescent="0.25">
      <c r="H2905" s="4" t="str">
        <f t="array" aca="1" ref="H2905" ca="1">SUBSTITUTE(SUBSTITUTE(_xlfn.TEXTJOIN("",TRUE,IF(ISERR(MID(C2905,ROW(INDIRECT("1:100")),1)+0),MID(C2905,ROW(INDIRECT("1:100")),1),"")),")",""),"(","")</f>
        <v/>
      </c>
    </row>
    <row r="2906" spans="8:8" x14ac:dyDescent="0.25">
      <c r="H2906" s="4" t="str">
        <f t="array" aca="1" ref="H2906" ca="1">SUBSTITUTE(SUBSTITUTE(_xlfn.TEXTJOIN("",TRUE,IF(ISERR(MID(C2906,ROW(INDIRECT("1:100")),1)+0),MID(C2906,ROW(INDIRECT("1:100")),1),"")),")",""),"(","")</f>
        <v/>
      </c>
    </row>
    <row r="2907" spans="8:8" x14ac:dyDescent="0.25">
      <c r="H2907" s="4" t="str">
        <f t="array" aca="1" ref="H2907" ca="1">SUBSTITUTE(SUBSTITUTE(_xlfn.TEXTJOIN("",TRUE,IF(ISERR(MID(C2907,ROW(INDIRECT("1:100")),1)+0),MID(C2907,ROW(INDIRECT("1:100")),1),"")),")",""),"(","")</f>
        <v/>
      </c>
    </row>
    <row r="2908" spans="8:8" x14ac:dyDescent="0.25">
      <c r="H2908" s="4" t="str">
        <f t="array" aca="1" ref="H2908" ca="1">SUBSTITUTE(SUBSTITUTE(_xlfn.TEXTJOIN("",TRUE,IF(ISERR(MID(C2908,ROW(INDIRECT("1:100")),1)+0),MID(C2908,ROW(INDIRECT("1:100")),1),"")),")",""),"(","")</f>
        <v/>
      </c>
    </row>
    <row r="2909" spans="8:8" x14ac:dyDescent="0.25">
      <c r="H2909" s="4" t="str">
        <f t="array" aca="1" ref="H2909" ca="1">SUBSTITUTE(SUBSTITUTE(_xlfn.TEXTJOIN("",TRUE,IF(ISERR(MID(C2909,ROW(INDIRECT("1:100")),1)+0),MID(C2909,ROW(INDIRECT("1:100")),1),"")),")",""),"(","")</f>
        <v/>
      </c>
    </row>
    <row r="2910" spans="8:8" x14ac:dyDescent="0.25">
      <c r="H2910" s="4" t="str">
        <f t="array" aca="1" ref="H2910" ca="1">SUBSTITUTE(SUBSTITUTE(_xlfn.TEXTJOIN("",TRUE,IF(ISERR(MID(C2910,ROW(INDIRECT("1:100")),1)+0),MID(C2910,ROW(INDIRECT("1:100")),1),"")),")",""),"(","")</f>
        <v/>
      </c>
    </row>
    <row r="2911" spans="8:8" x14ac:dyDescent="0.25">
      <c r="H2911" s="4" t="str">
        <f t="array" aca="1" ref="H2911" ca="1">SUBSTITUTE(SUBSTITUTE(_xlfn.TEXTJOIN("",TRUE,IF(ISERR(MID(C2911,ROW(INDIRECT("1:100")),1)+0),MID(C2911,ROW(INDIRECT("1:100")),1),"")),")",""),"(","")</f>
        <v/>
      </c>
    </row>
    <row r="2912" spans="8:8" x14ac:dyDescent="0.25">
      <c r="H2912" s="4" t="str">
        <f t="array" aca="1" ref="H2912" ca="1">SUBSTITUTE(SUBSTITUTE(_xlfn.TEXTJOIN("",TRUE,IF(ISERR(MID(C2912,ROW(INDIRECT("1:100")),1)+0),MID(C2912,ROW(INDIRECT("1:100")),1),"")),")",""),"(","")</f>
        <v/>
      </c>
    </row>
    <row r="2913" spans="8:8" x14ac:dyDescent="0.25">
      <c r="H2913" s="4" t="str">
        <f t="array" aca="1" ref="H2913" ca="1">SUBSTITUTE(SUBSTITUTE(_xlfn.TEXTJOIN("",TRUE,IF(ISERR(MID(C2913,ROW(INDIRECT("1:100")),1)+0),MID(C2913,ROW(INDIRECT("1:100")),1),"")),")",""),"(","")</f>
        <v/>
      </c>
    </row>
    <row r="2914" spans="8:8" x14ac:dyDescent="0.25">
      <c r="H2914" s="4" t="str">
        <f t="array" aca="1" ref="H2914" ca="1">SUBSTITUTE(SUBSTITUTE(_xlfn.TEXTJOIN("",TRUE,IF(ISERR(MID(C2914,ROW(INDIRECT("1:100")),1)+0),MID(C2914,ROW(INDIRECT("1:100")),1),"")),")",""),"(","")</f>
        <v/>
      </c>
    </row>
    <row r="2915" spans="8:8" x14ac:dyDescent="0.25">
      <c r="H2915" s="4" t="str">
        <f t="array" aca="1" ref="H2915" ca="1">SUBSTITUTE(SUBSTITUTE(_xlfn.TEXTJOIN("",TRUE,IF(ISERR(MID(C2915,ROW(INDIRECT("1:100")),1)+0),MID(C2915,ROW(INDIRECT("1:100")),1),"")),")",""),"(","")</f>
        <v/>
      </c>
    </row>
    <row r="2916" spans="8:8" x14ac:dyDescent="0.25">
      <c r="H2916" s="4" t="str">
        <f t="array" aca="1" ref="H2916" ca="1">SUBSTITUTE(SUBSTITUTE(_xlfn.TEXTJOIN("",TRUE,IF(ISERR(MID(C2916,ROW(INDIRECT("1:100")),1)+0),MID(C2916,ROW(INDIRECT("1:100")),1),"")),")",""),"(","")</f>
        <v/>
      </c>
    </row>
    <row r="2917" spans="8:8" x14ac:dyDescent="0.25">
      <c r="H2917" s="4" t="str">
        <f t="array" aca="1" ref="H2917" ca="1">SUBSTITUTE(SUBSTITUTE(_xlfn.TEXTJOIN("",TRUE,IF(ISERR(MID(C2917,ROW(INDIRECT("1:100")),1)+0),MID(C2917,ROW(INDIRECT("1:100")),1),"")),")",""),"(","")</f>
        <v/>
      </c>
    </row>
    <row r="2918" spans="8:8" x14ac:dyDescent="0.25">
      <c r="H2918" s="4" t="str">
        <f t="array" aca="1" ref="H2918" ca="1">SUBSTITUTE(SUBSTITUTE(_xlfn.TEXTJOIN("",TRUE,IF(ISERR(MID(C2918,ROW(INDIRECT("1:100")),1)+0),MID(C2918,ROW(INDIRECT("1:100")),1),"")),")",""),"(","")</f>
        <v/>
      </c>
    </row>
    <row r="2919" spans="8:8" x14ac:dyDescent="0.25">
      <c r="H2919" s="4" t="str">
        <f t="array" aca="1" ref="H2919" ca="1">SUBSTITUTE(SUBSTITUTE(_xlfn.TEXTJOIN("",TRUE,IF(ISERR(MID(C2919,ROW(INDIRECT("1:100")),1)+0),MID(C2919,ROW(INDIRECT("1:100")),1),"")),")",""),"(","")</f>
        <v/>
      </c>
    </row>
    <row r="2920" spans="8:8" x14ac:dyDescent="0.25">
      <c r="H2920" s="4" t="str">
        <f t="array" aca="1" ref="H2920" ca="1">SUBSTITUTE(SUBSTITUTE(_xlfn.TEXTJOIN("",TRUE,IF(ISERR(MID(C2920,ROW(INDIRECT("1:100")),1)+0),MID(C2920,ROW(INDIRECT("1:100")),1),"")),")",""),"(","")</f>
        <v/>
      </c>
    </row>
    <row r="2921" spans="8:8" x14ac:dyDescent="0.25">
      <c r="H2921" s="4" t="str">
        <f t="array" aca="1" ref="H2921" ca="1">SUBSTITUTE(SUBSTITUTE(_xlfn.TEXTJOIN("",TRUE,IF(ISERR(MID(C2921,ROW(INDIRECT("1:100")),1)+0),MID(C2921,ROW(INDIRECT("1:100")),1),"")),")",""),"(","")</f>
        <v/>
      </c>
    </row>
    <row r="2922" spans="8:8" x14ac:dyDescent="0.25">
      <c r="H2922" s="4" t="str">
        <f t="array" aca="1" ref="H2922" ca="1">SUBSTITUTE(SUBSTITUTE(_xlfn.TEXTJOIN("",TRUE,IF(ISERR(MID(C2922,ROW(INDIRECT("1:100")),1)+0),MID(C2922,ROW(INDIRECT("1:100")),1),"")),")",""),"(","")</f>
        <v/>
      </c>
    </row>
    <row r="2923" spans="8:8" x14ac:dyDescent="0.25">
      <c r="H2923" s="4" t="str">
        <f t="array" aca="1" ref="H2923" ca="1">SUBSTITUTE(SUBSTITUTE(_xlfn.TEXTJOIN("",TRUE,IF(ISERR(MID(C2923,ROW(INDIRECT("1:100")),1)+0),MID(C2923,ROW(INDIRECT("1:100")),1),"")),")",""),"(","")</f>
        <v/>
      </c>
    </row>
    <row r="2924" spans="8:8" x14ac:dyDescent="0.25">
      <c r="H2924" s="4" t="str">
        <f t="array" aca="1" ref="H2924" ca="1">SUBSTITUTE(SUBSTITUTE(_xlfn.TEXTJOIN("",TRUE,IF(ISERR(MID(C2924,ROW(INDIRECT("1:100")),1)+0),MID(C2924,ROW(INDIRECT("1:100")),1),"")),")",""),"(","")</f>
        <v/>
      </c>
    </row>
    <row r="2925" spans="8:8" x14ac:dyDescent="0.25">
      <c r="H2925" s="4" t="str">
        <f t="array" aca="1" ref="H2925" ca="1">SUBSTITUTE(SUBSTITUTE(_xlfn.TEXTJOIN("",TRUE,IF(ISERR(MID(C2925,ROW(INDIRECT("1:100")),1)+0),MID(C2925,ROW(INDIRECT("1:100")),1),"")),")",""),"(","")</f>
        <v/>
      </c>
    </row>
    <row r="2926" spans="8:8" x14ac:dyDescent="0.25">
      <c r="H2926" s="4" t="str">
        <f t="array" aca="1" ref="H2926" ca="1">SUBSTITUTE(SUBSTITUTE(_xlfn.TEXTJOIN("",TRUE,IF(ISERR(MID(C2926,ROW(INDIRECT("1:100")),1)+0),MID(C2926,ROW(INDIRECT("1:100")),1),"")),")",""),"(","")</f>
        <v/>
      </c>
    </row>
    <row r="2927" spans="8:8" x14ac:dyDescent="0.25">
      <c r="H2927" s="4" t="str">
        <f t="array" aca="1" ref="H2927" ca="1">SUBSTITUTE(SUBSTITUTE(_xlfn.TEXTJOIN("",TRUE,IF(ISERR(MID(C2927,ROW(INDIRECT("1:100")),1)+0),MID(C2927,ROW(INDIRECT("1:100")),1),"")),")",""),"(","")</f>
        <v/>
      </c>
    </row>
    <row r="2928" spans="8:8" x14ac:dyDescent="0.25">
      <c r="H2928" s="4" t="str">
        <f t="array" aca="1" ref="H2928" ca="1">SUBSTITUTE(SUBSTITUTE(_xlfn.TEXTJOIN("",TRUE,IF(ISERR(MID(C2928,ROW(INDIRECT("1:100")),1)+0),MID(C2928,ROW(INDIRECT("1:100")),1),"")),")",""),"(","")</f>
        <v/>
      </c>
    </row>
    <row r="2929" spans="8:8" x14ac:dyDescent="0.25">
      <c r="H2929" s="4" t="str">
        <f t="array" aca="1" ref="H2929" ca="1">SUBSTITUTE(SUBSTITUTE(_xlfn.TEXTJOIN("",TRUE,IF(ISERR(MID(C2929,ROW(INDIRECT("1:100")),1)+0),MID(C2929,ROW(INDIRECT("1:100")),1),"")),")",""),"(","")</f>
        <v/>
      </c>
    </row>
    <row r="2930" spans="8:8" x14ac:dyDescent="0.25">
      <c r="H2930" s="4" t="str">
        <f t="array" aca="1" ref="H2930" ca="1">SUBSTITUTE(SUBSTITUTE(_xlfn.TEXTJOIN("",TRUE,IF(ISERR(MID(C2930,ROW(INDIRECT("1:100")),1)+0),MID(C2930,ROW(INDIRECT("1:100")),1),"")),")",""),"(","")</f>
        <v/>
      </c>
    </row>
    <row r="2931" spans="8:8" x14ac:dyDescent="0.25">
      <c r="H2931" s="4" t="str">
        <f t="array" aca="1" ref="H2931" ca="1">SUBSTITUTE(SUBSTITUTE(_xlfn.TEXTJOIN("",TRUE,IF(ISERR(MID(C2931,ROW(INDIRECT("1:100")),1)+0),MID(C2931,ROW(INDIRECT("1:100")),1),"")),")",""),"(","")</f>
        <v/>
      </c>
    </row>
    <row r="2932" spans="8:8" x14ac:dyDescent="0.25">
      <c r="H2932" s="4" t="str">
        <f t="array" aca="1" ref="H2932" ca="1">SUBSTITUTE(SUBSTITUTE(_xlfn.TEXTJOIN("",TRUE,IF(ISERR(MID(C2932,ROW(INDIRECT("1:100")),1)+0),MID(C2932,ROW(INDIRECT("1:100")),1),"")),")",""),"(","")</f>
        <v/>
      </c>
    </row>
    <row r="2933" spans="8:8" x14ac:dyDescent="0.25">
      <c r="H2933" s="4" t="str">
        <f t="array" aca="1" ref="H2933" ca="1">SUBSTITUTE(SUBSTITUTE(_xlfn.TEXTJOIN("",TRUE,IF(ISERR(MID(C2933,ROW(INDIRECT("1:100")),1)+0),MID(C2933,ROW(INDIRECT("1:100")),1),"")),")",""),"(","")</f>
        <v/>
      </c>
    </row>
    <row r="2934" spans="8:8" x14ac:dyDescent="0.25">
      <c r="H2934" s="4" t="str">
        <f t="array" aca="1" ref="H2934" ca="1">SUBSTITUTE(SUBSTITUTE(_xlfn.TEXTJOIN("",TRUE,IF(ISERR(MID(C2934,ROW(INDIRECT("1:100")),1)+0),MID(C2934,ROW(INDIRECT("1:100")),1),"")),")",""),"(","")</f>
        <v/>
      </c>
    </row>
    <row r="2935" spans="8:8" x14ac:dyDescent="0.25">
      <c r="H2935" s="4" t="str">
        <f t="array" aca="1" ref="H2935" ca="1">SUBSTITUTE(SUBSTITUTE(_xlfn.TEXTJOIN("",TRUE,IF(ISERR(MID(C2935,ROW(INDIRECT("1:100")),1)+0),MID(C2935,ROW(INDIRECT("1:100")),1),"")),")",""),"(","")</f>
        <v/>
      </c>
    </row>
    <row r="2936" spans="8:8" x14ac:dyDescent="0.25">
      <c r="H2936" s="4" t="str">
        <f t="array" aca="1" ref="H2936" ca="1">SUBSTITUTE(SUBSTITUTE(_xlfn.TEXTJOIN("",TRUE,IF(ISERR(MID(C2936,ROW(INDIRECT("1:100")),1)+0),MID(C2936,ROW(INDIRECT("1:100")),1),"")),")",""),"(","")</f>
        <v/>
      </c>
    </row>
    <row r="2937" spans="8:8" x14ac:dyDescent="0.25">
      <c r="H2937" s="4" t="str">
        <f t="array" aca="1" ref="H2937" ca="1">SUBSTITUTE(SUBSTITUTE(_xlfn.TEXTJOIN("",TRUE,IF(ISERR(MID(C2937,ROW(INDIRECT("1:100")),1)+0),MID(C2937,ROW(INDIRECT("1:100")),1),"")),")",""),"(","")</f>
        <v/>
      </c>
    </row>
    <row r="2938" spans="8:8" x14ac:dyDescent="0.25">
      <c r="H2938" s="4" t="str">
        <f t="array" aca="1" ref="H2938" ca="1">SUBSTITUTE(SUBSTITUTE(_xlfn.TEXTJOIN("",TRUE,IF(ISERR(MID(C2938,ROW(INDIRECT("1:100")),1)+0),MID(C2938,ROW(INDIRECT("1:100")),1),"")),")",""),"(","")</f>
        <v/>
      </c>
    </row>
    <row r="2939" spans="8:8" x14ac:dyDescent="0.25">
      <c r="H2939" s="4" t="str">
        <f t="array" aca="1" ref="H2939" ca="1">SUBSTITUTE(SUBSTITUTE(_xlfn.TEXTJOIN("",TRUE,IF(ISERR(MID(C2939,ROW(INDIRECT("1:100")),1)+0),MID(C2939,ROW(INDIRECT("1:100")),1),"")),")",""),"(","")</f>
        <v/>
      </c>
    </row>
    <row r="2940" spans="8:8" x14ac:dyDescent="0.25">
      <c r="H2940" s="4" t="str">
        <f t="array" aca="1" ref="H2940" ca="1">SUBSTITUTE(SUBSTITUTE(_xlfn.TEXTJOIN("",TRUE,IF(ISERR(MID(C2940,ROW(INDIRECT("1:100")),1)+0),MID(C2940,ROW(INDIRECT("1:100")),1),"")),")",""),"(","")</f>
        <v/>
      </c>
    </row>
    <row r="2941" spans="8:8" x14ac:dyDescent="0.25">
      <c r="H2941" s="4" t="str">
        <f t="array" aca="1" ref="H2941" ca="1">SUBSTITUTE(SUBSTITUTE(_xlfn.TEXTJOIN("",TRUE,IF(ISERR(MID(C2941,ROW(INDIRECT("1:100")),1)+0),MID(C2941,ROW(INDIRECT("1:100")),1),"")),")",""),"(","")</f>
        <v/>
      </c>
    </row>
    <row r="2942" spans="8:8" x14ac:dyDescent="0.25">
      <c r="H2942" s="4" t="str">
        <f t="array" aca="1" ref="H2942" ca="1">SUBSTITUTE(SUBSTITUTE(_xlfn.TEXTJOIN("",TRUE,IF(ISERR(MID(C2942,ROW(INDIRECT("1:100")),1)+0),MID(C2942,ROW(INDIRECT("1:100")),1),"")),")",""),"(","")</f>
        <v/>
      </c>
    </row>
    <row r="2943" spans="8:8" x14ac:dyDescent="0.25">
      <c r="H2943" s="4" t="str">
        <f t="array" aca="1" ref="H2943" ca="1">SUBSTITUTE(SUBSTITUTE(_xlfn.TEXTJOIN("",TRUE,IF(ISERR(MID(C2943,ROW(INDIRECT("1:100")),1)+0),MID(C2943,ROW(INDIRECT("1:100")),1),"")),")",""),"(","")</f>
        <v/>
      </c>
    </row>
    <row r="2944" spans="8:8" x14ac:dyDescent="0.25">
      <c r="H2944" s="4" t="str">
        <f t="array" aca="1" ref="H2944" ca="1">SUBSTITUTE(SUBSTITUTE(_xlfn.TEXTJOIN("",TRUE,IF(ISERR(MID(C2944,ROW(INDIRECT("1:100")),1)+0),MID(C2944,ROW(INDIRECT("1:100")),1),"")),")",""),"(","")</f>
        <v/>
      </c>
    </row>
    <row r="2945" spans="8:8" x14ac:dyDescent="0.25">
      <c r="H2945" s="4" t="str">
        <f t="array" aca="1" ref="H2945" ca="1">SUBSTITUTE(SUBSTITUTE(_xlfn.TEXTJOIN("",TRUE,IF(ISERR(MID(C2945,ROW(INDIRECT("1:100")),1)+0),MID(C2945,ROW(INDIRECT("1:100")),1),"")),")",""),"(","")</f>
        <v/>
      </c>
    </row>
    <row r="2946" spans="8:8" x14ac:dyDescent="0.25">
      <c r="H2946" s="4" t="str">
        <f t="array" aca="1" ref="H2946" ca="1">SUBSTITUTE(SUBSTITUTE(_xlfn.TEXTJOIN("",TRUE,IF(ISERR(MID(C2946,ROW(INDIRECT("1:100")),1)+0),MID(C2946,ROW(INDIRECT("1:100")),1),"")),")",""),"(","")</f>
        <v/>
      </c>
    </row>
    <row r="2947" spans="8:8" x14ac:dyDescent="0.25">
      <c r="H2947" s="4" t="str">
        <f t="array" aca="1" ref="H2947" ca="1">SUBSTITUTE(SUBSTITUTE(_xlfn.TEXTJOIN("",TRUE,IF(ISERR(MID(C2947,ROW(INDIRECT("1:100")),1)+0),MID(C2947,ROW(INDIRECT("1:100")),1),"")),")",""),"(","")</f>
        <v/>
      </c>
    </row>
    <row r="2948" spans="8:8" x14ac:dyDescent="0.25">
      <c r="H2948" s="4" t="str">
        <f t="array" aca="1" ref="H2948" ca="1">SUBSTITUTE(SUBSTITUTE(_xlfn.TEXTJOIN("",TRUE,IF(ISERR(MID(C2948,ROW(INDIRECT("1:100")),1)+0),MID(C2948,ROW(INDIRECT("1:100")),1),"")),")",""),"(","")</f>
        <v/>
      </c>
    </row>
    <row r="2949" spans="8:8" x14ac:dyDescent="0.25">
      <c r="H2949" s="4" t="str">
        <f t="array" aca="1" ref="H2949" ca="1">SUBSTITUTE(SUBSTITUTE(_xlfn.TEXTJOIN("",TRUE,IF(ISERR(MID(C2949,ROW(INDIRECT("1:100")),1)+0),MID(C2949,ROW(INDIRECT("1:100")),1),"")),")",""),"(","")</f>
        <v/>
      </c>
    </row>
    <row r="2950" spans="8:8" x14ac:dyDescent="0.25">
      <c r="H2950" s="4" t="str">
        <f t="array" aca="1" ref="H2950" ca="1">SUBSTITUTE(SUBSTITUTE(_xlfn.TEXTJOIN("",TRUE,IF(ISERR(MID(C2950,ROW(INDIRECT("1:100")),1)+0),MID(C2950,ROW(INDIRECT("1:100")),1),"")),")",""),"(","")</f>
        <v/>
      </c>
    </row>
    <row r="2951" spans="8:8" x14ac:dyDescent="0.25">
      <c r="H2951" s="4" t="str">
        <f t="array" aca="1" ref="H2951" ca="1">SUBSTITUTE(SUBSTITUTE(_xlfn.TEXTJOIN("",TRUE,IF(ISERR(MID(C2951,ROW(INDIRECT("1:100")),1)+0),MID(C2951,ROW(INDIRECT("1:100")),1),"")),")",""),"(","")</f>
        <v/>
      </c>
    </row>
    <row r="2952" spans="8:8" x14ac:dyDescent="0.25">
      <c r="H2952" s="4" t="str">
        <f t="array" aca="1" ref="H2952" ca="1">SUBSTITUTE(SUBSTITUTE(_xlfn.TEXTJOIN("",TRUE,IF(ISERR(MID(C2952,ROW(INDIRECT("1:100")),1)+0),MID(C2952,ROW(INDIRECT("1:100")),1),"")),")",""),"(","")</f>
        <v/>
      </c>
    </row>
    <row r="2953" spans="8:8" x14ac:dyDescent="0.25">
      <c r="H2953" s="4" t="str">
        <f t="array" aca="1" ref="H2953" ca="1">SUBSTITUTE(SUBSTITUTE(_xlfn.TEXTJOIN("",TRUE,IF(ISERR(MID(C2953,ROW(INDIRECT("1:100")),1)+0),MID(C2953,ROW(INDIRECT("1:100")),1),"")),")",""),"(","")</f>
        <v/>
      </c>
    </row>
    <row r="2954" spans="8:8" x14ac:dyDescent="0.25">
      <c r="H2954" s="4" t="str">
        <f t="array" aca="1" ref="H2954" ca="1">SUBSTITUTE(SUBSTITUTE(_xlfn.TEXTJOIN("",TRUE,IF(ISERR(MID(C2954,ROW(INDIRECT("1:100")),1)+0),MID(C2954,ROW(INDIRECT("1:100")),1),"")),")",""),"(","")</f>
        <v/>
      </c>
    </row>
    <row r="2955" spans="8:8" x14ac:dyDescent="0.25">
      <c r="H2955" s="4" t="str">
        <f t="array" aca="1" ref="H2955" ca="1">SUBSTITUTE(SUBSTITUTE(_xlfn.TEXTJOIN("",TRUE,IF(ISERR(MID(C2955,ROW(INDIRECT("1:100")),1)+0),MID(C2955,ROW(INDIRECT("1:100")),1),"")),")",""),"(","")</f>
        <v/>
      </c>
    </row>
    <row r="2956" spans="8:8" x14ac:dyDescent="0.25">
      <c r="H2956" s="4" t="str">
        <f t="array" aca="1" ref="H2956" ca="1">SUBSTITUTE(SUBSTITUTE(_xlfn.TEXTJOIN("",TRUE,IF(ISERR(MID(C2956,ROW(INDIRECT("1:100")),1)+0),MID(C2956,ROW(INDIRECT("1:100")),1),"")),")",""),"(","")</f>
        <v/>
      </c>
    </row>
    <row r="2957" spans="8:8" x14ac:dyDescent="0.25">
      <c r="H2957" s="4" t="str">
        <f t="array" aca="1" ref="H2957" ca="1">SUBSTITUTE(SUBSTITUTE(_xlfn.TEXTJOIN("",TRUE,IF(ISERR(MID(C2957,ROW(INDIRECT("1:100")),1)+0),MID(C2957,ROW(INDIRECT("1:100")),1),"")),")",""),"(","")</f>
        <v/>
      </c>
    </row>
    <row r="2958" spans="8:8" x14ac:dyDescent="0.25">
      <c r="H2958" s="4" t="str">
        <f t="array" aca="1" ref="H2958" ca="1">SUBSTITUTE(SUBSTITUTE(_xlfn.TEXTJOIN("",TRUE,IF(ISERR(MID(C2958,ROW(INDIRECT("1:100")),1)+0),MID(C2958,ROW(INDIRECT("1:100")),1),"")),")",""),"(","")</f>
        <v/>
      </c>
    </row>
    <row r="2959" spans="8:8" x14ac:dyDescent="0.25">
      <c r="H2959" s="4" t="str">
        <f t="array" aca="1" ref="H2959" ca="1">SUBSTITUTE(SUBSTITUTE(_xlfn.TEXTJOIN("",TRUE,IF(ISERR(MID(C2959,ROW(INDIRECT("1:100")),1)+0),MID(C2959,ROW(INDIRECT("1:100")),1),"")),")",""),"(","")</f>
        <v/>
      </c>
    </row>
    <row r="2960" spans="8:8" x14ac:dyDescent="0.25">
      <c r="H2960" s="4" t="str">
        <f t="array" aca="1" ref="H2960" ca="1">SUBSTITUTE(SUBSTITUTE(_xlfn.TEXTJOIN("",TRUE,IF(ISERR(MID(C2960,ROW(INDIRECT("1:100")),1)+0),MID(C2960,ROW(INDIRECT("1:100")),1),"")),")",""),"(","")</f>
        <v/>
      </c>
    </row>
    <row r="2961" spans="8:8" x14ac:dyDescent="0.25">
      <c r="H2961" s="4" t="str">
        <f t="array" aca="1" ref="H2961" ca="1">SUBSTITUTE(SUBSTITUTE(_xlfn.TEXTJOIN("",TRUE,IF(ISERR(MID(C2961,ROW(INDIRECT("1:100")),1)+0),MID(C2961,ROW(INDIRECT("1:100")),1),"")),")",""),"(","")</f>
        <v/>
      </c>
    </row>
    <row r="2962" spans="8:8" x14ac:dyDescent="0.25">
      <c r="H2962" s="4" t="str">
        <f t="array" aca="1" ref="H2962" ca="1">SUBSTITUTE(SUBSTITUTE(_xlfn.TEXTJOIN("",TRUE,IF(ISERR(MID(C2962,ROW(INDIRECT("1:100")),1)+0),MID(C2962,ROW(INDIRECT("1:100")),1),"")),")",""),"(","")</f>
        <v/>
      </c>
    </row>
    <row r="2963" spans="8:8" x14ac:dyDescent="0.25">
      <c r="H2963" s="4" t="str">
        <f t="array" aca="1" ref="H2963" ca="1">SUBSTITUTE(SUBSTITUTE(_xlfn.TEXTJOIN("",TRUE,IF(ISERR(MID(C2963,ROW(INDIRECT("1:100")),1)+0),MID(C2963,ROW(INDIRECT("1:100")),1),"")),")",""),"(","")</f>
        <v/>
      </c>
    </row>
    <row r="2964" spans="8:8" x14ac:dyDescent="0.25">
      <c r="H2964" s="4" t="str">
        <f t="array" aca="1" ref="H2964" ca="1">SUBSTITUTE(SUBSTITUTE(_xlfn.TEXTJOIN("",TRUE,IF(ISERR(MID(C2964,ROW(INDIRECT("1:100")),1)+0),MID(C2964,ROW(INDIRECT("1:100")),1),"")),")",""),"(","")</f>
        <v/>
      </c>
    </row>
    <row r="2965" spans="8:8" x14ac:dyDescent="0.25">
      <c r="H2965" s="4" t="str">
        <f t="array" aca="1" ref="H2965" ca="1">SUBSTITUTE(SUBSTITUTE(_xlfn.TEXTJOIN("",TRUE,IF(ISERR(MID(C2965,ROW(INDIRECT("1:100")),1)+0),MID(C2965,ROW(INDIRECT("1:100")),1),"")),")",""),"(","")</f>
        <v/>
      </c>
    </row>
    <row r="2966" spans="8:8" x14ac:dyDescent="0.25">
      <c r="H2966" s="4" t="str">
        <f t="array" aca="1" ref="H2966" ca="1">SUBSTITUTE(SUBSTITUTE(_xlfn.TEXTJOIN("",TRUE,IF(ISERR(MID(C2966,ROW(INDIRECT("1:100")),1)+0),MID(C2966,ROW(INDIRECT("1:100")),1),"")),")",""),"(","")</f>
        <v/>
      </c>
    </row>
    <row r="2967" spans="8:8" x14ac:dyDescent="0.25">
      <c r="H2967" s="4" t="str">
        <f t="array" aca="1" ref="H2967" ca="1">SUBSTITUTE(SUBSTITUTE(_xlfn.TEXTJOIN("",TRUE,IF(ISERR(MID(C2967,ROW(INDIRECT("1:100")),1)+0),MID(C2967,ROW(INDIRECT("1:100")),1),"")),")",""),"(","")</f>
        <v/>
      </c>
    </row>
    <row r="2968" spans="8:8" x14ac:dyDescent="0.25">
      <c r="H2968" s="4" t="str">
        <f t="array" aca="1" ref="H2968" ca="1">SUBSTITUTE(SUBSTITUTE(_xlfn.TEXTJOIN("",TRUE,IF(ISERR(MID(C2968,ROW(INDIRECT("1:100")),1)+0),MID(C2968,ROW(INDIRECT("1:100")),1),"")),")",""),"(","")</f>
        <v/>
      </c>
    </row>
    <row r="2969" spans="8:8" x14ac:dyDescent="0.25">
      <c r="H2969" s="4" t="str">
        <f t="array" aca="1" ref="H2969" ca="1">SUBSTITUTE(SUBSTITUTE(_xlfn.TEXTJOIN("",TRUE,IF(ISERR(MID(C2969,ROW(INDIRECT("1:100")),1)+0),MID(C2969,ROW(INDIRECT("1:100")),1),"")),")",""),"(","")</f>
        <v/>
      </c>
    </row>
    <row r="2970" spans="8:8" x14ac:dyDescent="0.25">
      <c r="H2970" s="4" t="str">
        <f t="array" aca="1" ref="H2970" ca="1">SUBSTITUTE(SUBSTITUTE(_xlfn.TEXTJOIN("",TRUE,IF(ISERR(MID(C2970,ROW(INDIRECT("1:100")),1)+0),MID(C2970,ROW(INDIRECT("1:100")),1),"")),")",""),"(","")</f>
        <v/>
      </c>
    </row>
    <row r="2971" spans="8:8" x14ac:dyDescent="0.25">
      <c r="H2971" s="4" t="str">
        <f t="array" aca="1" ref="H2971" ca="1">SUBSTITUTE(SUBSTITUTE(_xlfn.TEXTJOIN("",TRUE,IF(ISERR(MID(C2971,ROW(INDIRECT("1:100")),1)+0),MID(C2971,ROW(INDIRECT("1:100")),1),"")),")",""),"(","")</f>
        <v/>
      </c>
    </row>
    <row r="2972" spans="8:8" x14ac:dyDescent="0.25">
      <c r="H2972" s="4" t="str">
        <f t="array" aca="1" ref="H2972" ca="1">SUBSTITUTE(SUBSTITUTE(_xlfn.TEXTJOIN("",TRUE,IF(ISERR(MID(C2972,ROW(INDIRECT("1:100")),1)+0),MID(C2972,ROW(INDIRECT("1:100")),1),"")),")",""),"(","")</f>
        <v/>
      </c>
    </row>
    <row r="2973" spans="8:8" x14ac:dyDescent="0.25">
      <c r="H2973" s="4" t="str">
        <f t="array" aca="1" ref="H2973" ca="1">SUBSTITUTE(SUBSTITUTE(_xlfn.TEXTJOIN("",TRUE,IF(ISERR(MID(C2973,ROW(INDIRECT("1:100")),1)+0),MID(C2973,ROW(INDIRECT("1:100")),1),"")),")",""),"(","")</f>
        <v/>
      </c>
    </row>
    <row r="2974" spans="8:8" x14ac:dyDescent="0.25">
      <c r="H2974" s="4" t="str">
        <f t="array" aca="1" ref="H2974" ca="1">SUBSTITUTE(SUBSTITUTE(_xlfn.TEXTJOIN("",TRUE,IF(ISERR(MID(C2974,ROW(INDIRECT("1:100")),1)+0),MID(C2974,ROW(INDIRECT("1:100")),1),"")),")",""),"(","")</f>
        <v/>
      </c>
    </row>
    <row r="2975" spans="8:8" x14ac:dyDescent="0.25">
      <c r="H2975" s="4" t="str">
        <f t="array" aca="1" ref="H2975" ca="1">SUBSTITUTE(SUBSTITUTE(_xlfn.TEXTJOIN("",TRUE,IF(ISERR(MID(C2975,ROW(INDIRECT("1:100")),1)+0),MID(C2975,ROW(INDIRECT("1:100")),1),"")),")",""),"(","")</f>
        <v/>
      </c>
    </row>
    <row r="2976" spans="8:8" x14ac:dyDescent="0.25">
      <c r="H2976" s="4" t="str">
        <f t="array" aca="1" ref="H2976" ca="1">SUBSTITUTE(SUBSTITUTE(_xlfn.TEXTJOIN("",TRUE,IF(ISERR(MID(C2976,ROW(INDIRECT("1:100")),1)+0),MID(C2976,ROW(INDIRECT("1:100")),1),"")),")",""),"(","")</f>
        <v/>
      </c>
    </row>
    <row r="2977" spans="8:8" x14ac:dyDescent="0.25">
      <c r="H2977" s="4" t="str">
        <f t="array" aca="1" ref="H2977" ca="1">SUBSTITUTE(SUBSTITUTE(_xlfn.TEXTJOIN("",TRUE,IF(ISERR(MID(C2977,ROW(INDIRECT("1:100")),1)+0),MID(C2977,ROW(INDIRECT("1:100")),1),"")),")",""),"(","")</f>
        <v/>
      </c>
    </row>
    <row r="2978" spans="8:8" x14ac:dyDescent="0.25">
      <c r="H2978" s="4" t="str">
        <f t="array" aca="1" ref="H2978" ca="1">SUBSTITUTE(SUBSTITUTE(_xlfn.TEXTJOIN("",TRUE,IF(ISERR(MID(C2978,ROW(INDIRECT("1:100")),1)+0),MID(C2978,ROW(INDIRECT("1:100")),1),"")),")",""),"(","")</f>
        <v/>
      </c>
    </row>
    <row r="2979" spans="8:8" x14ac:dyDescent="0.25">
      <c r="H2979" s="4" t="str">
        <f t="array" aca="1" ref="H2979" ca="1">SUBSTITUTE(SUBSTITUTE(_xlfn.TEXTJOIN("",TRUE,IF(ISERR(MID(C2979,ROW(INDIRECT("1:100")),1)+0),MID(C2979,ROW(INDIRECT("1:100")),1),"")),")",""),"(","")</f>
        <v/>
      </c>
    </row>
    <row r="2980" spans="8:8" x14ac:dyDescent="0.25">
      <c r="H2980" s="4" t="str">
        <f t="array" aca="1" ref="H2980" ca="1">SUBSTITUTE(SUBSTITUTE(_xlfn.TEXTJOIN("",TRUE,IF(ISERR(MID(C2980,ROW(INDIRECT("1:100")),1)+0),MID(C2980,ROW(INDIRECT("1:100")),1),"")),")",""),"(","")</f>
        <v/>
      </c>
    </row>
    <row r="2981" spans="8:8" x14ac:dyDescent="0.25">
      <c r="H2981" s="4" t="str">
        <f t="array" aca="1" ref="H2981" ca="1">SUBSTITUTE(SUBSTITUTE(_xlfn.TEXTJOIN("",TRUE,IF(ISERR(MID(C2981,ROW(INDIRECT("1:100")),1)+0),MID(C2981,ROW(INDIRECT("1:100")),1),"")),")",""),"(","")</f>
        <v/>
      </c>
    </row>
    <row r="2982" spans="8:8" x14ac:dyDescent="0.25">
      <c r="H2982" s="4" t="str">
        <f t="array" aca="1" ref="H2982" ca="1">SUBSTITUTE(SUBSTITUTE(_xlfn.TEXTJOIN("",TRUE,IF(ISERR(MID(C2982,ROW(INDIRECT("1:100")),1)+0),MID(C2982,ROW(INDIRECT("1:100")),1),"")),")",""),"(","")</f>
        <v/>
      </c>
    </row>
    <row r="2983" spans="8:8" x14ac:dyDescent="0.25">
      <c r="H2983" s="4" t="str">
        <f t="array" aca="1" ref="H2983" ca="1">SUBSTITUTE(SUBSTITUTE(_xlfn.TEXTJOIN("",TRUE,IF(ISERR(MID(C2983,ROW(INDIRECT("1:100")),1)+0),MID(C2983,ROW(INDIRECT("1:100")),1),"")),")",""),"(","")</f>
        <v/>
      </c>
    </row>
    <row r="2984" spans="8:8" x14ac:dyDescent="0.25">
      <c r="H2984" s="4" t="str">
        <f t="array" aca="1" ref="H2984" ca="1">SUBSTITUTE(SUBSTITUTE(_xlfn.TEXTJOIN("",TRUE,IF(ISERR(MID(C2984,ROW(INDIRECT("1:100")),1)+0),MID(C2984,ROW(INDIRECT("1:100")),1),"")),")",""),"(","")</f>
        <v/>
      </c>
    </row>
    <row r="2985" spans="8:8" x14ac:dyDescent="0.25">
      <c r="H2985" s="4" t="str">
        <f t="array" aca="1" ref="H2985" ca="1">SUBSTITUTE(SUBSTITUTE(_xlfn.TEXTJOIN("",TRUE,IF(ISERR(MID(C2985,ROW(INDIRECT("1:100")),1)+0),MID(C2985,ROW(INDIRECT("1:100")),1),"")),")",""),"(","")</f>
        <v/>
      </c>
    </row>
    <row r="2986" spans="8:8" x14ac:dyDescent="0.25">
      <c r="H2986" s="4" t="str">
        <f t="array" aca="1" ref="H2986" ca="1">SUBSTITUTE(SUBSTITUTE(_xlfn.TEXTJOIN("",TRUE,IF(ISERR(MID(C2986,ROW(INDIRECT("1:100")),1)+0),MID(C2986,ROW(INDIRECT("1:100")),1),"")),")",""),"(","")</f>
        <v/>
      </c>
    </row>
    <row r="2987" spans="8:8" x14ac:dyDescent="0.25">
      <c r="H2987" s="4" t="str">
        <f t="array" aca="1" ref="H2987" ca="1">SUBSTITUTE(SUBSTITUTE(_xlfn.TEXTJOIN("",TRUE,IF(ISERR(MID(C2987,ROW(INDIRECT("1:100")),1)+0),MID(C2987,ROW(INDIRECT("1:100")),1),"")),")",""),"(","")</f>
        <v/>
      </c>
    </row>
    <row r="2988" spans="8:8" x14ac:dyDescent="0.25">
      <c r="H2988" s="4" t="str">
        <f t="array" aca="1" ref="H2988" ca="1">SUBSTITUTE(SUBSTITUTE(_xlfn.TEXTJOIN("",TRUE,IF(ISERR(MID(C2988,ROW(INDIRECT("1:100")),1)+0),MID(C2988,ROW(INDIRECT("1:100")),1),"")),")",""),"(","")</f>
        <v/>
      </c>
    </row>
    <row r="2989" spans="8:8" x14ac:dyDescent="0.25">
      <c r="H2989" s="4" t="str">
        <f t="array" aca="1" ref="H2989" ca="1">SUBSTITUTE(SUBSTITUTE(_xlfn.TEXTJOIN("",TRUE,IF(ISERR(MID(C2989,ROW(INDIRECT("1:100")),1)+0),MID(C2989,ROW(INDIRECT("1:100")),1),"")),")",""),"(","")</f>
        <v/>
      </c>
    </row>
    <row r="2990" spans="8:8" x14ac:dyDescent="0.25">
      <c r="H2990" s="4" t="str">
        <f t="array" aca="1" ref="H2990" ca="1">SUBSTITUTE(SUBSTITUTE(_xlfn.TEXTJOIN("",TRUE,IF(ISERR(MID(C2990,ROW(INDIRECT("1:100")),1)+0),MID(C2990,ROW(INDIRECT("1:100")),1),"")),")",""),"(","")</f>
        <v/>
      </c>
    </row>
    <row r="2991" spans="8:8" x14ac:dyDescent="0.25">
      <c r="H2991" s="4" t="str">
        <f t="array" aca="1" ref="H2991" ca="1">SUBSTITUTE(SUBSTITUTE(_xlfn.TEXTJOIN("",TRUE,IF(ISERR(MID(C2991,ROW(INDIRECT("1:100")),1)+0),MID(C2991,ROW(INDIRECT("1:100")),1),"")),")",""),"(","")</f>
        <v/>
      </c>
    </row>
    <row r="2992" spans="8:8" x14ac:dyDescent="0.25">
      <c r="H2992" s="4" t="str">
        <f t="array" aca="1" ref="H2992" ca="1">SUBSTITUTE(SUBSTITUTE(_xlfn.TEXTJOIN("",TRUE,IF(ISERR(MID(C2992,ROW(INDIRECT("1:100")),1)+0),MID(C2992,ROW(INDIRECT("1:100")),1),"")),")",""),"(","")</f>
        <v/>
      </c>
    </row>
    <row r="2993" spans="8:8" x14ac:dyDescent="0.25">
      <c r="H2993" s="4" t="str">
        <f t="array" aca="1" ref="H2993" ca="1">SUBSTITUTE(SUBSTITUTE(_xlfn.TEXTJOIN("",TRUE,IF(ISERR(MID(C2993,ROW(INDIRECT("1:100")),1)+0),MID(C2993,ROW(INDIRECT("1:100")),1),"")),")",""),"(","")</f>
        <v/>
      </c>
    </row>
    <row r="2994" spans="8:8" x14ac:dyDescent="0.25">
      <c r="H2994" s="4" t="str">
        <f t="array" aca="1" ref="H2994" ca="1">SUBSTITUTE(SUBSTITUTE(_xlfn.TEXTJOIN("",TRUE,IF(ISERR(MID(C2994,ROW(INDIRECT("1:100")),1)+0),MID(C2994,ROW(INDIRECT("1:100")),1),"")),")",""),"(","")</f>
        <v/>
      </c>
    </row>
    <row r="2995" spans="8:8" x14ac:dyDescent="0.25">
      <c r="H2995" s="4" t="str">
        <f t="array" aca="1" ref="H2995" ca="1">SUBSTITUTE(SUBSTITUTE(_xlfn.TEXTJOIN("",TRUE,IF(ISERR(MID(C2995,ROW(INDIRECT("1:100")),1)+0),MID(C2995,ROW(INDIRECT("1:100")),1),"")),")",""),"(","")</f>
        <v/>
      </c>
    </row>
    <row r="2996" spans="8:8" x14ac:dyDescent="0.25">
      <c r="H2996" s="4" t="str">
        <f t="array" aca="1" ref="H2996" ca="1">SUBSTITUTE(SUBSTITUTE(_xlfn.TEXTJOIN("",TRUE,IF(ISERR(MID(C2996,ROW(INDIRECT("1:100")),1)+0),MID(C2996,ROW(INDIRECT("1:100")),1),"")),")",""),"(","")</f>
        <v/>
      </c>
    </row>
    <row r="2997" spans="8:8" x14ac:dyDescent="0.25">
      <c r="H2997" s="4" t="str">
        <f t="array" aca="1" ref="H2997" ca="1">SUBSTITUTE(SUBSTITUTE(_xlfn.TEXTJOIN("",TRUE,IF(ISERR(MID(C2997,ROW(INDIRECT("1:100")),1)+0),MID(C2997,ROW(INDIRECT("1:100")),1),"")),")",""),"(","")</f>
        <v/>
      </c>
    </row>
    <row r="2998" spans="8:8" x14ac:dyDescent="0.25">
      <c r="H2998" s="4" t="str">
        <f t="array" aca="1" ref="H2998" ca="1">SUBSTITUTE(SUBSTITUTE(_xlfn.TEXTJOIN("",TRUE,IF(ISERR(MID(C2998,ROW(INDIRECT("1:100")),1)+0),MID(C2998,ROW(INDIRECT("1:100")),1),"")),")",""),"(","")</f>
        <v/>
      </c>
    </row>
    <row r="2999" spans="8:8" x14ac:dyDescent="0.25">
      <c r="H2999" s="4" t="str">
        <f t="array" aca="1" ref="H2999" ca="1">SUBSTITUTE(SUBSTITUTE(_xlfn.TEXTJOIN("",TRUE,IF(ISERR(MID(C2999,ROW(INDIRECT("1:100")),1)+0),MID(C2999,ROW(INDIRECT("1:100")),1),"")),")",""),"(","")</f>
        <v/>
      </c>
    </row>
    <row r="3000" spans="8:8" x14ac:dyDescent="0.25">
      <c r="H3000" s="4" t="str">
        <f t="array" aca="1" ref="H3000" ca="1">SUBSTITUTE(SUBSTITUTE(_xlfn.TEXTJOIN("",TRUE,IF(ISERR(MID(C3000,ROW(INDIRECT("1:100")),1)+0),MID(C3000,ROW(INDIRECT("1:100")),1),"")),")",""),"(","")</f>
        <v/>
      </c>
    </row>
    <row r="3001" spans="8:8" x14ac:dyDescent="0.25">
      <c r="H3001" s="4" t="str">
        <f t="array" aca="1" ref="H3001" ca="1">SUBSTITUTE(SUBSTITUTE(_xlfn.TEXTJOIN("",TRUE,IF(ISERR(MID(C3001,ROW(INDIRECT("1:100")),1)+0),MID(C3001,ROW(INDIRECT("1:100")),1),"")),")",""),"(","")</f>
        <v/>
      </c>
    </row>
    <row r="3002" spans="8:8" x14ac:dyDescent="0.25">
      <c r="H3002" s="4" t="str">
        <f t="array" aca="1" ref="H3002" ca="1">SUBSTITUTE(SUBSTITUTE(_xlfn.TEXTJOIN("",TRUE,IF(ISERR(MID(C3002,ROW(INDIRECT("1:100")),1)+0),MID(C3002,ROW(INDIRECT("1:100")),1),"")),")",""),"(","")</f>
        <v/>
      </c>
    </row>
    <row r="3003" spans="8:8" x14ac:dyDescent="0.25">
      <c r="H3003" s="4" t="str">
        <f t="array" aca="1" ref="H3003" ca="1">SUBSTITUTE(SUBSTITUTE(_xlfn.TEXTJOIN("",TRUE,IF(ISERR(MID(C3003,ROW(INDIRECT("1:100")),1)+0),MID(C3003,ROW(INDIRECT("1:100")),1),"")),")",""),"(","")</f>
        <v/>
      </c>
    </row>
    <row r="3004" spans="8:8" x14ac:dyDescent="0.25">
      <c r="H3004" s="4" t="str">
        <f t="array" aca="1" ref="H3004" ca="1">SUBSTITUTE(SUBSTITUTE(_xlfn.TEXTJOIN("",TRUE,IF(ISERR(MID(C3004,ROW(INDIRECT("1:100")),1)+0),MID(C3004,ROW(INDIRECT("1:100")),1),"")),")",""),"(","")</f>
        <v/>
      </c>
    </row>
    <row r="3005" spans="8:8" x14ac:dyDescent="0.25">
      <c r="H3005" s="4" t="str">
        <f t="array" aca="1" ref="H3005" ca="1">SUBSTITUTE(SUBSTITUTE(_xlfn.TEXTJOIN("",TRUE,IF(ISERR(MID(C3005,ROW(INDIRECT("1:100")),1)+0),MID(C3005,ROW(INDIRECT("1:100")),1),"")),")",""),"(","")</f>
        <v/>
      </c>
    </row>
    <row r="3006" spans="8:8" x14ac:dyDescent="0.25">
      <c r="H3006" s="4" t="str">
        <f t="array" aca="1" ref="H3006" ca="1">SUBSTITUTE(SUBSTITUTE(_xlfn.TEXTJOIN("",TRUE,IF(ISERR(MID(C3006,ROW(INDIRECT("1:100")),1)+0),MID(C3006,ROW(INDIRECT("1:100")),1),"")),")",""),"(","")</f>
        <v/>
      </c>
    </row>
    <row r="3007" spans="8:8" x14ac:dyDescent="0.25">
      <c r="H3007" s="4" t="str">
        <f t="array" aca="1" ref="H3007" ca="1">SUBSTITUTE(SUBSTITUTE(_xlfn.TEXTJOIN("",TRUE,IF(ISERR(MID(C3007,ROW(INDIRECT("1:100")),1)+0),MID(C3007,ROW(INDIRECT("1:100")),1),"")),")",""),"(","")</f>
        <v/>
      </c>
    </row>
    <row r="3008" spans="8:8" x14ac:dyDescent="0.25">
      <c r="H3008" s="4" t="str">
        <f t="array" aca="1" ref="H3008" ca="1">SUBSTITUTE(SUBSTITUTE(_xlfn.TEXTJOIN("",TRUE,IF(ISERR(MID(C3008,ROW(INDIRECT("1:100")),1)+0),MID(C3008,ROW(INDIRECT("1:100")),1),"")),")",""),"(","")</f>
        <v/>
      </c>
    </row>
    <row r="3009" spans="8:8" x14ac:dyDescent="0.25">
      <c r="H3009" s="4" t="str">
        <f t="array" aca="1" ref="H3009" ca="1">SUBSTITUTE(SUBSTITUTE(_xlfn.TEXTJOIN("",TRUE,IF(ISERR(MID(C3009,ROW(INDIRECT("1:100")),1)+0),MID(C3009,ROW(INDIRECT("1:100")),1),"")),")",""),"(","")</f>
        <v/>
      </c>
    </row>
    <row r="3010" spans="8:8" x14ac:dyDescent="0.25">
      <c r="H3010" s="4" t="str">
        <f t="array" aca="1" ref="H3010" ca="1">SUBSTITUTE(SUBSTITUTE(_xlfn.TEXTJOIN("",TRUE,IF(ISERR(MID(C3010,ROW(INDIRECT("1:100")),1)+0),MID(C3010,ROW(INDIRECT("1:100")),1),"")),")",""),"(","")</f>
        <v/>
      </c>
    </row>
    <row r="3011" spans="8:8" x14ac:dyDescent="0.25">
      <c r="H3011" s="4" t="str">
        <f t="array" aca="1" ref="H3011" ca="1">SUBSTITUTE(SUBSTITUTE(_xlfn.TEXTJOIN("",TRUE,IF(ISERR(MID(C3011,ROW(INDIRECT("1:100")),1)+0),MID(C3011,ROW(INDIRECT("1:100")),1),"")),")",""),"(","")</f>
        <v/>
      </c>
    </row>
    <row r="3012" spans="8:8" x14ac:dyDescent="0.25">
      <c r="H3012" s="4" t="str">
        <f t="array" aca="1" ref="H3012" ca="1">SUBSTITUTE(SUBSTITUTE(_xlfn.TEXTJOIN("",TRUE,IF(ISERR(MID(C3012,ROW(INDIRECT("1:100")),1)+0),MID(C3012,ROW(INDIRECT("1:100")),1),"")),")",""),"(","")</f>
        <v/>
      </c>
    </row>
    <row r="3013" spans="8:8" x14ac:dyDescent="0.25">
      <c r="H3013" s="4" t="str">
        <f t="array" aca="1" ref="H3013" ca="1">SUBSTITUTE(SUBSTITUTE(_xlfn.TEXTJOIN("",TRUE,IF(ISERR(MID(C3013,ROW(INDIRECT("1:100")),1)+0),MID(C3013,ROW(INDIRECT("1:100")),1),"")),")",""),"(","")</f>
        <v/>
      </c>
    </row>
    <row r="3014" spans="8:8" x14ac:dyDescent="0.25">
      <c r="H3014" s="4" t="str">
        <f t="array" aca="1" ref="H3014" ca="1">SUBSTITUTE(SUBSTITUTE(_xlfn.TEXTJOIN("",TRUE,IF(ISERR(MID(C3014,ROW(INDIRECT("1:100")),1)+0),MID(C3014,ROW(INDIRECT("1:100")),1),"")),")",""),"(","")</f>
        <v/>
      </c>
    </row>
    <row r="3015" spans="8:8" x14ac:dyDescent="0.25">
      <c r="H3015" s="4" t="str">
        <f t="array" aca="1" ref="H3015" ca="1">SUBSTITUTE(SUBSTITUTE(_xlfn.TEXTJOIN("",TRUE,IF(ISERR(MID(C3015,ROW(INDIRECT("1:100")),1)+0),MID(C3015,ROW(INDIRECT("1:100")),1),"")),")",""),"(","")</f>
        <v/>
      </c>
    </row>
    <row r="3016" spans="8:8" x14ac:dyDescent="0.25">
      <c r="H3016" s="4" t="str">
        <f t="array" aca="1" ref="H3016" ca="1">SUBSTITUTE(SUBSTITUTE(_xlfn.TEXTJOIN("",TRUE,IF(ISERR(MID(C3016,ROW(INDIRECT("1:100")),1)+0),MID(C3016,ROW(INDIRECT("1:100")),1),"")),")",""),"(","")</f>
        <v/>
      </c>
    </row>
    <row r="3017" spans="8:8" x14ac:dyDescent="0.25">
      <c r="H3017" s="4" t="str">
        <f t="array" aca="1" ref="H3017" ca="1">SUBSTITUTE(SUBSTITUTE(_xlfn.TEXTJOIN("",TRUE,IF(ISERR(MID(C3017,ROW(INDIRECT("1:100")),1)+0),MID(C3017,ROW(INDIRECT("1:100")),1),"")),")",""),"(","")</f>
        <v/>
      </c>
    </row>
    <row r="3018" spans="8:8" x14ac:dyDescent="0.25">
      <c r="H3018" s="4" t="str">
        <f t="array" aca="1" ref="H3018" ca="1">SUBSTITUTE(SUBSTITUTE(_xlfn.TEXTJOIN("",TRUE,IF(ISERR(MID(C3018,ROW(INDIRECT("1:100")),1)+0),MID(C3018,ROW(INDIRECT("1:100")),1),"")),")",""),"(","")</f>
        <v/>
      </c>
    </row>
    <row r="3019" spans="8:8" x14ac:dyDescent="0.25">
      <c r="H3019" s="4" t="str">
        <f t="array" aca="1" ref="H3019" ca="1">SUBSTITUTE(SUBSTITUTE(_xlfn.TEXTJOIN("",TRUE,IF(ISERR(MID(C3019,ROW(INDIRECT("1:100")),1)+0),MID(C3019,ROW(INDIRECT("1:100")),1),"")),")",""),"(","")</f>
        <v/>
      </c>
    </row>
    <row r="3020" spans="8:8" x14ac:dyDescent="0.25">
      <c r="H3020" s="4" t="str">
        <f t="array" aca="1" ref="H3020" ca="1">SUBSTITUTE(SUBSTITUTE(_xlfn.TEXTJOIN("",TRUE,IF(ISERR(MID(C3020,ROW(INDIRECT("1:100")),1)+0),MID(C3020,ROW(INDIRECT("1:100")),1),"")),")",""),"(","")</f>
        <v/>
      </c>
    </row>
    <row r="3021" spans="8:8" x14ac:dyDescent="0.25">
      <c r="H3021" s="4" t="str">
        <f t="array" aca="1" ref="H3021" ca="1">SUBSTITUTE(SUBSTITUTE(_xlfn.TEXTJOIN("",TRUE,IF(ISERR(MID(C3021,ROW(INDIRECT("1:100")),1)+0),MID(C3021,ROW(INDIRECT("1:100")),1),"")),")",""),"(","")</f>
        <v/>
      </c>
    </row>
    <row r="3022" spans="8:8" x14ac:dyDescent="0.25">
      <c r="H3022" s="4" t="str">
        <f t="array" aca="1" ref="H3022" ca="1">SUBSTITUTE(SUBSTITUTE(_xlfn.TEXTJOIN("",TRUE,IF(ISERR(MID(C3022,ROW(INDIRECT("1:100")),1)+0),MID(C3022,ROW(INDIRECT("1:100")),1),"")),")",""),"(","")</f>
        <v/>
      </c>
    </row>
    <row r="3023" spans="8:8" x14ac:dyDescent="0.25">
      <c r="H3023" s="4" t="str">
        <f t="array" aca="1" ref="H3023" ca="1">SUBSTITUTE(SUBSTITUTE(_xlfn.TEXTJOIN("",TRUE,IF(ISERR(MID(C3023,ROW(INDIRECT("1:100")),1)+0),MID(C3023,ROW(INDIRECT("1:100")),1),"")),")",""),"(","")</f>
        <v/>
      </c>
    </row>
    <row r="3024" spans="8:8" x14ac:dyDescent="0.25">
      <c r="H3024" s="4" t="str">
        <f t="array" aca="1" ref="H3024" ca="1">SUBSTITUTE(SUBSTITUTE(_xlfn.TEXTJOIN("",TRUE,IF(ISERR(MID(C3024,ROW(INDIRECT("1:100")),1)+0),MID(C3024,ROW(INDIRECT("1:100")),1),"")),")",""),"(","")</f>
        <v/>
      </c>
    </row>
    <row r="3025" spans="8:8" x14ac:dyDescent="0.25">
      <c r="H3025" s="4" t="str">
        <f t="array" aca="1" ref="H3025" ca="1">SUBSTITUTE(SUBSTITUTE(_xlfn.TEXTJOIN("",TRUE,IF(ISERR(MID(C3025,ROW(INDIRECT("1:100")),1)+0),MID(C3025,ROW(INDIRECT("1:100")),1),"")),")",""),"(","")</f>
        <v/>
      </c>
    </row>
    <row r="3026" spans="8:8" x14ac:dyDescent="0.25">
      <c r="H3026" s="4" t="str">
        <f t="array" aca="1" ref="H3026" ca="1">SUBSTITUTE(SUBSTITUTE(_xlfn.TEXTJOIN("",TRUE,IF(ISERR(MID(C3026,ROW(INDIRECT("1:100")),1)+0),MID(C3026,ROW(INDIRECT("1:100")),1),"")),")",""),"(","")</f>
        <v/>
      </c>
    </row>
    <row r="3027" spans="8:8" x14ac:dyDescent="0.25">
      <c r="H3027" s="4" t="str">
        <f t="array" aca="1" ref="H3027" ca="1">SUBSTITUTE(SUBSTITUTE(_xlfn.TEXTJOIN("",TRUE,IF(ISERR(MID(C3027,ROW(INDIRECT("1:100")),1)+0),MID(C3027,ROW(INDIRECT("1:100")),1),"")),")",""),"(","")</f>
        <v/>
      </c>
    </row>
    <row r="3028" spans="8:8" x14ac:dyDescent="0.25">
      <c r="H3028" s="4" t="str">
        <f t="array" aca="1" ref="H3028" ca="1">SUBSTITUTE(SUBSTITUTE(_xlfn.TEXTJOIN("",TRUE,IF(ISERR(MID(C3028,ROW(INDIRECT("1:100")),1)+0),MID(C3028,ROW(INDIRECT("1:100")),1),"")),")",""),"(","")</f>
        <v/>
      </c>
    </row>
    <row r="3029" spans="8:8" x14ac:dyDescent="0.25">
      <c r="H3029" s="4" t="str">
        <f t="array" aca="1" ref="H3029" ca="1">SUBSTITUTE(SUBSTITUTE(_xlfn.TEXTJOIN("",TRUE,IF(ISERR(MID(C3029,ROW(INDIRECT("1:100")),1)+0),MID(C3029,ROW(INDIRECT("1:100")),1),"")),")",""),"(","")</f>
        <v/>
      </c>
    </row>
    <row r="3030" spans="8:8" x14ac:dyDescent="0.25">
      <c r="H3030" s="4" t="str">
        <f t="array" aca="1" ref="H3030" ca="1">SUBSTITUTE(SUBSTITUTE(_xlfn.TEXTJOIN("",TRUE,IF(ISERR(MID(C3030,ROW(INDIRECT("1:100")),1)+0),MID(C3030,ROW(INDIRECT("1:100")),1),"")),")",""),"(","")</f>
        <v/>
      </c>
    </row>
    <row r="3031" spans="8:8" x14ac:dyDescent="0.25">
      <c r="H3031" s="4" t="str">
        <f t="array" aca="1" ref="H3031" ca="1">SUBSTITUTE(SUBSTITUTE(_xlfn.TEXTJOIN("",TRUE,IF(ISERR(MID(C3031,ROW(INDIRECT("1:100")),1)+0),MID(C3031,ROW(INDIRECT("1:100")),1),"")),")",""),"(","")</f>
        <v/>
      </c>
    </row>
    <row r="3032" spans="8:8" x14ac:dyDescent="0.25">
      <c r="H3032" s="4" t="str">
        <f t="array" aca="1" ref="H3032" ca="1">SUBSTITUTE(SUBSTITUTE(_xlfn.TEXTJOIN("",TRUE,IF(ISERR(MID(C3032,ROW(INDIRECT("1:100")),1)+0),MID(C3032,ROW(INDIRECT("1:100")),1),"")),")",""),"(","")</f>
        <v/>
      </c>
    </row>
    <row r="3033" spans="8:8" x14ac:dyDescent="0.25">
      <c r="H3033" s="4" t="str">
        <f t="array" aca="1" ref="H3033" ca="1">SUBSTITUTE(SUBSTITUTE(_xlfn.TEXTJOIN("",TRUE,IF(ISERR(MID(C3033,ROW(INDIRECT("1:100")),1)+0),MID(C3033,ROW(INDIRECT("1:100")),1),"")),")",""),"(","")</f>
        <v/>
      </c>
    </row>
    <row r="3034" spans="8:8" x14ac:dyDescent="0.25">
      <c r="H3034" s="4" t="str">
        <f t="array" aca="1" ref="H3034" ca="1">SUBSTITUTE(SUBSTITUTE(_xlfn.TEXTJOIN("",TRUE,IF(ISERR(MID(C3034,ROW(INDIRECT("1:100")),1)+0),MID(C3034,ROW(INDIRECT("1:100")),1),"")),")",""),"(","")</f>
        <v/>
      </c>
    </row>
    <row r="3035" spans="8:8" x14ac:dyDescent="0.25">
      <c r="H3035" s="4" t="str">
        <f t="array" aca="1" ref="H3035" ca="1">SUBSTITUTE(SUBSTITUTE(_xlfn.TEXTJOIN("",TRUE,IF(ISERR(MID(C3035,ROW(INDIRECT("1:100")),1)+0),MID(C3035,ROW(INDIRECT("1:100")),1),"")),")",""),"(","")</f>
        <v/>
      </c>
    </row>
    <row r="3036" spans="8:8" x14ac:dyDescent="0.25">
      <c r="H3036" s="4" t="str">
        <f t="array" aca="1" ref="H3036" ca="1">SUBSTITUTE(SUBSTITUTE(_xlfn.TEXTJOIN("",TRUE,IF(ISERR(MID(C3036,ROW(INDIRECT("1:100")),1)+0),MID(C3036,ROW(INDIRECT("1:100")),1),"")),")",""),"(","")</f>
        <v/>
      </c>
    </row>
    <row r="3037" spans="8:8" x14ac:dyDescent="0.25">
      <c r="H3037" s="4" t="str">
        <f t="array" aca="1" ref="H3037" ca="1">SUBSTITUTE(SUBSTITUTE(_xlfn.TEXTJOIN("",TRUE,IF(ISERR(MID(C3037,ROW(INDIRECT("1:100")),1)+0),MID(C3037,ROW(INDIRECT("1:100")),1),"")),")",""),"(","")</f>
        <v/>
      </c>
    </row>
    <row r="3038" spans="8:8" x14ac:dyDescent="0.25">
      <c r="H3038" s="4" t="str">
        <f t="array" aca="1" ref="H3038" ca="1">SUBSTITUTE(SUBSTITUTE(_xlfn.TEXTJOIN("",TRUE,IF(ISERR(MID(C3038,ROW(INDIRECT("1:100")),1)+0),MID(C3038,ROW(INDIRECT("1:100")),1),"")),")",""),"(","")</f>
        <v/>
      </c>
    </row>
    <row r="3039" spans="8:8" x14ac:dyDescent="0.25">
      <c r="H3039" s="4" t="str">
        <f t="array" aca="1" ref="H3039" ca="1">SUBSTITUTE(SUBSTITUTE(_xlfn.TEXTJOIN("",TRUE,IF(ISERR(MID(C3039,ROW(INDIRECT("1:100")),1)+0),MID(C3039,ROW(INDIRECT("1:100")),1),"")),")",""),"(","")</f>
        <v/>
      </c>
    </row>
    <row r="3040" spans="8:8" x14ac:dyDescent="0.25">
      <c r="H3040" s="4" t="str">
        <f t="array" aca="1" ref="H3040" ca="1">SUBSTITUTE(SUBSTITUTE(_xlfn.TEXTJOIN("",TRUE,IF(ISERR(MID(C3040,ROW(INDIRECT("1:100")),1)+0),MID(C3040,ROW(INDIRECT("1:100")),1),"")),")",""),"(","")</f>
        <v/>
      </c>
    </row>
    <row r="3041" spans="8:8" x14ac:dyDescent="0.25">
      <c r="H3041" s="4" t="str">
        <f t="array" aca="1" ref="H3041" ca="1">SUBSTITUTE(SUBSTITUTE(_xlfn.TEXTJOIN("",TRUE,IF(ISERR(MID(C3041,ROW(INDIRECT("1:100")),1)+0),MID(C3041,ROW(INDIRECT("1:100")),1),"")),")",""),"(","")</f>
        <v/>
      </c>
    </row>
    <row r="3042" spans="8:8" x14ac:dyDescent="0.25">
      <c r="H3042" s="4" t="str">
        <f t="array" aca="1" ref="H3042" ca="1">SUBSTITUTE(SUBSTITUTE(_xlfn.TEXTJOIN("",TRUE,IF(ISERR(MID(C3042,ROW(INDIRECT("1:100")),1)+0),MID(C3042,ROW(INDIRECT("1:100")),1),"")),")",""),"(","")</f>
        <v/>
      </c>
    </row>
    <row r="3043" spans="8:8" x14ac:dyDescent="0.25">
      <c r="H3043" s="4" t="str">
        <f t="array" aca="1" ref="H3043" ca="1">SUBSTITUTE(SUBSTITUTE(_xlfn.TEXTJOIN("",TRUE,IF(ISERR(MID(C3043,ROW(INDIRECT("1:100")),1)+0),MID(C3043,ROW(INDIRECT("1:100")),1),"")),")",""),"(","")</f>
        <v/>
      </c>
    </row>
    <row r="3044" spans="8:8" x14ac:dyDescent="0.25">
      <c r="H3044" s="4" t="str">
        <f t="array" aca="1" ref="H3044" ca="1">SUBSTITUTE(SUBSTITUTE(_xlfn.TEXTJOIN("",TRUE,IF(ISERR(MID(C3044,ROW(INDIRECT("1:100")),1)+0),MID(C3044,ROW(INDIRECT("1:100")),1),"")),")",""),"(","")</f>
        <v/>
      </c>
    </row>
    <row r="3045" spans="8:8" x14ac:dyDescent="0.25">
      <c r="H3045" s="4" t="str">
        <f t="array" aca="1" ref="H3045" ca="1">SUBSTITUTE(SUBSTITUTE(_xlfn.TEXTJOIN("",TRUE,IF(ISERR(MID(C3045,ROW(INDIRECT("1:100")),1)+0),MID(C3045,ROW(INDIRECT("1:100")),1),"")),")",""),"(","")</f>
        <v/>
      </c>
    </row>
    <row r="3046" spans="8:8" x14ac:dyDescent="0.25">
      <c r="H3046" s="4" t="str">
        <f t="array" aca="1" ref="H3046" ca="1">SUBSTITUTE(SUBSTITUTE(_xlfn.TEXTJOIN("",TRUE,IF(ISERR(MID(C3046,ROW(INDIRECT("1:100")),1)+0),MID(C3046,ROW(INDIRECT("1:100")),1),"")),")",""),"(","")</f>
        <v/>
      </c>
    </row>
    <row r="3047" spans="8:8" x14ac:dyDescent="0.25">
      <c r="H3047" s="4" t="str">
        <f t="array" aca="1" ref="H3047" ca="1">SUBSTITUTE(SUBSTITUTE(_xlfn.TEXTJOIN("",TRUE,IF(ISERR(MID(C3047,ROW(INDIRECT("1:100")),1)+0),MID(C3047,ROW(INDIRECT("1:100")),1),"")),")",""),"(","")</f>
        <v/>
      </c>
    </row>
    <row r="3048" spans="8:8" x14ac:dyDescent="0.25">
      <c r="H3048" s="4" t="str">
        <f t="array" aca="1" ref="H3048" ca="1">SUBSTITUTE(SUBSTITUTE(_xlfn.TEXTJOIN("",TRUE,IF(ISERR(MID(C3048,ROW(INDIRECT("1:100")),1)+0),MID(C3048,ROW(INDIRECT("1:100")),1),"")),")",""),"(","")</f>
        <v/>
      </c>
    </row>
    <row r="3049" spans="8:8" x14ac:dyDescent="0.25">
      <c r="H3049" s="4" t="str">
        <f t="array" aca="1" ref="H3049" ca="1">SUBSTITUTE(SUBSTITUTE(_xlfn.TEXTJOIN("",TRUE,IF(ISERR(MID(C3049,ROW(INDIRECT("1:100")),1)+0),MID(C3049,ROW(INDIRECT("1:100")),1),"")),")",""),"(","")</f>
        <v/>
      </c>
    </row>
    <row r="3050" spans="8:8" x14ac:dyDescent="0.25">
      <c r="H3050" s="4" t="str">
        <f t="array" aca="1" ref="H3050" ca="1">SUBSTITUTE(SUBSTITUTE(_xlfn.TEXTJOIN("",TRUE,IF(ISERR(MID(C3050,ROW(INDIRECT("1:100")),1)+0),MID(C3050,ROW(INDIRECT("1:100")),1),"")),")",""),"(","")</f>
        <v/>
      </c>
    </row>
    <row r="3051" spans="8:8" x14ac:dyDescent="0.25">
      <c r="H3051" s="4" t="str">
        <f t="array" aca="1" ref="H3051" ca="1">SUBSTITUTE(SUBSTITUTE(_xlfn.TEXTJOIN("",TRUE,IF(ISERR(MID(C3051,ROW(INDIRECT("1:100")),1)+0),MID(C3051,ROW(INDIRECT("1:100")),1),"")),")",""),"(","")</f>
        <v/>
      </c>
    </row>
    <row r="3052" spans="8:8" x14ac:dyDescent="0.25">
      <c r="H3052" s="4" t="str">
        <f t="array" aca="1" ref="H3052" ca="1">SUBSTITUTE(SUBSTITUTE(_xlfn.TEXTJOIN("",TRUE,IF(ISERR(MID(C3052,ROW(INDIRECT("1:100")),1)+0),MID(C3052,ROW(INDIRECT("1:100")),1),"")),")",""),"(","")</f>
        <v/>
      </c>
    </row>
    <row r="3053" spans="8:8" x14ac:dyDescent="0.25">
      <c r="H3053" s="4" t="str">
        <f t="array" aca="1" ref="H3053" ca="1">SUBSTITUTE(SUBSTITUTE(_xlfn.TEXTJOIN("",TRUE,IF(ISERR(MID(C3053,ROW(INDIRECT("1:100")),1)+0),MID(C3053,ROW(INDIRECT("1:100")),1),"")),")",""),"(","")</f>
        <v/>
      </c>
    </row>
    <row r="3054" spans="8:8" x14ac:dyDescent="0.25">
      <c r="H3054" s="4" t="str">
        <f t="array" aca="1" ref="H3054" ca="1">SUBSTITUTE(SUBSTITUTE(_xlfn.TEXTJOIN("",TRUE,IF(ISERR(MID(C3054,ROW(INDIRECT("1:100")),1)+0),MID(C3054,ROW(INDIRECT("1:100")),1),"")),")",""),"(","")</f>
        <v/>
      </c>
    </row>
    <row r="3055" spans="8:8" x14ac:dyDescent="0.25">
      <c r="H3055" s="4" t="str">
        <f t="array" aca="1" ref="H3055" ca="1">SUBSTITUTE(SUBSTITUTE(_xlfn.TEXTJOIN("",TRUE,IF(ISERR(MID(C3055,ROW(INDIRECT("1:100")),1)+0),MID(C3055,ROW(INDIRECT("1:100")),1),"")),")",""),"(","")</f>
        <v/>
      </c>
    </row>
    <row r="3056" spans="8:8" x14ac:dyDescent="0.25">
      <c r="H3056" s="4" t="str">
        <f t="array" aca="1" ref="H3056" ca="1">SUBSTITUTE(SUBSTITUTE(_xlfn.TEXTJOIN("",TRUE,IF(ISERR(MID(C3056,ROW(INDIRECT("1:100")),1)+0),MID(C3056,ROW(INDIRECT("1:100")),1),"")),")",""),"(","")</f>
        <v/>
      </c>
    </row>
    <row r="3057" spans="8:8" x14ac:dyDescent="0.25">
      <c r="H3057" s="4" t="str">
        <f t="array" aca="1" ref="H3057" ca="1">SUBSTITUTE(SUBSTITUTE(_xlfn.TEXTJOIN("",TRUE,IF(ISERR(MID(C3057,ROW(INDIRECT("1:100")),1)+0),MID(C3057,ROW(INDIRECT("1:100")),1),"")),")",""),"(","")</f>
        <v/>
      </c>
    </row>
    <row r="3058" spans="8:8" x14ac:dyDescent="0.25">
      <c r="H3058" s="4" t="str">
        <f t="array" aca="1" ref="H3058" ca="1">SUBSTITUTE(SUBSTITUTE(_xlfn.TEXTJOIN("",TRUE,IF(ISERR(MID(C3058,ROW(INDIRECT("1:100")),1)+0),MID(C3058,ROW(INDIRECT("1:100")),1),"")),")",""),"(","")</f>
        <v/>
      </c>
    </row>
    <row r="3059" spans="8:8" x14ac:dyDescent="0.25">
      <c r="H3059" s="4" t="str">
        <f t="array" aca="1" ref="H3059" ca="1">SUBSTITUTE(SUBSTITUTE(_xlfn.TEXTJOIN("",TRUE,IF(ISERR(MID(C3059,ROW(INDIRECT("1:100")),1)+0),MID(C3059,ROW(INDIRECT("1:100")),1),"")),")",""),"(","")</f>
        <v/>
      </c>
    </row>
    <row r="3060" spans="8:8" x14ac:dyDescent="0.25">
      <c r="H3060" s="4" t="str">
        <f t="array" aca="1" ref="H3060" ca="1">SUBSTITUTE(SUBSTITUTE(_xlfn.TEXTJOIN("",TRUE,IF(ISERR(MID(C3060,ROW(INDIRECT("1:100")),1)+0),MID(C3060,ROW(INDIRECT("1:100")),1),"")),")",""),"(","")</f>
        <v/>
      </c>
    </row>
    <row r="3061" spans="8:8" x14ac:dyDescent="0.25">
      <c r="H3061" s="4" t="str">
        <f t="array" aca="1" ref="H3061" ca="1">SUBSTITUTE(SUBSTITUTE(_xlfn.TEXTJOIN("",TRUE,IF(ISERR(MID(C3061,ROW(INDIRECT("1:100")),1)+0),MID(C3061,ROW(INDIRECT("1:100")),1),"")),")",""),"(","")</f>
        <v/>
      </c>
    </row>
    <row r="3062" spans="8:8" x14ac:dyDescent="0.25">
      <c r="H3062" s="4" t="str">
        <f t="array" aca="1" ref="H3062" ca="1">SUBSTITUTE(SUBSTITUTE(_xlfn.TEXTJOIN("",TRUE,IF(ISERR(MID(C3062,ROW(INDIRECT("1:100")),1)+0),MID(C3062,ROW(INDIRECT("1:100")),1),"")),")",""),"(","")</f>
        <v/>
      </c>
    </row>
    <row r="3063" spans="8:8" x14ac:dyDescent="0.25">
      <c r="H3063" s="4" t="str">
        <f t="array" aca="1" ref="H3063" ca="1">SUBSTITUTE(SUBSTITUTE(_xlfn.TEXTJOIN("",TRUE,IF(ISERR(MID(C3063,ROW(INDIRECT("1:100")),1)+0),MID(C3063,ROW(INDIRECT("1:100")),1),"")),")",""),"(","")</f>
        <v/>
      </c>
    </row>
    <row r="3064" spans="8:8" x14ac:dyDescent="0.25">
      <c r="H3064" s="4" t="str">
        <f t="array" aca="1" ref="H3064" ca="1">SUBSTITUTE(SUBSTITUTE(_xlfn.TEXTJOIN("",TRUE,IF(ISERR(MID(C3064,ROW(INDIRECT("1:100")),1)+0),MID(C3064,ROW(INDIRECT("1:100")),1),"")),")",""),"(","")</f>
        <v/>
      </c>
    </row>
    <row r="3065" spans="8:8" x14ac:dyDescent="0.25">
      <c r="H3065" s="4" t="str">
        <f t="array" aca="1" ref="H3065" ca="1">SUBSTITUTE(SUBSTITUTE(_xlfn.TEXTJOIN("",TRUE,IF(ISERR(MID(C3065,ROW(INDIRECT("1:100")),1)+0),MID(C3065,ROW(INDIRECT("1:100")),1),"")),")",""),"(","")</f>
        <v/>
      </c>
    </row>
    <row r="3066" spans="8:8" x14ac:dyDescent="0.25">
      <c r="H3066" s="4" t="str">
        <f t="array" aca="1" ref="H3066" ca="1">SUBSTITUTE(SUBSTITUTE(_xlfn.TEXTJOIN("",TRUE,IF(ISERR(MID(C3066,ROW(INDIRECT("1:100")),1)+0),MID(C3066,ROW(INDIRECT("1:100")),1),"")),")",""),"(","")</f>
        <v/>
      </c>
    </row>
    <row r="3067" spans="8:8" x14ac:dyDescent="0.25">
      <c r="H3067" s="4" t="str">
        <f t="array" aca="1" ref="H3067" ca="1">SUBSTITUTE(SUBSTITUTE(_xlfn.TEXTJOIN("",TRUE,IF(ISERR(MID(C3067,ROW(INDIRECT("1:100")),1)+0),MID(C3067,ROW(INDIRECT("1:100")),1),"")),")",""),"(","")</f>
        <v/>
      </c>
    </row>
    <row r="3068" spans="8:8" x14ac:dyDescent="0.25">
      <c r="H3068" s="4" t="str">
        <f t="array" aca="1" ref="H3068" ca="1">SUBSTITUTE(SUBSTITUTE(_xlfn.TEXTJOIN("",TRUE,IF(ISERR(MID(C3068,ROW(INDIRECT("1:100")),1)+0),MID(C3068,ROW(INDIRECT("1:100")),1),"")),")",""),"(","")</f>
        <v/>
      </c>
    </row>
    <row r="3069" spans="8:8" x14ac:dyDescent="0.25">
      <c r="H3069" s="4" t="str">
        <f t="array" aca="1" ref="H3069" ca="1">SUBSTITUTE(SUBSTITUTE(_xlfn.TEXTJOIN("",TRUE,IF(ISERR(MID(C3069,ROW(INDIRECT("1:100")),1)+0),MID(C3069,ROW(INDIRECT("1:100")),1),"")),")",""),"(","")</f>
        <v/>
      </c>
    </row>
    <row r="3070" spans="8:8" x14ac:dyDescent="0.25">
      <c r="H3070" s="4" t="str">
        <f t="array" aca="1" ref="H3070" ca="1">SUBSTITUTE(SUBSTITUTE(_xlfn.TEXTJOIN("",TRUE,IF(ISERR(MID(C3070,ROW(INDIRECT("1:100")),1)+0),MID(C3070,ROW(INDIRECT("1:100")),1),"")),")",""),"(","")</f>
        <v/>
      </c>
    </row>
    <row r="3071" spans="8:8" x14ac:dyDescent="0.25">
      <c r="H3071" s="4" t="str">
        <f t="array" aca="1" ref="H3071" ca="1">SUBSTITUTE(SUBSTITUTE(_xlfn.TEXTJOIN("",TRUE,IF(ISERR(MID(C3071,ROW(INDIRECT("1:100")),1)+0),MID(C3071,ROW(INDIRECT("1:100")),1),"")),")",""),"(","")</f>
        <v/>
      </c>
    </row>
    <row r="3072" spans="8:8" x14ac:dyDescent="0.25">
      <c r="H3072" s="4" t="str">
        <f t="array" aca="1" ref="H3072" ca="1">SUBSTITUTE(SUBSTITUTE(_xlfn.TEXTJOIN("",TRUE,IF(ISERR(MID(C3072,ROW(INDIRECT("1:100")),1)+0),MID(C3072,ROW(INDIRECT("1:100")),1),"")),")",""),"(","")</f>
        <v/>
      </c>
    </row>
    <row r="3073" spans="8:8" x14ac:dyDescent="0.25">
      <c r="H3073" s="4" t="str">
        <f t="array" aca="1" ref="H3073" ca="1">SUBSTITUTE(SUBSTITUTE(_xlfn.TEXTJOIN("",TRUE,IF(ISERR(MID(C3073,ROW(INDIRECT("1:100")),1)+0),MID(C3073,ROW(INDIRECT("1:100")),1),"")),")",""),"(","")</f>
        <v/>
      </c>
    </row>
    <row r="3074" spans="8:8" x14ac:dyDescent="0.25">
      <c r="H3074" s="4" t="str">
        <f t="array" aca="1" ref="H3074" ca="1">SUBSTITUTE(SUBSTITUTE(_xlfn.TEXTJOIN("",TRUE,IF(ISERR(MID(C3074,ROW(INDIRECT("1:100")),1)+0),MID(C3074,ROW(INDIRECT("1:100")),1),"")),")",""),"(","")</f>
        <v/>
      </c>
    </row>
    <row r="3075" spans="8:8" x14ac:dyDescent="0.25">
      <c r="H3075" s="4" t="str">
        <f t="array" aca="1" ref="H3075" ca="1">SUBSTITUTE(SUBSTITUTE(_xlfn.TEXTJOIN("",TRUE,IF(ISERR(MID(C3075,ROW(INDIRECT("1:100")),1)+0),MID(C3075,ROW(INDIRECT("1:100")),1),"")),")",""),"(","")</f>
        <v/>
      </c>
    </row>
    <row r="3076" spans="8:8" x14ac:dyDescent="0.25">
      <c r="H3076" s="4" t="str">
        <f t="array" aca="1" ref="H3076" ca="1">SUBSTITUTE(SUBSTITUTE(_xlfn.TEXTJOIN("",TRUE,IF(ISERR(MID(C3076,ROW(INDIRECT("1:100")),1)+0),MID(C3076,ROW(INDIRECT("1:100")),1),"")),")",""),"(","")</f>
        <v/>
      </c>
    </row>
    <row r="3077" spans="8:8" x14ac:dyDescent="0.25">
      <c r="H3077" s="4" t="str">
        <f t="array" aca="1" ref="H3077" ca="1">SUBSTITUTE(SUBSTITUTE(_xlfn.TEXTJOIN("",TRUE,IF(ISERR(MID(C3077,ROW(INDIRECT("1:100")),1)+0),MID(C3077,ROW(INDIRECT("1:100")),1),"")),")",""),"(","")</f>
        <v/>
      </c>
    </row>
    <row r="3078" spans="8:8" x14ac:dyDescent="0.25">
      <c r="H3078" s="4" t="str">
        <f t="array" aca="1" ref="H3078" ca="1">SUBSTITUTE(SUBSTITUTE(_xlfn.TEXTJOIN("",TRUE,IF(ISERR(MID(C3078,ROW(INDIRECT("1:100")),1)+0),MID(C3078,ROW(INDIRECT("1:100")),1),"")),")",""),"(","")</f>
        <v/>
      </c>
    </row>
    <row r="3079" spans="8:8" x14ac:dyDescent="0.25">
      <c r="H3079" s="4" t="str">
        <f t="array" aca="1" ref="H3079" ca="1">SUBSTITUTE(SUBSTITUTE(_xlfn.TEXTJOIN("",TRUE,IF(ISERR(MID(C3079,ROW(INDIRECT("1:100")),1)+0),MID(C3079,ROW(INDIRECT("1:100")),1),"")),")",""),"(","")</f>
        <v/>
      </c>
    </row>
    <row r="3080" spans="8:8" x14ac:dyDescent="0.25">
      <c r="H3080" s="4" t="str">
        <f t="array" aca="1" ref="H3080" ca="1">SUBSTITUTE(SUBSTITUTE(_xlfn.TEXTJOIN("",TRUE,IF(ISERR(MID(C3080,ROW(INDIRECT("1:100")),1)+0),MID(C3080,ROW(INDIRECT("1:100")),1),"")),")",""),"(","")</f>
        <v/>
      </c>
    </row>
    <row r="3081" spans="8:8" x14ac:dyDescent="0.25">
      <c r="H3081" s="4" t="str">
        <f t="array" aca="1" ref="H3081" ca="1">SUBSTITUTE(SUBSTITUTE(_xlfn.TEXTJOIN("",TRUE,IF(ISERR(MID(C3081,ROW(INDIRECT("1:100")),1)+0),MID(C3081,ROW(INDIRECT("1:100")),1),"")),")",""),"(","")</f>
        <v/>
      </c>
    </row>
    <row r="3082" spans="8:8" x14ac:dyDescent="0.25">
      <c r="H3082" s="4" t="str">
        <f t="array" aca="1" ref="H3082" ca="1">SUBSTITUTE(SUBSTITUTE(_xlfn.TEXTJOIN("",TRUE,IF(ISERR(MID(C3082,ROW(INDIRECT("1:100")),1)+0),MID(C3082,ROW(INDIRECT("1:100")),1),"")),")",""),"(","")</f>
        <v/>
      </c>
    </row>
    <row r="3083" spans="8:8" x14ac:dyDescent="0.25">
      <c r="H3083" s="4" t="str">
        <f t="array" aca="1" ref="H3083" ca="1">SUBSTITUTE(SUBSTITUTE(_xlfn.TEXTJOIN("",TRUE,IF(ISERR(MID(C3083,ROW(INDIRECT("1:100")),1)+0),MID(C3083,ROW(INDIRECT("1:100")),1),"")),")",""),"(","")</f>
        <v/>
      </c>
    </row>
    <row r="3084" spans="8:8" x14ac:dyDescent="0.25">
      <c r="H3084" s="4" t="str">
        <f t="array" aca="1" ref="H3084" ca="1">SUBSTITUTE(SUBSTITUTE(_xlfn.TEXTJOIN("",TRUE,IF(ISERR(MID(C3084,ROW(INDIRECT("1:100")),1)+0),MID(C3084,ROW(INDIRECT("1:100")),1),"")),")",""),"(","")</f>
        <v/>
      </c>
    </row>
    <row r="3085" spans="8:8" x14ac:dyDescent="0.25">
      <c r="H3085" s="4" t="str">
        <f t="array" aca="1" ref="H3085" ca="1">SUBSTITUTE(SUBSTITUTE(_xlfn.TEXTJOIN("",TRUE,IF(ISERR(MID(C3085,ROW(INDIRECT("1:100")),1)+0),MID(C3085,ROW(INDIRECT("1:100")),1),"")),")",""),"(","")</f>
        <v/>
      </c>
    </row>
    <row r="3086" spans="8:8" x14ac:dyDescent="0.25">
      <c r="H3086" s="4" t="str">
        <f t="array" aca="1" ref="H3086" ca="1">SUBSTITUTE(SUBSTITUTE(_xlfn.TEXTJOIN("",TRUE,IF(ISERR(MID(C3086,ROW(INDIRECT("1:100")),1)+0),MID(C3086,ROW(INDIRECT("1:100")),1),"")),")",""),"(","")</f>
        <v/>
      </c>
    </row>
    <row r="3087" spans="8:8" x14ac:dyDescent="0.25">
      <c r="H3087" s="4" t="str">
        <f t="array" aca="1" ref="H3087" ca="1">SUBSTITUTE(SUBSTITUTE(_xlfn.TEXTJOIN("",TRUE,IF(ISERR(MID(C3087,ROW(INDIRECT("1:100")),1)+0),MID(C3087,ROW(INDIRECT("1:100")),1),"")),")",""),"(","")</f>
        <v/>
      </c>
    </row>
    <row r="3088" spans="8:8" x14ac:dyDescent="0.25">
      <c r="H3088" s="4" t="str">
        <f t="array" aca="1" ref="H3088" ca="1">SUBSTITUTE(SUBSTITUTE(_xlfn.TEXTJOIN("",TRUE,IF(ISERR(MID(C3088,ROW(INDIRECT("1:100")),1)+0),MID(C3088,ROW(INDIRECT("1:100")),1),"")),")",""),"(","")</f>
        <v/>
      </c>
    </row>
    <row r="3089" spans="8:8" x14ac:dyDescent="0.25">
      <c r="H3089" s="4" t="str">
        <f t="array" aca="1" ref="H3089" ca="1">SUBSTITUTE(SUBSTITUTE(_xlfn.TEXTJOIN("",TRUE,IF(ISERR(MID(C3089,ROW(INDIRECT("1:100")),1)+0),MID(C3089,ROW(INDIRECT("1:100")),1),"")),")",""),"(","")</f>
        <v/>
      </c>
    </row>
    <row r="3090" spans="8:8" x14ac:dyDescent="0.25">
      <c r="H3090" s="4" t="str">
        <f t="array" aca="1" ref="H3090" ca="1">SUBSTITUTE(SUBSTITUTE(_xlfn.TEXTJOIN("",TRUE,IF(ISERR(MID(C3090,ROW(INDIRECT("1:100")),1)+0),MID(C3090,ROW(INDIRECT("1:100")),1),"")),")",""),"(","")</f>
        <v/>
      </c>
    </row>
    <row r="3091" spans="8:8" x14ac:dyDescent="0.25">
      <c r="H3091" s="4" t="str">
        <f t="array" aca="1" ref="H3091" ca="1">SUBSTITUTE(SUBSTITUTE(_xlfn.TEXTJOIN("",TRUE,IF(ISERR(MID(C3091,ROW(INDIRECT("1:100")),1)+0),MID(C3091,ROW(INDIRECT("1:100")),1),"")),")",""),"(","")</f>
        <v/>
      </c>
    </row>
    <row r="3092" spans="8:8" x14ac:dyDescent="0.25">
      <c r="H3092" s="4" t="str">
        <f t="array" aca="1" ref="H3092" ca="1">SUBSTITUTE(SUBSTITUTE(_xlfn.TEXTJOIN("",TRUE,IF(ISERR(MID(C3092,ROW(INDIRECT("1:100")),1)+0),MID(C3092,ROW(INDIRECT("1:100")),1),"")),")",""),"(","")</f>
        <v/>
      </c>
    </row>
    <row r="3093" spans="8:8" x14ac:dyDescent="0.25">
      <c r="H3093" s="4" t="str">
        <f t="array" aca="1" ref="H3093" ca="1">SUBSTITUTE(SUBSTITUTE(_xlfn.TEXTJOIN("",TRUE,IF(ISERR(MID(C3093,ROW(INDIRECT("1:100")),1)+0),MID(C3093,ROW(INDIRECT("1:100")),1),"")),")",""),"(","")</f>
        <v/>
      </c>
    </row>
    <row r="3094" spans="8:8" x14ac:dyDescent="0.25">
      <c r="H3094" s="4" t="str">
        <f t="array" aca="1" ref="H3094" ca="1">SUBSTITUTE(SUBSTITUTE(_xlfn.TEXTJOIN("",TRUE,IF(ISERR(MID(C3094,ROW(INDIRECT("1:100")),1)+0),MID(C3094,ROW(INDIRECT("1:100")),1),"")),")",""),"(","")</f>
        <v/>
      </c>
    </row>
    <row r="3095" spans="8:8" x14ac:dyDescent="0.25">
      <c r="H3095" s="4" t="str">
        <f t="array" aca="1" ref="H3095" ca="1">SUBSTITUTE(SUBSTITUTE(_xlfn.TEXTJOIN("",TRUE,IF(ISERR(MID(C3095,ROW(INDIRECT("1:100")),1)+0),MID(C3095,ROW(INDIRECT("1:100")),1),"")),")",""),"(","")</f>
        <v/>
      </c>
    </row>
    <row r="3096" spans="8:8" x14ac:dyDescent="0.25">
      <c r="H3096" s="4" t="str">
        <f t="array" aca="1" ref="H3096" ca="1">SUBSTITUTE(SUBSTITUTE(_xlfn.TEXTJOIN("",TRUE,IF(ISERR(MID(C3096,ROW(INDIRECT("1:100")),1)+0),MID(C3096,ROW(INDIRECT("1:100")),1),"")),")",""),"(","")</f>
        <v/>
      </c>
    </row>
    <row r="3097" spans="8:8" x14ac:dyDescent="0.25">
      <c r="H3097" s="4" t="str">
        <f t="array" aca="1" ref="H3097" ca="1">SUBSTITUTE(SUBSTITUTE(_xlfn.TEXTJOIN("",TRUE,IF(ISERR(MID(C3097,ROW(INDIRECT("1:100")),1)+0),MID(C3097,ROW(INDIRECT("1:100")),1),"")),")",""),"(","")</f>
        <v/>
      </c>
    </row>
    <row r="3098" spans="8:8" x14ac:dyDescent="0.25">
      <c r="H3098" s="4" t="str">
        <f t="array" aca="1" ref="H3098" ca="1">SUBSTITUTE(SUBSTITUTE(_xlfn.TEXTJOIN("",TRUE,IF(ISERR(MID(C3098,ROW(INDIRECT("1:100")),1)+0),MID(C3098,ROW(INDIRECT("1:100")),1),"")),")",""),"(","")</f>
        <v/>
      </c>
    </row>
    <row r="3099" spans="8:8" x14ac:dyDescent="0.25">
      <c r="H3099" s="4" t="str">
        <f t="array" aca="1" ref="H3099" ca="1">SUBSTITUTE(SUBSTITUTE(_xlfn.TEXTJOIN("",TRUE,IF(ISERR(MID(C3099,ROW(INDIRECT("1:100")),1)+0),MID(C3099,ROW(INDIRECT("1:100")),1),"")),")",""),"(","")</f>
        <v/>
      </c>
    </row>
    <row r="3100" spans="8:8" x14ac:dyDescent="0.25">
      <c r="H3100" s="4" t="str">
        <f t="array" aca="1" ref="H3100" ca="1">SUBSTITUTE(SUBSTITUTE(_xlfn.TEXTJOIN("",TRUE,IF(ISERR(MID(C3100,ROW(INDIRECT("1:100")),1)+0),MID(C3100,ROW(INDIRECT("1:100")),1),"")),")",""),"(","")</f>
        <v/>
      </c>
    </row>
    <row r="3101" spans="8:8" x14ac:dyDescent="0.25">
      <c r="H3101" s="4" t="str">
        <f t="array" aca="1" ref="H3101" ca="1">SUBSTITUTE(SUBSTITUTE(_xlfn.TEXTJOIN("",TRUE,IF(ISERR(MID(C3101,ROW(INDIRECT("1:100")),1)+0),MID(C3101,ROW(INDIRECT("1:100")),1),"")),")",""),"(","")</f>
        <v/>
      </c>
    </row>
    <row r="3102" spans="8:8" x14ac:dyDescent="0.25">
      <c r="H3102" s="4" t="str">
        <f t="array" aca="1" ref="H3102" ca="1">SUBSTITUTE(SUBSTITUTE(_xlfn.TEXTJOIN("",TRUE,IF(ISERR(MID(C3102,ROW(INDIRECT("1:100")),1)+0),MID(C3102,ROW(INDIRECT("1:100")),1),"")),")",""),"(","")</f>
        <v/>
      </c>
    </row>
    <row r="3103" spans="8:8" x14ac:dyDescent="0.25">
      <c r="H3103" s="4" t="str">
        <f t="array" aca="1" ref="H3103" ca="1">SUBSTITUTE(SUBSTITUTE(_xlfn.TEXTJOIN("",TRUE,IF(ISERR(MID(C3103,ROW(INDIRECT("1:100")),1)+0),MID(C3103,ROW(INDIRECT("1:100")),1),"")),")",""),"(","")</f>
        <v/>
      </c>
    </row>
    <row r="3104" spans="8:8" x14ac:dyDescent="0.25">
      <c r="H3104" s="4" t="str">
        <f t="array" aca="1" ref="H3104" ca="1">SUBSTITUTE(SUBSTITUTE(_xlfn.TEXTJOIN("",TRUE,IF(ISERR(MID(C3104,ROW(INDIRECT("1:100")),1)+0),MID(C3104,ROW(INDIRECT("1:100")),1),"")),")",""),"(","")</f>
        <v/>
      </c>
    </row>
    <row r="3105" spans="8:8" x14ac:dyDescent="0.25">
      <c r="H3105" s="4" t="str">
        <f t="array" aca="1" ref="H3105" ca="1">SUBSTITUTE(SUBSTITUTE(_xlfn.TEXTJOIN("",TRUE,IF(ISERR(MID(C3105,ROW(INDIRECT("1:100")),1)+0),MID(C3105,ROW(INDIRECT("1:100")),1),"")),")",""),"(","")</f>
        <v/>
      </c>
    </row>
    <row r="3106" spans="8:8" x14ac:dyDescent="0.25">
      <c r="H3106" s="4" t="str">
        <f t="array" aca="1" ref="H3106" ca="1">SUBSTITUTE(SUBSTITUTE(_xlfn.TEXTJOIN("",TRUE,IF(ISERR(MID(C3106,ROW(INDIRECT("1:100")),1)+0),MID(C3106,ROW(INDIRECT("1:100")),1),"")),")",""),"(","")</f>
        <v/>
      </c>
    </row>
    <row r="3107" spans="8:8" x14ac:dyDescent="0.25">
      <c r="H3107" s="4" t="str">
        <f t="array" aca="1" ref="H3107" ca="1">SUBSTITUTE(SUBSTITUTE(_xlfn.TEXTJOIN("",TRUE,IF(ISERR(MID(C3107,ROW(INDIRECT("1:100")),1)+0),MID(C3107,ROW(INDIRECT("1:100")),1),"")),")",""),"(","")</f>
        <v/>
      </c>
    </row>
    <row r="3108" spans="8:8" x14ac:dyDescent="0.25">
      <c r="H3108" s="4" t="str">
        <f t="array" aca="1" ref="H3108" ca="1">SUBSTITUTE(SUBSTITUTE(_xlfn.TEXTJOIN("",TRUE,IF(ISERR(MID(C3108,ROW(INDIRECT("1:100")),1)+0),MID(C3108,ROW(INDIRECT("1:100")),1),"")),")",""),"(","")</f>
        <v/>
      </c>
    </row>
    <row r="3109" spans="8:8" x14ac:dyDescent="0.25">
      <c r="H3109" s="4" t="str">
        <f t="array" aca="1" ref="H3109" ca="1">SUBSTITUTE(SUBSTITUTE(_xlfn.TEXTJOIN("",TRUE,IF(ISERR(MID(C3109,ROW(INDIRECT("1:100")),1)+0),MID(C3109,ROW(INDIRECT("1:100")),1),"")),")",""),"(","")</f>
        <v/>
      </c>
    </row>
    <row r="3110" spans="8:8" x14ac:dyDescent="0.25">
      <c r="H3110" s="4" t="str">
        <f t="array" aca="1" ref="H3110" ca="1">SUBSTITUTE(SUBSTITUTE(_xlfn.TEXTJOIN("",TRUE,IF(ISERR(MID(C3110,ROW(INDIRECT("1:100")),1)+0),MID(C3110,ROW(INDIRECT("1:100")),1),"")),")",""),"(","")</f>
        <v/>
      </c>
    </row>
    <row r="3111" spans="8:8" x14ac:dyDescent="0.25">
      <c r="H3111" s="4" t="str">
        <f t="array" aca="1" ref="H3111" ca="1">SUBSTITUTE(SUBSTITUTE(_xlfn.TEXTJOIN("",TRUE,IF(ISERR(MID(C3111,ROW(INDIRECT("1:100")),1)+0),MID(C3111,ROW(INDIRECT("1:100")),1),"")),")",""),"(","")</f>
        <v/>
      </c>
    </row>
    <row r="3112" spans="8:8" x14ac:dyDescent="0.25">
      <c r="H3112" s="4" t="str">
        <f t="array" aca="1" ref="H3112" ca="1">SUBSTITUTE(SUBSTITUTE(_xlfn.TEXTJOIN("",TRUE,IF(ISERR(MID(C3112,ROW(INDIRECT("1:100")),1)+0),MID(C3112,ROW(INDIRECT("1:100")),1),"")),")",""),"(","")</f>
        <v/>
      </c>
    </row>
    <row r="3113" spans="8:8" x14ac:dyDescent="0.25">
      <c r="H3113" s="4" t="str">
        <f t="array" aca="1" ref="H3113" ca="1">SUBSTITUTE(SUBSTITUTE(_xlfn.TEXTJOIN("",TRUE,IF(ISERR(MID(C3113,ROW(INDIRECT("1:100")),1)+0),MID(C3113,ROW(INDIRECT("1:100")),1),"")),")",""),"(","")</f>
        <v/>
      </c>
    </row>
    <row r="3114" spans="8:8" x14ac:dyDescent="0.25">
      <c r="H3114" s="4" t="str">
        <f t="array" aca="1" ref="H3114" ca="1">SUBSTITUTE(SUBSTITUTE(_xlfn.TEXTJOIN("",TRUE,IF(ISERR(MID(C3114,ROW(INDIRECT("1:100")),1)+0),MID(C3114,ROW(INDIRECT("1:100")),1),"")),")",""),"(","")</f>
        <v/>
      </c>
    </row>
    <row r="3115" spans="8:8" x14ac:dyDescent="0.25">
      <c r="H3115" s="4" t="str">
        <f t="array" aca="1" ref="H3115" ca="1">SUBSTITUTE(SUBSTITUTE(_xlfn.TEXTJOIN("",TRUE,IF(ISERR(MID(C3115,ROW(INDIRECT("1:100")),1)+0),MID(C3115,ROW(INDIRECT("1:100")),1),"")),")",""),"(","")</f>
        <v/>
      </c>
    </row>
    <row r="3116" spans="8:8" x14ac:dyDescent="0.25">
      <c r="H3116" s="4" t="str">
        <f t="array" aca="1" ref="H3116" ca="1">SUBSTITUTE(SUBSTITUTE(_xlfn.TEXTJOIN("",TRUE,IF(ISERR(MID(C3116,ROW(INDIRECT("1:100")),1)+0),MID(C3116,ROW(INDIRECT("1:100")),1),"")),")",""),"(","")</f>
        <v/>
      </c>
    </row>
    <row r="3117" spans="8:8" x14ac:dyDescent="0.25">
      <c r="H3117" s="4" t="str">
        <f t="array" aca="1" ref="H3117" ca="1">SUBSTITUTE(SUBSTITUTE(_xlfn.TEXTJOIN("",TRUE,IF(ISERR(MID(C3117,ROW(INDIRECT("1:100")),1)+0),MID(C3117,ROW(INDIRECT("1:100")),1),"")),")",""),"(","")</f>
        <v/>
      </c>
    </row>
    <row r="3118" spans="8:8" x14ac:dyDescent="0.25">
      <c r="H3118" s="4" t="str">
        <f t="array" aca="1" ref="H3118" ca="1">SUBSTITUTE(SUBSTITUTE(_xlfn.TEXTJOIN("",TRUE,IF(ISERR(MID(C3118,ROW(INDIRECT("1:100")),1)+0),MID(C3118,ROW(INDIRECT("1:100")),1),"")),")",""),"(","")</f>
        <v/>
      </c>
    </row>
    <row r="3119" spans="8:8" x14ac:dyDescent="0.25">
      <c r="H3119" s="4" t="str">
        <f t="array" aca="1" ref="H3119" ca="1">SUBSTITUTE(SUBSTITUTE(_xlfn.TEXTJOIN("",TRUE,IF(ISERR(MID(C3119,ROW(INDIRECT("1:100")),1)+0),MID(C3119,ROW(INDIRECT("1:100")),1),"")),")",""),"(","")</f>
        <v/>
      </c>
    </row>
    <row r="3120" spans="8:8" x14ac:dyDescent="0.25">
      <c r="H3120" s="4" t="str">
        <f t="array" aca="1" ref="H3120" ca="1">SUBSTITUTE(SUBSTITUTE(_xlfn.TEXTJOIN("",TRUE,IF(ISERR(MID(C3120,ROW(INDIRECT("1:100")),1)+0),MID(C3120,ROW(INDIRECT("1:100")),1),"")),")",""),"(","")</f>
        <v/>
      </c>
    </row>
    <row r="3121" spans="8:8" x14ac:dyDescent="0.25">
      <c r="H3121" s="4" t="str">
        <f t="array" aca="1" ref="H3121" ca="1">SUBSTITUTE(SUBSTITUTE(_xlfn.TEXTJOIN("",TRUE,IF(ISERR(MID(C3121,ROW(INDIRECT("1:100")),1)+0),MID(C3121,ROW(INDIRECT("1:100")),1),"")),")",""),"(","")</f>
        <v/>
      </c>
    </row>
    <row r="3122" spans="8:8" x14ac:dyDescent="0.25">
      <c r="H3122" s="4" t="str">
        <f t="array" aca="1" ref="H3122" ca="1">SUBSTITUTE(SUBSTITUTE(_xlfn.TEXTJOIN("",TRUE,IF(ISERR(MID(C3122,ROW(INDIRECT("1:100")),1)+0),MID(C3122,ROW(INDIRECT("1:100")),1),"")),")",""),"(","")</f>
        <v/>
      </c>
    </row>
    <row r="3123" spans="8:8" x14ac:dyDescent="0.25">
      <c r="H3123" s="4" t="str">
        <f t="array" aca="1" ref="H3123" ca="1">SUBSTITUTE(SUBSTITUTE(_xlfn.TEXTJOIN("",TRUE,IF(ISERR(MID(C3123,ROW(INDIRECT("1:100")),1)+0),MID(C3123,ROW(INDIRECT("1:100")),1),"")),")",""),"(","")</f>
        <v/>
      </c>
    </row>
    <row r="3124" spans="8:8" x14ac:dyDescent="0.25">
      <c r="H3124" s="4" t="str">
        <f t="array" aca="1" ref="H3124" ca="1">SUBSTITUTE(SUBSTITUTE(_xlfn.TEXTJOIN("",TRUE,IF(ISERR(MID(C3124,ROW(INDIRECT("1:100")),1)+0),MID(C3124,ROW(INDIRECT("1:100")),1),"")),")",""),"(","")</f>
        <v/>
      </c>
    </row>
    <row r="3125" spans="8:8" x14ac:dyDescent="0.25">
      <c r="H3125" s="4" t="str">
        <f t="array" aca="1" ref="H3125" ca="1">SUBSTITUTE(SUBSTITUTE(_xlfn.TEXTJOIN("",TRUE,IF(ISERR(MID(C3125,ROW(INDIRECT("1:100")),1)+0),MID(C3125,ROW(INDIRECT("1:100")),1),"")),")",""),"(","")</f>
        <v/>
      </c>
    </row>
    <row r="3126" spans="8:8" x14ac:dyDescent="0.25">
      <c r="H3126" s="4" t="str">
        <f t="array" aca="1" ref="H3126" ca="1">SUBSTITUTE(SUBSTITUTE(_xlfn.TEXTJOIN("",TRUE,IF(ISERR(MID(C3126,ROW(INDIRECT("1:100")),1)+0),MID(C3126,ROW(INDIRECT("1:100")),1),"")),")",""),"(","")</f>
        <v/>
      </c>
    </row>
    <row r="3127" spans="8:8" x14ac:dyDescent="0.25">
      <c r="H3127" s="4" t="str">
        <f t="array" aca="1" ref="H3127" ca="1">SUBSTITUTE(SUBSTITUTE(_xlfn.TEXTJOIN("",TRUE,IF(ISERR(MID(C3127,ROW(INDIRECT("1:100")),1)+0),MID(C3127,ROW(INDIRECT("1:100")),1),"")),")",""),"(","")</f>
        <v/>
      </c>
    </row>
    <row r="3128" spans="8:8" x14ac:dyDescent="0.25">
      <c r="H3128" s="4" t="str">
        <f t="array" aca="1" ref="H3128" ca="1">SUBSTITUTE(SUBSTITUTE(_xlfn.TEXTJOIN("",TRUE,IF(ISERR(MID(C3128,ROW(INDIRECT("1:100")),1)+0),MID(C3128,ROW(INDIRECT("1:100")),1),"")),")",""),"(","")</f>
        <v/>
      </c>
    </row>
    <row r="3129" spans="8:8" x14ac:dyDescent="0.25">
      <c r="H3129" s="4" t="str">
        <f t="array" aca="1" ref="H3129" ca="1">SUBSTITUTE(SUBSTITUTE(_xlfn.TEXTJOIN("",TRUE,IF(ISERR(MID(C3129,ROW(INDIRECT("1:100")),1)+0),MID(C3129,ROW(INDIRECT("1:100")),1),"")),")",""),"(","")</f>
        <v/>
      </c>
    </row>
    <row r="3130" spans="8:8" x14ac:dyDescent="0.25">
      <c r="H3130" s="4" t="str">
        <f t="array" aca="1" ref="H3130" ca="1">SUBSTITUTE(SUBSTITUTE(_xlfn.TEXTJOIN("",TRUE,IF(ISERR(MID(C3130,ROW(INDIRECT("1:100")),1)+0),MID(C3130,ROW(INDIRECT("1:100")),1),"")),")",""),"(","")</f>
        <v/>
      </c>
    </row>
    <row r="3131" spans="8:8" x14ac:dyDescent="0.25">
      <c r="H3131" s="4" t="str">
        <f t="array" aca="1" ref="H3131" ca="1">SUBSTITUTE(SUBSTITUTE(_xlfn.TEXTJOIN("",TRUE,IF(ISERR(MID(C3131,ROW(INDIRECT("1:100")),1)+0),MID(C3131,ROW(INDIRECT("1:100")),1),"")),")",""),"(","")</f>
        <v/>
      </c>
    </row>
    <row r="3132" spans="8:8" x14ac:dyDescent="0.25">
      <c r="H3132" s="4" t="str">
        <f t="array" aca="1" ref="H3132" ca="1">SUBSTITUTE(SUBSTITUTE(_xlfn.TEXTJOIN("",TRUE,IF(ISERR(MID(C3132,ROW(INDIRECT("1:100")),1)+0),MID(C3132,ROW(INDIRECT("1:100")),1),"")),")",""),"(","")</f>
        <v/>
      </c>
    </row>
    <row r="3133" spans="8:8" x14ac:dyDescent="0.25">
      <c r="H3133" s="4" t="str">
        <f t="array" aca="1" ref="H3133" ca="1">SUBSTITUTE(SUBSTITUTE(_xlfn.TEXTJOIN("",TRUE,IF(ISERR(MID(C3133,ROW(INDIRECT("1:100")),1)+0),MID(C3133,ROW(INDIRECT("1:100")),1),"")),")",""),"(","")</f>
        <v/>
      </c>
    </row>
    <row r="3134" spans="8:8" x14ac:dyDescent="0.25">
      <c r="H3134" s="4" t="str">
        <f t="array" aca="1" ref="H3134" ca="1">SUBSTITUTE(SUBSTITUTE(_xlfn.TEXTJOIN("",TRUE,IF(ISERR(MID(C3134,ROW(INDIRECT("1:100")),1)+0),MID(C3134,ROW(INDIRECT("1:100")),1),"")),")",""),"(","")</f>
        <v/>
      </c>
    </row>
    <row r="3135" spans="8:8" x14ac:dyDescent="0.25">
      <c r="H3135" s="4" t="str">
        <f t="array" aca="1" ref="H3135" ca="1">SUBSTITUTE(SUBSTITUTE(_xlfn.TEXTJOIN("",TRUE,IF(ISERR(MID(C3135,ROW(INDIRECT("1:100")),1)+0),MID(C3135,ROW(INDIRECT("1:100")),1),"")),")",""),"(","")</f>
        <v/>
      </c>
    </row>
    <row r="3136" spans="8:8" x14ac:dyDescent="0.25">
      <c r="H3136" s="4" t="str">
        <f t="array" aca="1" ref="H3136" ca="1">SUBSTITUTE(SUBSTITUTE(_xlfn.TEXTJOIN("",TRUE,IF(ISERR(MID(C3136,ROW(INDIRECT("1:100")),1)+0),MID(C3136,ROW(INDIRECT("1:100")),1),"")),")",""),"(","")</f>
        <v/>
      </c>
    </row>
    <row r="3137" spans="8:8" x14ac:dyDescent="0.25">
      <c r="H3137" s="4" t="str">
        <f t="array" aca="1" ref="H3137" ca="1">SUBSTITUTE(SUBSTITUTE(_xlfn.TEXTJOIN("",TRUE,IF(ISERR(MID(C3137,ROW(INDIRECT("1:100")),1)+0),MID(C3137,ROW(INDIRECT("1:100")),1),"")),")",""),"(","")</f>
        <v/>
      </c>
    </row>
    <row r="3138" spans="8:8" x14ac:dyDescent="0.25">
      <c r="H3138" s="4" t="str">
        <f t="array" aca="1" ref="H3138" ca="1">SUBSTITUTE(SUBSTITUTE(_xlfn.TEXTJOIN("",TRUE,IF(ISERR(MID(C3138,ROW(INDIRECT("1:100")),1)+0),MID(C3138,ROW(INDIRECT("1:100")),1),"")),")",""),"(","")</f>
        <v/>
      </c>
    </row>
    <row r="3139" spans="8:8" x14ac:dyDescent="0.25">
      <c r="H3139" s="4" t="str">
        <f t="array" aca="1" ref="H3139" ca="1">SUBSTITUTE(SUBSTITUTE(_xlfn.TEXTJOIN("",TRUE,IF(ISERR(MID(C3139,ROW(INDIRECT("1:100")),1)+0),MID(C3139,ROW(INDIRECT("1:100")),1),"")),")",""),"(","")</f>
        <v/>
      </c>
    </row>
    <row r="3140" spans="8:8" x14ac:dyDescent="0.25">
      <c r="H3140" s="4" t="str">
        <f t="array" aca="1" ref="H3140" ca="1">SUBSTITUTE(SUBSTITUTE(_xlfn.TEXTJOIN("",TRUE,IF(ISERR(MID(C3140,ROW(INDIRECT("1:100")),1)+0),MID(C3140,ROW(INDIRECT("1:100")),1),"")),")",""),"(","")</f>
        <v/>
      </c>
    </row>
    <row r="3141" spans="8:8" x14ac:dyDescent="0.25">
      <c r="H3141" s="4" t="str">
        <f t="array" aca="1" ref="H3141" ca="1">SUBSTITUTE(SUBSTITUTE(_xlfn.TEXTJOIN("",TRUE,IF(ISERR(MID(C3141,ROW(INDIRECT("1:100")),1)+0),MID(C3141,ROW(INDIRECT("1:100")),1),"")),")",""),"(","")</f>
        <v/>
      </c>
    </row>
    <row r="3142" spans="8:8" x14ac:dyDescent="0.25">
      <c r="H3142" s="4" t="str">
        <f t="array" aca="1" ref="H3142" ca="1">SUBSTITUTE(SUBSTITUTE(_xlfn.TEXTJOIN("",TRUE,IF(ISERR(MID(C3142,ROW(INDIRECT("1:100")),1)+0),MID(C3142,ROW(INDIRECT("1:100")),1),"")),")",""),"(","")</f>
        <v/>
      </c>
    </row>
    <row r="3143" spans="8:8" x14ac:dyDescent="0.25">
      <c r="H3143" s="4" t="str">
        <f t="array" aca="1" ref="H3143" ca="1">SUBSTITUTE(SUBSTITUTE(_xlfn.TEXTJOIN("",TRUE,IF(ISERR(MID(C3143,ROW(INDIRECT("1:100")),1)+0),MID(C3143,ROW(INDIRECT("1:100")),1),"")),")",""),"(","")</f>
        <v/>
      </c>
    </row>
    <row r="3144" spans="8:8" x14ac:dyDescent="0.25">
      <c r="H3144" s="4" t="str">
        <f t="array" aca="1" ref="H3144" ca="1">SUBSTITUTE(SUBSTITUTE(_xlfn.TEXTJOIN("",TRUE,IF(ISERR(MID(C3144,ROW(INDIRECT("1:100")),1)+0),MID(C3144,ROW(INDIRECT("1:100")),1),"")),")",""),"(","")</f>
        <v/>
      </c>
    </row>
    <row r="3145" spans="8:8" x14ac:dyDescent="0.25">
      <c r="H3145" s="4" t="str">
        <f t="array" aca="1" ref="H3145" ca="1">SUBSTITUTE(SUBSTITUTE(_xlfn.TEXTJOIN("",TRUE,IF(ISERR(MID(C3145,ROW(INDIRECT("1:100")),1)+0),MID(C3145,ROW(INDIRECT("1:100")),1),"")),")",""),"(","")</f>
        <v/>
      </c>
    </row>
    <row r="3146" spans="8:8" x14ac:dyDescent="0.25">
      <c r="H3146" s="4" t="str">
        <f t="array" aca="1" ref="H3146" ca="1">SUBSTITUTE(SUBSTITUTE(_xlfn.TEXTJOIN("",TRUE,IF(ISERR(MID(C3146,ROW(INDIRECT("1:100")),1)+0),MID(C3146,ROW(INDIRECT("1:100")),1),"")),")",""),"(","")</f>
        <v/>
      </c>
    </row>
    <row r="3147" spans="8:8" x14ac:dyDescent="0.25">
      <c r="H3147" s="4" t="str">
        <f t="array" aca="1" ref="H3147" ca="1">SUBSTITUTE(SUBSTITUTE(_xlfn.TEXTJOIN("",TRUE,IF(ISERR(MID(C3147,ROW(INDIRECT("1:100")),1)+0),MID(C3147,ROW(INDIRECT("1:100")),1),"")),")",""),"(","")</f>
        <v/>
      </c>
    </row>
    <row r="3148" spans="8:8" x14ac:dyDescent="0.25">
      <c r="H3148" s="4" t="str">
        <f t="array" aca="1" ref="H3148" ca="1">SUBSTITUTE(SUBSTITUTE(_xlfn.TEXTJOIN("",TRUE,IF(ISERR(MID(C3148,ROW(INDIRECT("1:100")),1)+0),MID(C3148,ROW(INDIRECT("1:100")),1),"")),")",""),"(","")</f>
        <v/>
      </c>
    </row>
    <row r="3149" spans="8:8" x14ac:dyDescent="0.25">
      <c r="H3149" s="4" t="str">
        <f t="array" aca="1" ref="H3149" ca="1">SUBSTITUTE(SUBSTITUTE(_xlfn.TEXTJOIN("",TRUE,IF(ISERR(MID(C3149,ROW(INDIRECT("1:100")),1)+0),MID(C3149,ROW(INDIRECT("1:100")),1),"")),")",""),"(","")</f>
        <v/>
      </c>
    </row>
    <row r="3150" spans="8:8" x14ac:dyDescent="0.25">
      <c r="H3150" s="4" t="str">
        <f t="array" aca="1" ref="H3150" ca="1">SUBSTITUTE(SUBSTITUTE(_xlfn.TEXTJOIN("",TRUE,IF(ISERR(MID(C3150,ROW(INDIRECT("1:100")),1)+0),MID(C3150,ROW(INDIRECT("1:100")),1),"")),")",""),"(","")</f>
        <v/>
      </c>
    </row>
    <row r="3151" spans="8:8" x14ac:dyDescent="0.25">
      <c r="H3151" s="4" t="str">
        <f t="array" aca="1" ref="H3151" ca="1">SUBSTITUTE(SUBSTITUTE(_xlfn.TEXTJOIN("",TRUE,IF(ISERR(MID(C3151,ROW(INDIRECT("1:100")),1)+0),MID(C3151,ROW(INDIRECT("1:100")),1),"")),")",""),"(","")</f>
        <v/>
      </c>
    </row>
    <row r="3152" spans="8:8" x14ac:dyDescent="0.25">
      <c r="H3152" s="4" t="str">
        <f t="array" aca="1" ref="H3152" ca="1">SUBSTITUTE(SUBSTITUTE(_xlfn.TEXTJOIN("",TRUE,IF(ISERR(MID(C3152,ROW(INDIRECT("1:100")),1)+0),MID(C3152,ROW(INDIRECT("1:100")),1),"")),")",""),"(","")</f>
        <v/>
      </c>
    </row>
    <row r="3153" spans="8:8" x14ac:dyDescent="0.25">
      <c r="H3153" s="4" t="str">
        <f t="array" aca="1" ref="H3153" ca="1">SUBSTITUTE(SUBSTITUTE(_xlfn.TEXTJOIN("",TRUE,IF(ISERR(MID(C3153,ROW(INDIRECT("1:100")),1)+0),MID(C3153,ROW(INDIRECT("1:100")),1),"")),")",""),"(","")</f>
        <v/>
      </c>
    </row>
    <row r="3154" spans="8:8" x14ac:dyDescent="0.25">
      <c r="H3154" s="4" t="str">
        <f t="array" aca="1" ref="H3154" ca="1">SUBSTITUTE(SUBSTITUTE(_xlfn.TEXTJOIN("",TRUE,IF(ISERR(MID(C3154,ROW(INDIRECT("1:100")),1)+0),MID(C3154,ROW(INDIRECT("1:100")),1),"")),")",""),"(","")</f>
        <v/>
      </c>
    </row>
    <row r="3155" spans="8:8" x14ac:dyDescent="0.25">
      <c r="H3155" s="4" t="str">
        <f t="array" aca="1" ref="H3155" ca="1">SUBSTITUTE(SUBSTITUTE(_xlfn.TEXTJOIN("",TRUE,IF(ISERR(MID(C3155,ROW(INDIRECT("1:100")),1)+0),MID(C3155,ROW(INDIRECT("1:100")),1),"")),")",""),"(","")</f>
        <v/>
      </c>
    </row>
    <row r="3156" spans="8:8" x14ac:dyDescent="0.25">
      <c r="H3156" s="4" t="str">
        <f t="array" aca="1" ref="H3156" ca="1">SUBSTITUTE(SUBSTITUTE(_xlfn.TEXTJOIN("",TRUE,IF(ISERR(MID(C3156,ROW(INDIRECT("1:100")),1)+0),MID(C3156,ROW(INDIRECT("1:100")),1),"")),")",""),"(","")</f>
        <v/>
      </c>
    </row>
    <row r="3157" spans="8:8" x14ac:dyDescent="0.25">
      <c r="H3157" s="4" t="str">
        <f t="array" aca="1" ref="H3157" ca="1">SUBSTITUTE(SUBSTITUTE(_xlfn.TEXTJOIN("",TRUE,IF(ISERR(MID(C3157,ROW(INDIRECT("1:100")),1)+0),MID(C3157,ROW(INDIRECT("1:100")),1),"")),")",""),"(","")</f>
        <v/>
      </c>
    </row>
    <row r="3158" spans="8:8" x14ac:dyDescent="0.25">
      <c r="H3158" s="4" t="str">
        <f t="array" aca="1" ref="H3158" ca="1">SUBSTITUTE(SUBSTITUTE(_xlfn.TEXTJOIN("",TRUE,IF(ISERR(MID(C3158,ROW(INDIRECT("1:100")),1)+0),MID(C3158,ROW(INDIRECT("1:100")),1),"")),")",""),"(","")</f>
        <v/>
      </c>
    </row>
    <row r="3159" spans="8:8" x14ac:dyDescent="0.25">
      <c r="H3159" s="4" t="str">
        <f t="array" aca="1" ref="H3159" ca="1">SUBSTITUTE(SUBSTITUTE(_xlfn.TEXTJOIN("",TRUE,IF(ISERR(MID(C3159,ROW(INDIRECT("1:100")),1)+0),MID(C3159,ROW(INDIRECT("1:100")),1),"")),")",""),"(","")</f>
        <v/>
      </c>
    </row>
    <row r="3160" spans="8:8" x14ac:dyDescent="0.25">
      <c r="H3160" s="4" t="str">
        <f t="array" aca="1" ref="H3160" ca="1">SUBSTITUTE(SUBSTITUTE(_xlfn.TEXTJOIN("",TRUE,IF(ISERR(MID(C3160,ROW(INDIRECT("1:100")),1)+0),MID(C3160,ROW(INDIRECT("1:100")),1),"")),")",""),"(","")</f>
        <v/>
      </c>
    </row>
    <row r="3161" spans="8:8" x14ac:dyDescent="0.25">
      <c r="H3161" s="4" t="str">
        <f t="array" aca="1" ref="H3161" ca="1">SUBSTITUTE(SUBSTITUTE(_xlfn.TEXTJOIN("",TRUE,IF(ISERR(MID(C3161,ROW(INDIRECT("1:100")),1)+0),MID(C3161,ROW(INDIRECT("1:100")),1),"")),")",""),"(","")</f>
        <v/>
      </c>
    </row>
    <row r="3162" spans="8:8" x14ac:dyDescent="0.25">
      <c r="H3162" s="4" t="str">
        <f t="array" aca="1" ref="H3162" ca="1">SUBSTITUTE(SUBSTITUTE(_xlfn.TEXTJOIN("",TRUE,IF(ISERR(MID(C3162,ROW(INDIRECT("1:100")),1)+0),MID(C3162,ROW(INDIRECT("1:100")),1),"")),")",""),"(","")</f>
        <v/>
      </c>
    </row>
    <row r="3163" spans="8:8" x14ac:dyDescent="0.25">
      <c r="H3163" s="4" t="str">
        <f t="array" aca="1" ref="H3163" ca="1">SUBSTITUTE(SUBSTITUTE(_xlfn.TEXTJOIN("",TRUE,IF(ISERR(MID(C3163,ROW(INDIRECT("1:100")),1)+0),MID(C3163,ROW(INDIRECT("1:100")),1),"")),")",""),"(","")</f>
        <v/>
      </c>
    </row>
    <row r="3164" spans="8:8" x14ac:dyDescent="0.25">
      <c r="H3164" s="4" t="str">
        <f t="array" aca="1" ref="H3164" ca="1">SUBSTITUTE(SUBSTITUTE(_xlfn.TEXTJOIN("",TRUE,IF(ISERR(MID(C3164,ROW(INDIRECT("1:100")),1)+0),MID(C3164,ROW(INDIRECT("1:100")),1),"")),")",""),"(","")</f>
        <v/>
      </c>
    </row>
    <row r="3165" spans="8:8" x14ac:dyDescent="0.25">
      <c r="H3165" s="4" t="str">
        <f t="array" aca="1" ref="H3165" ca="1">SUBSTITUTE(SUBSTITUTE(_xlfn.TEXTJOIN("",TRUE,IF(ISERR(MID(C3165,ROW(INDIRECT("1:100")),1)+0),MID(C3165,ROW(INDIRECT("1:100")),1),"")),")",""),"(","")</f>
        <v/>
      </c>
    </row>
    <row r="3166" spans="8:8" x14ac:dyDescent="0.25">
      <c r="H3166" s="4" t="str">
        <f t="array" aca="1" ref="H3166" ca="1">SUBSTITUTE(SUBSTITUTE(_xlfn.TEXTJOIN("",TRUE,IF(ISERR(MID(C3166,ROW(INDIRECT("1:100")),1)+0),MID(C3166,ROW(INDIRECT("1:100")),1),"")),")",""),"(","")</f>
        <v/>
      </c>
    </row>
    <row r="3167" spans="8:8" x14ac:dyDescent="0.25">
      <c r="H3167" s="4" t="str">
        <f t="array" aca="1" ref="H3167" ca="1">SUBSTITUTE(SUBSTITUTE(_xlfn.TEXTJOIN("",TRUE,IF(ISERR(MID(C3167,ROW(INDIRECT("1:100")),1)+0),MID(C3167,ROW(INDIRECT("1:100")),1),"")),")",""),"(","")</f>
        <v/>
      </c>
    </row>
    <row r="3168" spans="8:8" x14ac:dyDescent="0.25">
      <c r="H3168" s="4" t="str">
        <f t="array" aca="1" ref="H3168" ca="1">SUBSTITUTE(SUBSTITUTE(_xlfn.TEXTJOIN("",TRUE,IF(ISERR(MID(C3168,ROW(INDIRECT("1:100")),1)+0),MID(C3168,ROW(INDIRECT("1:100")),1),"")),")",""),"(","")</f>
        <v/>
      </c>
    </row>
    <row r="3169" spans="8:8" x14ac:dyDescent="0.25">
      <c r="H3169" s="4" t="str">
        <f t="array" aca="1" ref="H3169" ca="1">SUBSTITUTE(SUBSTITUTE(_xlfn.TEXTJOIN("",TRUE,IF(ISERR(MID(C3169,ROW(INDIRECT("1:100")),1)+0),MID(C3169,ROW(INDIRECT("1:100")),1),"")),")",""),"(","")</f>
        <v/>
      </c>
    </row>
    <row r="3170" spans="8:8" x14ac:dyDescent="0.25">
      <c r="H3170" s="4" t="str">
        <f t="array" aca="1" ref="H3170" ca="1">SUBSTITUTE(SUBSTITUTE(_xlfn.TEXTJOIN("",TRUE,IF(ISERR(MID(C3170,ROW(INDIRECT("1:100")),1)+0),MID(C3170,ROW(INDIRECT("1:100")),1),"")),")",""),"(","")</f>
        <v/>
      </c>
    </row>
    <row r="3171" spans="8:8" x14ac:dyDescent="0.25">
      <c r="H3171" s="4" t="str">
        <f t="array" aca="1" ref="H3171" ca="1">SUBSTITUTE(SUBSTITUTE(_xlfn.TEXTJOIN("",TRUE,IF(ISERR(MID(C3171,ROW(INDIRECT("1:100")),1)+0),MID(C3171,ROW(INDIRECT("1:100")),1),"")),")",""),"(","")</f>
        <v/>
      </c>
    </row>
    <row r="3172" spans="8:8" x14ac:dyDescent="0.25">
      <c r="H3172" s="4" t="str">
        <f t="array" aca="1" ref="H3172" ca="1">SUBSTITUTE(SUBSTITUTE(_xlfn.TEXTJOIN("",TRUE,IF(ISERR(MID(C3172,ROW(INDIRECT("1:100")),1)+0),MID(C3172,ROW(INDIRECT("1:100")),1),"")),")",""),"(","")</f>
        <v/>
      </c>
    </row>
    <row r="3173" spans="8:8" x14ac:dyDescent="0.25">
      <c r="H3173" s="4" t="str">
        <f t="array" aca="1" ref="H3173" ca="1">SUBSTITUTE(SUBSTITUTE(_xlfn.TEXTJOIN("",TRUE,IF(ISERR(MID(C3173,ROW(INDIRECT("1:100")),1)+0),MID(C3173,ROW(INDIRECT("1:100")),1),"")),")",""),"(","")</f>
        <v/>
      </c>
    </row>
    <row r="3174" spans="8:8" x14ac:dyDescent="0.25">
      <c r="H3174" s="4" t="str">
        <f t="array" aca="1" ref="H3174" ca="1">SUBSTITUTE(SUBSTITUTE(_xlfn.TEXTJOIN("",TRUE,IF(ISERR(MID(C3174,ROW(INDIRECT("1:100")),1)+0),MID(C3174,ROW(INDIRECT("1:100")),1),"")),")",""),"(","")</f>
        <v/>
      </c>
    </row>
    <row r="3175" spans="8:8" x14ac:dyDescent="0.25">
      <c r="H3175" s="4" t="str">
        <f t="array" aca="1" ref="H3175" ca="1">SUBSTITUTE(SUBSTITUTE(_xlfn.TEXTJOIN("",TRUE,IF(ISERR(MID(C3175,ROW(INDIRECT("1:100")),1)+0),MID(C3175,ROW(INDIRECT("1:100")),1),"")),")",""),"(","")</f>
        <v/>
      </c>
    </row>
    <row r="3176" spans="8:8" x14ac:dyDescent="0.25">
      <c r="H3176" s="4" t="str">
        <f t="array" aca="1" ref="H3176" ca="1">SUBSTITUTE(SUBSTITUTE(_xlfn.TEXTJOIN("",TRUE,IF(ISERR(MID(C3176,ROW(INDIRECT("1:100")),1)+0),MID(C3176,ROW(INDIRECT("1:100")),1),"")),")",""),"(","")</f>
        <v/>
      </c>
    </row>
    <row r="3177" spans="8:8" x14ac:dyDescent="0.25">
      <c r="H3177" s="4" t="str">
        <f t="array" aca="1" ref="H3177" ca="1">SUBSTITUTE(SUBSTITUTE(_xlfn.TEXTJOIN("",TRUE,IF(ISERR(MID(C3177,ROW(INDIRECT("1:100")),1)+0),MID(C3177,ROW(INDIRECT("1:100")),1),"")),")",""),"(","")</f>
        <v/>
      </c>
    </row>
    <row r="3178" spans="8:8" x14ac:dyDescent="0.25">
      <c r="H3178" s="4" t="str">
        <f t="array" aca="1" ref="H3178" ca="1">SUBSTITUTE(SUBSTITUTE(_xlfn.TEXTJOIN("",TRUE,IF(ISERR(MID(C3178,ROW(INDIRECT("1:100")),1)+0),MID(C3178,ROW(INDIRECT("1:100")),1),"")),")",""),"(","")</f>
        <v/>
      </c>
    </row>
    <row r="3179" spans="8:8" x14ac:dyDescent="0.25">
      <c r="H3179" s="4" t="str">
        <f t="array" aca="1" ref="H3179" ca="1">SUBSTITUTE(SUBSTITUTE(_xlfn.TEXTJOIN("",TRUE,IF(ISERR(MID(C3179,ROW(INDIRECT("1:100")),1)+0),MID(C3179,ROW(INDIRECT("1:100")),1),"")),")",""),"(","")</f>
        <v/>
      </c>
    </row>
    <row r="3180" spans="8:8" x14ac:dyDescent="0.25">
      <c r="H3180" s="4" t="str">
        <f t="array" aca="1" ref="H3180" ca="1">SUBSTITUTE(SUBSTITUTE(_xlfn.TEXTJOIN("",TRUE,IF(ISERR(MID(C3180,ROW(INDIRECT("1:100")),1)+0),MID(C3180,ROW(INDIRECT("1:100")),1),"")),")",""),"(","")</f>
        <v/>
      </c>
    </row>
    <row r="3181" spans="8:8" x14ac:dyDescent="0.25">
      <c r="H3181" s="4" t="str">
        <f t="array" aca="1" ref="H3181" ca="1">SUBSTITUTE(SUBSTITUTE(_xlfn.TEXTJOIN("",TRUE,IF(ISERR(MID(C3181,ROW(INDIRECT("1:100")),1)+0),MID(C3181,ROW(INDIRECT("1:100")),1),"")),")",""),"(","")</f>
        <v/>
      </c>
    </row>
    <row r="3182" spans="8:8" x14ac:dyDescent="0.25">
      <c r="H3182" s="4" t="str">
        <f t="array" aca="1" ref="H3182" ca="1">SUBSTITUTE(SUBSTITUTE(_xlfn.TEXTJOIN("",TRUE,IF(ISERR(MID(C3182,ROW(INDIRECT("1:100")),1)+0),MID(C3182,ROW(INDIRECT("1:100")),1),"")),")",""),"(","")</f>
        <v/>
      </c>
    </row>
    <row r="3183" spans="8:8" x14ac:dyDescent="0.25">
      <c r="H3183" s="4" t="str">
        <f t="array" aca="1" ref="H3183" ca="1">SUBSTITUTE(SUBSTITUTE(_xlfn.TEXTJOIN("",TRUE,IF(ISERR(MID(C3183,ROW(INDIRECT("1:100")),1)+0),MID(C3183,ROW(INDIRECT("1:100")),1),"")),")",""),"(","")</f>
        <v/>
      </c>
    </row>
    <row r="3184" spans="8:8" x14ac:dyDescent="0.25">
      <c r="H3184" s="4" t="str">
        <f t="array" aca="1" ref="H3184" ca="1">SUBSTITUTE(SUBSTITUTE(_xlfn.TEXTJOIN("",TRUE,IF(ISERR(MID(C3184,ROW(INDIRECT("1:100")),1)+0),MID(C3184,ROW(INDIRECT("1:100")),1),"")),")",""),"(","")</f>
        <v/>
      </c>
    </row>
    <row r="3185" spans="8:8" x14ac:dyDescent="0.25">
      <c r="H3185" s="4" t="str">
        <f t="array" aca="1" ref="H3185" ca="1">SUBSTITUTE(SUBSTITUTE(_xlfn.TEXTJOIN("",TRUE,IF(ISERR(MID(C3185,ROW(INDIRECT("1:100")),1)+0),MID(C3185,ROW(INDIRECT("1:100")),1),"")),")",""),"(","")</f>
        <v/>
      </c>
    </row>
    <row r="3186" spans="8:8" x14ac:dyDescent="0.25">
      <c r="H3186" s="4" t="str">
        <f t="array" aca="1" ref="H3186" ca="1">SUBSTITUTE(SUBSTITUTE(_xlfn.TEXTJOIN("",TRUE,IF(ISERR(MID(C3186,ROW(INDIRECT("1:100")),1)+0),MID(C3186,ROW(INDIRECT("1:100")),1),"")),")",""),"(","")</f>
        <v/>
      </c>
    </row>
    <row r="3187" spans="8:8" x14ac:dyDescent="0.25">
      <c r="H3187" s="4" t="str">
        <f t="array" aca="1" ref="H3187" ca="1">SUBSTITUTE(SUBSTITUTE(_xlfn.TEXTJOIN("",TRUE,IF(ISERR(MID(C3187,ROW(INDIRECT("1:100")),1)+0),MID(C3187,ROW(INDIRECT("1:100")),1),"")),")",""),"(","")</f>
        <v/>
      </c>
    </row>
    <row r="3188" spans="8:8" x14ac:dyDescent="0.25">
      <c r="H3188" s="4" t="str">
        <f t="array" aca="1" ref="H3188" ca="1">SUBSTITUTE(SUBSTITUTE(_xlfn.TEXTJOIN("",TRUE,IF(ISERR(MID(C3188,ROW(INDIRECT("1:100")),1)+0),MID(C3188,ROW(INDIRECT("1:100")),1),"")),")",""),"(","")</f>
        <v/>
      </c>
    </row>
    <row r="3189" spans="8:8" x14ac:dyDescent="0.25">
      <c r="H3189" s="4" t="str">
        <f t="array" aca="1" ref="H3189" ca="1">SUBSTITUTE(SUBSTITUTE(_xlfn.TEXTJOIN("",TRUE,IF(ISERR(MID(C3189,ROW(INDIRECT("1:100")),1)+0),MID(C3189,ROW(INDIRECT("1:100")),1),"")),")",""),"(","")</f>
        <v/>
      </c>
    </row>
    <row r="3190" spans="8:8" x14ac:dyDescent="0.25">
      <c r="H3190" s="4" t="str">
        <f t="array" aca="1" ref="H3190" ca="1">SUBSTITUTE(SUBSTITUTE(_xlfn.TEXTJOIN("",TRUE,IF(ISERR(MID(C3190,ROW(INDIRECT("1:100")),1)+0),MID(C3190,ROW(INDIRECT("1:100")),1),"")),")",""),"(","")</f>
        <v/>
      </c>
    </row>
    <row r="3191" spans="8:8" x14ac:dyDescent="0.25">
      <c r="H3191" s="4" t="str">
        <f t="array" aca="1" ref="H3191" ca="1">SUBSTITUTE(SUBSTITUTE(_xlfn.TEXTJOIN("",TRUE,IF(ISERR(MID(C3191,ROW(INDIRECT("1:100")),1)+0),MID(C3191,ROW(INDIRECT("1:100")),1),"")),")",""),"(","")</f>
        <v/>
      </c>
    </row>
    <row r="3192" spans="8:8" x14ac:dyDescent="0.25">
      <c r="H3192" s="4" t="str">
        <f t="array" aca="1" ref="H3192" ca="1">SUBSTITUTE(SUBSTITUTE(_xlfn.TEXTJOIN("",TRUE,IF(ISERR(MID(C3192,ROW(INDIRECT("1:100")),1)+0),MID(C3192,ROW(INDIRECT("1:100")),1),"")),")",""),"(","")</f>
        <v/>
      </c>
    </row>
    <row r="3193" spans="8:8" x14ac:dyDescent="0.25">
      <c r="H3193" s="4" t="str">
        <f t="array" aca="1" ref="H3193" ca="1">SUBSTITUTE(SUBSTITUTE(_xlfn.TEXTJOIN("",TRUE,IF(ISERR(MID(C3193,ROW(INDIRECT("1:100")),1)+0),MID(C3193,ROW(INDIRECT("1:100")),1),"")),")",""),"(","")</f>
        <v/>
      </c>
    </row>
    <row r="3194" spans="8:8" x14ac:dyDescent="0.25">
      <c r="H3194" s="4" t="str">
        <f t="array" aca="1" ref="H3194" ca="1">SUBSTITUTE(SUBSTITUTE(_xlfn.TEXTJOIN("",TRUE,IF(ISERR(MID(C3194,ROW(INDIRECT("1:100")),1)+0),MID(C3194,ROW(INDIRECT("1:100")),1),"")),")",""),"(","")</f>
        <v/>
      </c>
    </row>
    <row r="3195" spans="8:8" x14ac:dyDescent="0.25">
      <c r="H3195" s="4" t="str">
        <f t="array" aca="1" ref="H3195" ca="1">SUBSTITUTE(SUBSTITUTE(_xlfn.TEXTJOIN("",TRUE,IF(ISERR(MID(C3195,ROW(INDIRECT("1:100")),1)+0),MID(C3195,ROW(INDIRECT("1:100")),1),"")),")",""),"(","")</f>
        <v/>
      </c>
    </row>
    <row r="3196" spans="8:8" x14ac:dyDescent="0.25">
      <c r="H3196" s="4" t="str">
        <f t="array" aca="1" ref="H3196" ca="1">SUBSTITUTE(SUBSTITUTE(_xlfn.TEXTJOIN("",TRUE,IF(ISERR(MID(C3196,ROW(INDIRECT("1:100")),1)+0),MID(C3196,ROW(INDIRECT("1:100")),1),"")),")",""),"(","")</f>
        <v/>
      </c>
    </row>
    <row r="3197" spans="8:8" x14ac:dyDescent="0.25">
      <c r="H3197" s="4" t="str">
        <f t="array" aca="1" ref="H3197" ca="1">SUBSTITUTE(SUBSTITUTE(_xlfn.TEXTJOIN("",TRUE,IF(ISERR(MID(C3197,ROW(INDIRECT("1:100")),1)+0),MID(C3197,ROW(INDIRECT("1:100")),1),"")),")",""),"(","")</f>
        <v/>
      </c>
    </row>
    <row r="3198" spans="8:8" x14ac:dyDescent="0.25">
      <c r="H3198" s="4" t="str">
        <f t="array" aca="1" ref="H3198" ca="1">SUBSTITUTE(SUBSTITUTE(_xlfn.TEXTJOIN("",TRUE,IF(ISERR(MID(C3198,ROW(INDIRECT("1:100")),1)+0),MID(C3198,ROW(INDIRECT("1:100")),1),"")),")",""),"(","")</f>
        <v/>
      </c>
    </row>
    <row r="3199" spans="8:8" x14ac:dyDescent="0.25">
      <c r="H3199" s="4" t="str">
        <f t="array" aca="1" ref="H3199" ca="1">SUBSTITUTE(SUBSTITUTE(_xlfn.TEXTJOIN("",TRUE,IF(ISERR(MID(C3199,ROW(INDIRECT("1:100")),1)+0),MID(C3199,ROW(INDIRECT("1:100")),1),"")),")",""),"(","")</f>
        <v/>
      </c>
    </row>
    <row r="3200" spans="8:8" x14ac:dyDescent="0.25">
      <c r="H3200" s="4" t="str">
        <f t="array" aca="1" ref="H3200" ca="1">SUBSTITUTE(SUBSTITUTE(_xlfn.TEXTJOIN("",TRUE,IF(ISERR(MID(C3200,ROW(INDIRECT("1:100")),1)+0),MID(C3200,ROW(INDIRECT("1:100")),1),"")),")",""),"(","")</f>
        <v/>
      </c>
    </row>
    <row r="3201" spans="8:8" x14ac:dyDescent="0.25">
      <c r="H3201" s="4" t="str">
        <f t="array" aca="1" ref="H3201" ca="1">SUBSTITUTE(SUBSTITUTE(_xlfn.TEXTJOIN("",TRUE,IF(ISERR(MID(C3201,ROW(INDIRECT("1:100")),1)+0),MID(C3201,ROW(INDIRECT("1:100")),1),"")),")",""),"(","")</f>
        <v/>
      </c>
    </row>
    <row r="3202" spans="8:8" x14ac:dyDescent="0.25">
      <c r="H3202" s="4" t="str">
        <f t="array" aca="1" ref="H3202" ca="1">SUBSTITUTE(SUBSTITUTE(_xlfn.TEXTJOIN("",TRUE,IF(ISERR(MID(C3202,ROW(INDIRECT("1:100")),1)+0),MID(C3202,ROW(INDIRECT("1:100")),1),"")),")",""),"(","")</f>
        <v/>
      </c>
    </row>
    <row r="3203" spans="8:8" x14ac:dyDescent="0.25">
      <c r="H3203" s="4" t="str">
        <f t="array" aca="1" ref="H3203" ca="1">SUBSTITUTE(SUBSTITUTE(_xlfn.TEXTJOIN("",TRUE,IF(ISERR(MID(C3203,ROW(INDIRECT("1:100")),1)+0),MID(C3203,ROW(INDIRECT("1:100")),1),"")),")",""),"(","")</f>
        <v/>
      </c>
    </row>
    <row r="3204" spans="8:8" x14ac:dyDescent="0.25">
      <c r="H3204" s="4" t="str">
        <f t="array" aca="1" ref="H3204" ca="1">SUBSTITUTE(SUBSTITUTE(_xlfn.TEXTJOIN("",TRUE,IF(ISERR(MID(C3204,ROW(INDIRECT("1:100")),1)+0),MID(C3204,ROW(INDIRECT("1:100")),1),"")),")",""),"(","")</f>
        <v/>
      </c>
    </row>
    <row r="3205" spans="8:8" x14ac:dyDescent="0.25">
      <c r="H3205" s="4" t="str">
        <f t="array" aca="1" ref="H3205" ca="1">SUBSTITUTE(SUBSTITUTE(_xlfn.TEXTJOIN("",TRUE,IF(ISERR(MID(C3205,ROW(INDIRECT("1:100")),1)+0),MID(C3205,ROW(INDIRECT("1:100")),1),"")),")",""),"(","")</f>
        <v/>
      </c>
    </row>
    <row r="3206" spans="8:8" x14ac:dyDescent="0.25">
      <c r="H3206" s="4" t="str">
        <f t="array" aca="1" ref="H3206" ca="1">SUBSTITUTE(SUBSTITUTE(_xlfn.TEXTJOIN("",TRUE,IF(ISERR(MID(C3206,ROW(INDIRECT("1:100")),1)+0),MID(C3206,ROW(INDIRECT("1:100")),1),"")),")",""),"(","")</f>
        <v/>
      </c>
    </row>
    <row r="3207" spans="8:8" x14ac:dyDescent="0.25">
      <c r="H3207" s="4" t="str">
        <f t="array" aca="1" ref="H3207" ca="1">SUBSTITUTE(SUBSTITUTE(_xlfn.TEXTJOIN("",TRUE,IF(ISERR(MID(C3207,ROW(INDIRECT("1:100")),1)+0),MID(C3207,ROW(INDIRECT("1:100")),1),"")),")",""),"(","")</f>
        <v/>
      </c>
    </row>
    <row r="3208" spans="8:8" x14ac:dyDescent="0.25">
      <c r="H3208" s="4" t="str">
        <f t="array" aca="1" ref="H3208" ca="1">SUBSTITUTE(SUBSTITUTE(_xlfn.TEXTJOIN("",TRUE,IF(ISERR(MID(C3208,ROW(INDIRECT("1:100")),1)+0),MID(C3208,ROW(INDIRECT("1:100")),1),"")),")",""),"(","")</f>
        <v/>
      </c>
    </row>
    <row r="3209" spans="8:8" x14ac:dyDescent="0.25">
      <c r="H3209" s="4" t="str">
        <f t="array" aca="1" ref="H3209" ca="1">SUBSTITUTE(SUBSTITUTE(_xlfn.TEXTJOIN("",TRUE,IF(ISERR(MID(C3209,ROW(INDIRECT("1:100")),1)+0),MID(C3209,ROW(INDIRECT("1:100")),1),"")),")",""),"(","")</f>
        <v/>
      </c>
    </row>
    <row r="3210" spans="8:8" x14ac:dyDescent="0.25">
      <c r="H3210" s="4" t="str">
        <f t="array" aca="1" ref="H3210" ca="1">SUBSTITUTE(SUBSTITUTE(_xlfn.TEXTJOIN("",TRUE,IF(ISERR(MID(C3210,ROW(INDIRECT("1:100")),1)+0),MID(C3210,ROW(INDIRECT("1:100")),1),"")),")",""),"(","")</f>
        <v/>
      </c>
    </row>
    <row r="3211" spans="8:8" x14ac:dyDescent="0.25">
      <c r="H3211" s="4" t="str">
        <f t="array" aca="1" ref="H3211" ca="1">SUBSTITUTE(SUBSTITUTE(_xlfn.TEXTJOIN("",TRUE,IF(ISERR(MID(C3211,ROW(INDIRECT("1:100")),1)+0),MID(C3211,ROW(INDIRECT("1:100")),1),"")),")",""),"(","")</f>
        <v/>
      </c>
    </row>
    <row r="3212" spans="8:8" x14ac:dyDescent="0.25">
      <c r="H3212" s="4" t="str">
        <f t="array" aca="1" ref="H3212" ca="1">SUBSTITUTE(SUBSTITUTE(_xlfn.TEXTJOIN("",TRUE,IF(ISERR(MID(C3212,ROW(INDIRECT("1:100")),1)+0),MID(C3212,ROW(INDIRECT("1:100")),1),"")),")",""),"(","")</f>
        <v/>
      </c>
    </row>
    <row r="3213" spans="8:8" x14ac:dyDescent="0.25">
      <c r="H3213" s="4" t="str">
        <f t="array" aca="1" ref="H3213" ca="1">SUBSTITUTE(SUBSTITUTE(_xlfn.TEXTJOIN("",TRUE,IF(ISERR(MID(C3213,ROW(INDIRECT("1:100")),1)+0),MID(C3213,ROW(INDIRECT("1:100")),1),"")),")",""),"(","")</f>
        <v/>
      </c>
    </row>
    <row r="3214" spans="8:8" x14ac:dyDescent="0.25">
      <c r="H3214" s="4" t="str">
        <f t="array" aca="1" ref="H3214" ca="1">SUBSTITUTE(SUBSTITUTE(_xlfn.TEXTJOIN("",TRUE,IF(ISERR(MID(C3214,ROW(INDIRECT("1:100")),1)+0),MID(C3214,ROW(INDIRECT("1:100")),1),"")),")",""),"(","")</f>
        <v/>
      </c>
    </row>
    <row r="3215" spans="8:8" x14ac:dyDescent="0.25">
      <c r="H3215" s="4" t="str">
        <f t="array" aca="1" ref="H3215" ca="1">SUBSTITUTE(SUBSTITUTE(_xlfn.TEXTJOIN("",TRUE,IF(ISERR(MID(C3215,ROW(INDIRECT("1:100")),1)+0),MID(C3215,ROW(INDIRECT("1:100")),1),"")),")",""),"(","")</f>
        <v/>
      </c>
    </row>
    <row r="3216" spans="8:8" x14ac:dyDescent="0.25">
      <c r="H3216" s="4" t="str">
        <f t="array" aca="1" ref="H3216" ca="1">SUBSTITUTE(SUBSTITUTE(_xlfn.TEXTJOIN("",TRUE,IF(ISERR(MID(C3216,ROW(INDIRECT("1:100")),1)+0),MID(C3216,ROW(INDIRECT("1:100")),1),"")),")",""),"(","")</f>
        <v/>
      </c>
    </row>
    <row r="3217" spans="8:8" x14ac:dyDescent="0.25">
      <c r="H3217" s="4" t="str">
        <f t="array" aca="1" ref="H3217" ca="1">SUBSTITUTE(SUBSTITUTE(_xlfn.TEXTJOIN("",TRUE,IF(ISERR(MID(C3217,ROW(INDIRECT("1:100")),1)+0),MID(C3217,ROW(INDIRECT("1:100")),1),"")),")",""),"(","")</f>
        <v/>
      </c>
    </row>
    <row r="3218" spans="8:8" x14ac:dyDescent="0.25">
      <c r="H3218" s="4" t="str">
        <f t="array" aca="1" ref="H3218" ca="1">SUBSTITUTE(SUBSTITUTE(_xlfn.TEXTJOIN("",TRUE,IF(ISERR(MID(C3218,ROW(INDIRECT("1:100")),1)+0),MID(C3218,ROW(INDIRECT("1:100")),1),"")),")",""),"(","")</f>
        <v/>
      </c>
    </row>
    <row r="3219" spans="8:8" x14ac:dyDescent="0.25">
      <c r="H3219" s="4" t="str">
        <f t="array" aca="1" ref="H3219" ca="1">SUBSTITUTE(SUBSTITUTE(_xlfn.TEXTJOIN("",TRUE,IF(ISERR(MID(C3219,ROW(INDIRECT("1:100")),1)+0),MID(C3219,ROW(INDIRECT("1:100")),1),"")),")",""),"(","")</f>
        <v/>
      </c>
    </row>
    <row r="3220" spans="8:8" x14ac:dyDescent="0.25">
      <c r="H3220" s="4" t="str">
        <f t="array" aca="1" ref="H3220" ca="1">SUBSTITUTE(SUBSTITUTE(_xlfn.TEXTJOIN("",TRUE,IF(ISERR(MID(C3220,ROW(INDIRECT("1:100")),1)+0),MID(C3220,ROW(INDIRECT("1:100")),1),"")),")",""),"(","")</f>
        <v/>
      </c>
    </row>
    <row r="3221" spans="8:8" x14ac:dyDescent="0.25">
      <c r="H3221" s="4" t="str">
        <f t="array" aca="1" ref="H3221" ca="1">SUBSTITUTE(SUBSTITUTE(_xlfn.TEXTJOIN("",TRUE,IF(ISERR(MID(C3221,ROW(INDIRECT("1:100")),1)+0),MID(C3221,ROW(INDIRECT("1:100")),1),"")),")",""),"(","")</f>
        <v/>
      </c>
    </row>
    <row r="3222" spans="8:8" x14ac:dyDescent="0.25">
      <c r="H3222" s="4" t="str">
        <f t="array" aca="1" ref="H3222" ca="1">SUBSTITUTE(SUBSTITUTE(_xlfn.TEXTJOIN("",TRUE,IF(ISERR(MID(C3222,ROW(INDIRECT("1:100")),1)+0),MID(C3222,ROW(INDIRECT("1:100")),1),"")),")",""),"(","")</f>
        <v/>
      </c>
    </row>
    <row r="3223" spans="8:8" x14ac:dyDescent="0.25">
      <c r="H3223" s="4" t="str">
        <f t="array" aca="1" ref="H3223" ca="1">SUBSTITUTE(SUBSTITUTE(_xlfn.TEXTJOIN("",TRUE,IF(ISERR(MID(C3223,ROW(INDIRECT("1:100")),1)+0),MID(C3223,ROW(INDIRECT("1:100")),1),"")),")",""),"(","")</f>
        <v/>
      </c>
    </row>
    <row r="3224" spans="8:8" x14ac:dyDescent="0.25">
      <c r="H3224" s="4" t="str">
        <f t="array" aca="1" ref="H3224" ca="1">SUBSTITUTE(SUBSTITUTE(_xlfn.TEXTJOIN("",TRUE,IF(ISERR(MID(C3224,ROW(INDIRECT("1:100")),1)+0),MID(C3224,ROW(INDIRECT("1:100")),1),"")),")",""),"(","")</f>
        <v/>
      </c>
    </row>
    <row r="3225" spans="8:8" x14ac:dyDescent="0.25">
      <c r="H3225" s="4" t="str">
        <f t="array" aca="1" ref="H3225" ca="1">SUBSTITUTE(SUBSTITUTE(_xlfn.TEXTJOIN("",TRUE,IF(ISERR(MID(C3225,ROW(INDIRECT("1:100")),1)+0),MID(C3225,ROW(INDIRECT("1:100")),1),"")),")",""),"(","")</f>
        <v/>
      </c>
    </row>
    <row r="3226" spans="8:8" x14ac:dyDescent="0.25">
      <c r="H3226" s="4" t="str">
        <f t="array" aca="1" ref="H3226" ca="1">SUBSTITUTE(SUBSTITUTE(_xlfn.TEXTJOIN("",TRUE,IF(ISERR(MID(C3226,ROW(INDIRECT("1:100")),1)+0),MID(C3226,ROW(INDIRECT("1:100")),1),"")),")",""),"(","")</f>
        <v/>
      </c>
    </row>
    <row r="3227" spans="8:8" x14ac:dyDescent="0.25">
      <c r="H3227" s="4" t="str">
        <f t="array" aca="1" ref="H3227" ca="1">SUBSTITUTE(SUBSTITUTE(_xlfn.TEXTJOIN("",TRUE,IF(ISERR(MID(C3227,ROW(INDIRECT("1:100")),1)+0),MID(C3227,ROW(INDIRECT("1:100")),1),"")),")",""),"(","")</f>
        <v/>
      </c>
    </row>
    <row r="3228" spans="8:8" x14ac:dyDescent="0.25">
      <c r="H3228" s="4" t="str">
        <f t="array" aca="1" ref="H3228" ca="1">SUBSTITUTE(SUBSTITUTE(_xlfn.TEXTJOIN("",TRUE,IF(ISERR(MID(C3228,ROW(INDIRECT("1:100")),1)+0),MID(C3228,ROW(INDIRECT("1:100")),1),"")),")",""),"(","")</f>
        <v/>
      </c>
    </row>
    <row r="3229" spans="8:8" x14ac:dyDescent="0.25">
      <c r="H3229" s="4" t="str">
        <f t="array" aca="1" ref="H3229" ca="1">SUBSTITUTE(SUBSTITUTE(_xlfn.TEXTJOIN("",TRUE,IF(ISERR(MID(C3229,ROW(INDIRECT("1:100")),1)+0),MID(C3229,ROW(INDIRECT("1:100")),1),"")),")",""),"(","")</f>
        <v/>
      </c>
    </row>
    <row r="3230" spans="8:8" x14ac:dyDescent="0.25">
      <c r="H3230" s="4" t="str">
        <f t="array" aca="1" ref="H3230" ca="1">SUBSTITUTE(SUBSTITUTE(_xlfn.TEXTJOIN("",TRUE,IF(ISERR(MID(C3230,ROW(INDIRECT("1:100")),1)+0),MID(C3230,ROW(INDIRECT("1:100")),1),"")),")",""),"(","")</f>
        <v/>
      </c>
    </row>
    <row r="3231" spans="8:8" x14ac:dyDescent="0.25">
      <c r="H3231" s="4" t="str">
        <f t="array" aca="1" ref="H3231" ca="1">SUBSTITUTE(SUBSTITUTE(_xlfn.TEXTJOIN("",TRUE,IF(ISERR(MID(C3231,ROW(INDIRECT("1:100")),1)+0),MID(C3231,ROW(INDIRECT("1:100")),1),"")),")",""),"(","")</f>
        <v/>
      </c>
    </row>
    <row r="3232" spans="8:8" x14ac:dyDescent="0.25">
      <c r="H3232" s="4" t="str">
        <f t="array" aca="1" ref="H3232" ca="1">SUBSTITUTE(SUBSTITUTE(_xlfn.TEXTJOIN("",TRUE,IF(ISERR(MID(C3232,ROW(INDIRECT("1:100")),1)+0),MID(C3232,ROW(INDIRECT("1:100")),1),"")),")",""),"(","")</f>
        <v/>
      </c>
    </row>
    <row r="3233" spans="8:8" x14ac:dyDescent="0.25">
      <c r="H3233" s="4" t="str">
        <f t="array" aca="1" ref="H3233" ca="1">SUBSTITUTE(SUBSTITUTE(_xlfn.TEXTJOIN("",TRUE,IF(ISERR(MID(C3233,ROW(INDIRECT("1:100")),1)+0),MID(C3233,ROW(INDIRECT("1:100")),1),"")),")",""),"(","")</f>
        <v/>
      </c>
    </row>
    <row r="3234" spans="8:8" x14ac:dyDescent="0.25">
      <c r="H3234" s="4" t="str">
        <f t="array" aca="1" ref="H3234" ca="1">SUBSTITUTE(SUBSTITUTE(_xlfn.TEXTJOIN("",TRUE,IF(ISERR(MID(C3234,ROW(INDIRECT("1:100")),1)+0),MID(C3234,ROW(INDIRECT("1:100")),1),"")),")",""),"(","")</f>
        <v/>
      </c>
    </row>
    <row r="3235" spans="8:8" x14ac:dyDescent="0.25">
      <c r="H3235" s="4" t="str">
        <f t="array" aca="1" ref="H3235" ca="1">SUBSTITUTE(SUBSTITUTE(_xlfn.TEXTJOIN("",TRUE,IF(ISERR(MID(C3235,ROW(INDIRECT("1:100")),1)+0),MID(C3235,ROW(INDIRECT("1:100")),1),"")),")",""),"(","")</f>
        <v/>
      </c>
    </row>
    <row r="3236" spans="8:8" x14ac:dyDescent="0.25">
      <c r="H3236" s="4" t="str">
        <f t="array" aca="1" ref="H3236" ca="1">SUBSTITUTE(SUBSTITUTE(_xlfn.TEXTJOIN("",TRUE,IF(ISERR(MID(C3236,ROW(INDIRECT("1:100")),1)+0),MID(C3236,ROW(INDIRECT("1:100")),1),"")),")",""),"(","")</f>
        <v/>
      </c>
    </row>
    <row r="3237" spans="8:8" x14ac:dyDescent="0.25">
      <c r="H3237" s="4" t="str">
        <f t="array" aca="1" ref="H3237" ca="1">SUBSTITUTE(SUBSTITUTE(_xlfn.TEXTJOIN("",TRUE,IF(ISERR(MID(C3237,ROW(INDIRECT("1:100")),1)+0),MID(C3237,ROW(INDIRECT("1:100")),1),"")),")",""),"(","")</f>
        <v/>
      </c>
    </row>
    <row r="3238" spans="8:8" x14ac:dyDescent="0.25">
      <c r="H3238" s="4" t="str">
        <f t="array" aca="1" ref="H3238" ca="1">SUBSTITUTE(SUBSTITUTE(_xlfn.TEXTJOIN("",TRUE,IF(ISERR(MID(C3238,ROW(INDIRECT("1:100")),1)+0),MID(C3238,ROW(INDIRECT("1:100")),1),"")),")",""),"(","")</f>
        <v/>
      </c>
    </row>
    <row r="3239" spans="8:8" x14ac:dyDescent="0.25">
      <c r="H3239" s="4" t="str">
        <f t="array" aca="1" ref="H3239" ca="1">SUBSTITUTE(SUBSTITUTE(_xlfn.TEXTJOIN("",TRUE,IF(ISERR(MID(C3239,ROW(INDIRECT("1:100")),1)+0),MID(C3239,ROW(INDIRECT("1:100")),1),"")),")",""),"(","")</f>
        <v/>
      </c>
    </row>
    <row r="3240" spans="8:8" x14ac:dyDescent="0.25">
      <c r="H3240" s="4" t="str">
        <f t="array" aca="1" ref="H3240" ca="1">SUBSTITUTE(SUBSTITUTE(_xlfn.TEXTJOIN("",TRUE,IF(ISERR(MID(C3240,ROW(INDIRECT("1:100")),1)+0),MID(C3240,ROW(INDIRECT("1:100")),1),"")),")",""),"(","")</f>
        <v/>
      </c>
    </row>
    <row r="3241" spans="8:8" x14ac:dyDescent="0.25">
      <c r="H3241" s="4" t="str">
        <f t="array" aca="1" ref="H3241" ca="1">SUBSTITUTE(SUBSTITUTE(_xlfn.TEXTJOIN("",TRUE,IF(ISERR(MID(C3241,ROW(INDIRECT("1:100")),1)+0),MID(C3241,ROW(INDIRECT("1:100")),1),"")),")",""),"(","")</f>
        <v/>
      </c>
    </row>
    <row r="3242" spans="8:8" x14ac:dyDescent="0.25">
      <c r="H3242" s="4" t="str">
        <f t="array" aca="1" ref="H3242" ca="1">SUBSTITUTE(SUBSTITUTE(_xlfn.TEXTJOIN("",TRUE,IF(ISERR(MID(C3242,ROW(INDIRECT("1:100")),1)+0),MID(C3242,ROW(INDIRECT("1:100")),1),"")),")",""),"(","")</f>
        <v/>
      </c>
    </row>
    <row r="3243" spans="8:8" x14ac:dyDescent="0.25">
      <c r="H3243" s="4" t="str">
        <f t="array" aca="1" ref="H3243" ca="1">SUBSTITUTE(SUBSTITUTE(_xlfn.TEXTJOIN("",TRUE,IF(ISERR(MID(C3243,ROW(INDIRECT("1:100")),1)+0),MID(C3243,ROW(INDIRECT("1:100")),1),"")),")",""),"(","")</f>
        <v/>
      </c>
    </row>
    <row r="3244" spans="8:8" x14ac:dyDescent="0.25">
      <c r="H3244" s="4" t="str">
        <f t="array" aca="1" ref="H3244" ca="1">SUBSTITUTE(SUBSTITUTE(_xlfn.TEXTJOIN("",TRUE,IF(ISERR(MID(C3244,ROW(INDIRECT("1:100")),1)+0),MID(C3244,ROW(INDIRECT("1:100")),1),"")),")",""),"(","")</f>
        <v/>
      </c>
    </row>
    <row r="3245" spans="8:8" x14ac:dyDescent="0.25">
      <c r="H3245" s="4" t="str">
        <f t="array" aca="1" ref="H3245" ca="1">SUBSTITUTE(SUBSTITUTE(_xlfn.TEXTJOIN("",TRUE,IF(ISERR(MID(C3245,ROW(INDIRECT("1:100")),1)+0),MID(C3245,ROW(INDIRECT("1:100")),1),"")),")",""),"(","")</f>
        <v/>
      </c>
    </row>
    <row r="3246" spans="8:8" x14ac:dyDescent="0.25">
      <c r="H3246" s="4" t="str">
        <f t="array" aca="1" ref="H3246" ca="1">SUBSTITUTE(SUBSTITUTE(_xlfn.TEXTJOIN("",TRUE,IF(ISERR(MID(C3246,ROW(INDIRECT("1:100")),1)+0),MID(C3246,ROW(INDIRECT("1:100")),1),"")),")",""),"(","")</f>
        <v/>
      </c>
    </row>
    <row r="3247" spans="8:8" x14ac:dyDescent="0.25">
      <c r="H3247" s="4" t="str">
        <f t="array" aca="1" ref="H3247" ca="1">SUBSTITUTE(SUBSTITUTE(_xlfn.TEXTJOIN("",TRUE,IF(ISERR(MID(C3247,ROW(INDIRECT("1:100")),1)+0),MID(C3247,ROW(INDIRECT("1:100")),1),"")),")",""),"(","")</f>
        <v/>
      </c>
    </row>
    <row r="3248" spans="8:8" x14ac:dyDescent="0.25">
      <c r="H3248" s="4" t="str">
        <f t="array" aca="1" ref="H3248" ca="1">SUBSTITUTE(SUBSTITUTE(_xlfn.TEXTJOIN("",TRUE,IF(ISERR(MID(C3248,ROW(INDIRECT("1:100")),1)+0),MID(C3248,ROW(INDIRECT("1:100")),1),"")),")",""),"(","")</f>
        <v/>
      </c>
    </row>
    <row r="3249" spans="8:8" x14ac:dyDescent="0.25">
      <c r="H3249" s="4" t="str">
        <f t="array" aca="1" ref="H3249" ca="1">SUBSTITUTE(SUBSTITUTE(_xlfn.TEXTJOIN("",TRUE,IF(ISERR(MID(C3249,ROW(INDIRECT("1:100")),1)+0),MID(C3249,ROW(INDIRECT("1:100")),1),"")),")",""),"(","")</f>
        <v/>
      </c>
    </row>
    <row r="3250" spans="8:8" x14ac:dyDescent="0.25">
      <c r="H3250" s="4" t="str">
        <f t="array" aca="1" ref="H3250" ca="1">SUBSTITUTE(SUBSTITUTE(_xlfn.TEXTJOIN("",TRUE,IF(ISERR(MID(C3250,ROW(INDIRECT("1:100")),1)+0),MID(C3250,ROW(INDIRECT("1:100")),1),"")),")",""),"(","")</f>
        <v/>
      </c>
    </row>
    <row r="3251" spans="8:8" x14ac:dyDescent="0.25">
      <c r="H3251" s="4" t="str">
        <f t="array" aca="1" ref="H3251" ca="1">SUBSTITUTE(SUBSTITUTE(_xlfn.TEXTJOIN("",TRUE,IF(ISERR(MID(C3251,ROW(INDIRECT("1:100")),1)+0),MID(C3251,ROW(INDIRECT("1:100")),1),"")),")",""),"(","")</f>
        <v/>
      </c>
    </row>
    <row r="3252" spans="8:8" x14ac:dyDescent="0.25">
      <c r="H3252" s="4" t="str">
        <f t="array" aca="1" ref="H3252" ca="1">SUBSTITUTE(SUBSTITUTE(_xlfn.TEXTJOIN("",TRUE,IF(ISERR(MID(C3252,ROW(INDIRECT("1:100")),1)+0),MID(C3252,ROW(INDIRECT("1:100")),1),"")),")",""),"(","")</f>
        <v/>
      </c>
    </row>
    <row r="3253" spans="8:8" x14ac:dyDescent="0.25">
      <c r="H3253" s="4" t="str">
        <f t="array" aca="1" ref="H3253" ca="1">SUBSTITUTE(SUBSTITUTE(_xlfn.TEXTJOIN("",TRUE,IF(ISERR(MID(C3253,ROW(INDIRECT("1:100")),1)+0),MID(C3253,ROW(INDIRECT("1:100")),1),"")),")",""),"(","")</f>
        <v/>
      </c>
    </row>
    <row r="3254" spans="8:8" x14ac:dyDescent="0.25">
      <c r="H3254" s="4" t="str">
        <f t="array" aca="1" ref="H3254" ca="1">SUBSTITUTE(SUBSTITUTE(_xlfn.TEXTJOIN("",TRUE,IF(ISERR(MID(C3254,ROW(INDIRECT("1:100")),1)+0),MID(C3254,ROW(INDIRECT("1:100")),1),"")),")",""),"(","")</f>
        <v/>
      </c>
    </row>
    <row r="3255" spans="8:8" x14ac:dyDescent="0.25">
      <c r="H3255" s="4" t="str">
        <f t="array" aca="1" ref="H3255" ca="1">SUBSTITUTE(SUBSTITUTE(_xlfn.TEXTJOIN("",TRUE,IF(ISERR(MID(C3255,ROW(INDIRECT("1:100")),1)+0),MID(C3255,ROW(INDIRECT("1:100")),1),"")),")",""),"(","")</f>
        <v/>
      </c>
    </row>
    <row r="3256" spans="8:8" x14ac:dyDescent="0.25">
      <c r="H3256" s="4" t="str">
        <f t="array" aca="1" ref="H3256" ca="1">SUBSTITUTE(SUBSTITUTE(_xlfn.TEXTJOIN("",TRUE,IF(ISERR(MID(C3256,ROW(INDIRECT("1:100")),1)+0),MID(C3256,ROW(INDIRECT("1:100")),1),"")),")",""),"(","")</f>
        <v/>
      </c>
    </row>
    <row r="3257" spans="8:8" x14ac:dyDescent="0.25">
      <c r="H3257" s="4" t="str">
        <f t="array" aca="1" ref="H3257" ca="1">SUBSTITUTE(SUBSTITUTE(_xlfn.TEXTJOIN("",TRUE,IF(ISERR(MID(C3257,ROW(INDIRECT("1:100")),1)+0),MID(C3257,ROW(INDIRECT("1:100")),1),"")),")",""),"(","")</f>
        <v/>
      </c>
    </row>
    <row r="3258" spans="8:8" x14ac:dyDescent="0.25">
      <c r="H3258" s="4" t="str">
        <f t="array" aca="1" ref="H3258" ca="1">SUBSTITUTE(SUBSTITUTE(_xlfn.TEXTJOIN("",TRUE,IF(ISERR(MID(C3258,ROW(INDIRECT("1:100")),1)+0),MID(C3258,ROW(INDIRECT("1:100")),1),"")),")",""),"(","")</f>
        <v/>
      </c>
    </row>
    <row r="3259" spans="8:8" x14ac:dyDescent="0.25">
      <c r="H3259" s="4" t="str">
        <f t="array" aca="1" ref="H3259" ca="1">SUBSTITUTE(SUBSTITUTE(_xlfn.TEXTJOIN("",TRUE,IF(ISERR(MID(C3259,ROW(INDIRECT("1:100")),1)+0),MID(C3259,ROW(INDIRECT("1:100")),1),"")),")",""),"(","")</f>
        <v/>
      </c>
    </row>
    <row r="3260" spans="8:8" x14ac:dyDescent="0.25">
      <c r="H3260" s="4" t="str">
        <f t="array" aca="1" ref="H3260" ca="1">SUBSTITUTE(SUBSTITUTE(_xlfn.TEXTJOIN("",TRUE,IF(ISERR(MID(C3260,ROW(INDIRECT("1:100")),1)+0),MID(C3260,ROW(INDIRECT("1:100")),1),"")),")",""),"(","")</f>
        <v/>
      </c>
    </row>
    <row r="3261" spans="8:8" x14ac:dyDescent="0.25">
      <c r="H3261" s="4" t="str">
        <f t="array" aca="1" ref="H3261" ca="1">SUBSTITUTE(SUBSTITUTE(_xlfn.TEXTJOIN("",TRUE,IF(ISERR(MID(C3261,ROW(INDIRECT("1:100")),1)+0),MID(C3261,ROW(INDIRECT("1:100")),1),"")),")",""),"(","")</f>
        <v/>
      </c>
    </row>
    <row r="3262" spans="8:8" x14ac:dyDescent="0.25">
      <c r="H3262" s="4" t="str">
        <f t="array" aca="1" ref="H3262" ca="1">SUBSTITUTE(SUBSTITUTE(_xlfn.TEXTJOIN("",TRUE,IF(ISERR(MID(C3262,ROW(INDIRECT("1:100")),1)+0),MID(C3262,ROW(INDIRECT("1:100")),1),"")),")",""),"(","")</f>
        <v/>
      </c>
    </row>
    <row r="3263" spans="8:8" x14ac:dyDescent="0.25">
      <c r="H3263" s="4" t="str">
        <f t="array" aca="1" ref="H3263" ca="1">SUBSTITUTE(SUBSTITUTE(_xlfn.TEXTJOIN("",TRUE,IF(ISERR(MID(C3263,ROW(INDIRECT("1:100")),1)+0),MID(C3263,ROW(INDIRECT("1:100")),1),"")),")",""),"(","")</f>
        <v/>
      </c>
    </row>
    <row r="3264" spans="8:8" x14ac:dyDescent="0.25">
      <c r="H3264" s="4" t="str">
        <f t="array" aca="1" ref="H3264" ca="1">SUBSTITUTE(SUBSTITUTE(_xlfn.TEXTJOIN("",TRUE,IF(ISERR(MID(C3264,ROW(INDIRECT("1:100")),1)+0),MID(C3264,ROW(INDIRECT("1:100")),1),"")),")",""),"(","")</f>
        <v/>
      </c>
    </row>
    <row r="3265" spans="8:8" x14ac:dyDescent="0.25">
      <c r="H3265" s="4" t="str">
        <f t="array" aca="1" ref="H3265" ca="1">SUBSTITUTE(SUBSTITUTE(_xlfn.TEXTJOIN("",TRUE,IF(ISERR(MID(C3265,ROW(INDIRECT("1:100")),1)+0),MID(C3265,ROW(INDIRECT("1:100")),1),"")),")",""),"(","")</f>
        <v/>
      </c>
    </row>
    <row r="3266" spans="8:8" x14ac:dyDescent="0.25">
      <c r="H3266" s="4" t="str">
        <f t="array" aca="1" ref="H3266" ca="1">SUBSTITUTE(SUBSTITUTE(_xlfn.TEXTJOIN("",TRUE,IF(ISERR(MID(C3266,ROW(INDIRECT("1:100")),1)+0),MID(C3266,ROW(INDIRECT("1:100")),1),"")),")",""),"(","")</f>
        <v/>
      </c>
    </row>
    <row r="3267" spans="8:8" x14ac:dyDescent="0.25">
      <c r="H3267" s="4" t="str">
        <f t="array" aca="1" ref="H3267" ca="1">SUBSTITUTE(SUBSTITUTE(_xlfn.TEXTJOIN("",TRUE,IF(ISERR(MID(C3267,ROW(INDIRECT("1:100")),1)+0),MID(C3267,ROW(INDIRECT("1:100")),1),"")),")",""),"(","")</f>
        <v/>
      </c>
    </row>
    <row r="3268" spans="8:8" x14ac:dyDescent="0.25">
      <c r="H3268" s="4" t="str">
        <f t="array" aca="1" ref="H3268" ca="1">SUBSTITUTE(SUBSTITUTE(_xlfn.TEXTJOIN("",TRUE,IF(ISERR(MID(C3268,ROW(INDIRECT("1:100")),1)+0),MID(C3268,ROW(INDIRECT("1:100")),1),"")),")",""),"(","")</f>
        <v/>
      </c>
    </row>
    <row r="3269" spans="8:8" x14ac:dyDescent="0.25">
      <c r="H3269" s="4" t="str">
        <f t="array" aca="1" ref="H3269" ca="1">SUBSTITUTE(SUBSTITUTE(_xlfn.TEXTJOIN("",TRUE,IF(ISERR(MID(C3269,ROW(INDIRECT("1:100")),1)+0),MID(C3269,ROW(INDIRECT("1:100")),1),"")),")",""),"(","")</f>
        <v/>
      </c>
    </row>
    <row r="3270" spans="8:8" x14ac:dyDescent="0.25">
      <c r="H3270" s="4" t="str">
        <f t="array" aca="1" ref="H3270" ca="1">SUBSTITUTE(SUBSTITUTE(_xlfn.TEXTJOIN("",TRUE,IF(ISERR(MID(C3270,ROW(INDIRECT("1:100")),1)+0),MID(C3270,ROW(INDIRECT("1:100")),1),"")),")",""),"(","")</f>
        <v/>
      </c>
    </row>
    <row r="3271" spans="8:8" x14ac:dyDescent="0.25">
      <c r="H3271" s="4" t="str">
        <f t="array" aca="1" ref="H3271" ca="1">SUBSTITUTE(SUBSTITUTE(_xlfn.TEXTJOIN("",TRUE,IF(ISERR(MID(C3271,ROW(INDIRECT("1:100")),1)+0),MID(C3271,ROW(INDIRECT("1:100")),1),"")),")",""),"(","")</f>
        <v/>
      </c>
    </row>
    <row r="3272" spans="8:8" x14ac:dyDescent="0.25">
      <c r="H3272" s="4" t="str">
        <f t="array" aca="1" ref="H3272" ca="1">SUBSTITUTE(SUBSTITUTE(_xlfn.TEXTJOIN("",TRUE,IF(ISERR(MID(C3272,ROW(INDIRECT("1:100")),1)+0),MID(C3272,ROW(INDIRECT("1:100")),1),"")),")",""),"(","")</f>
        <v/>
      </c>
    </row>
    <row r="3273" spans="8:8" x14ac:dyDescent="0.25">
      <c r="H3273" s="4" t="str">
        <f t="array" aca="1" ref="H3273" ca="1">SUBSTITUTE(SUBSTITUTE(_xlfn.TEXTJOIN("",TRUE,IF(ISERR(MID(C3273,ROW(INDIRECT("1:100")),1)+0),MID(C3273,ROW(INDIRECT("1:100")),1),"")),")",""),"(","")</f>
        <v/>
      </c>
    </row>
    <row r="3274" spans="8:8" x14ac:dyDescent="0.25">
      <c r="H3274" s="4" t="str">
        <f t="array" aca="1" ref="H3274" ca="1">SUBSTITUTE(SUBSTITUTE(_xlfn.TEXTJOIN("",TRUE,IF(ISERR(MID(C3274,ROW(INDIRECT("1:100")),1)+0),MID(C3274,ROW(INDIRECT("1:100")),1),"")),")",""),"(","")</f>
        <v/>
      </c>
    </row>
    <row r="3275" spans="8:8" x14ac:dyDescent="0.25">
      <c r="H3275" s="4" t="str">
        <f t="array" aca="1" ref="H3275" ca="1">SUBSTITUTE(SUBSTITUTE(_xlfn.TEXTJOIN("",TRUE,IF(ISERR(MID(C3275,ROW(INDIRECT("1:100")),1)+0),MID(C3275,ROW(INDIRECT("1:100")),1),"")),")",""),"(","")</f>
        <v/>
      </c>
    </row>
    <row r="3276" spans="8:8" x14ac:dyDescent="0.25">
      <c r="H3276" s="4" t="str">
        <f t="array" aca="1" ref="H3276" ca="1">SUBSTITUTE(SUBSTITUTE(_xlfn.TEXTJOIN("",TRUE,IF(ISERR(MID(C3276,ROW(INDIRECT("1:100")),1)+0),MID(C3276,ROW(INDIRECT("1:100")),1),"")),")",""),"(","")</f>
        <v/>
      </c>
    </row>
    <row r="3277" spans="8:8" x14ac:dyDescent="0.25">
      <c r="H3277" s="4" t="str">
        <f t="array" aca="1" ref="H3277" ca="1">SUBSTITUTE(SUBSTITUTE(_xlfn.TEXTJOIN("",TRUE,IF(ISERR(MID(C3277,ROW(INDIRECT("1:100")),1)+0),MID(C3277,ROW(INDIRECT("1:100")),1),"")),")",""),"(","")</f>
        <v/>
      </c>
    </row>
    <row r="3278" spans="8:8" x14ac:dyDescent="0.25">
      <c r="H3278" s="4" t="str">
        <f t="array" aca="1" ref="H3278" ca="1">SUBSTITUTE(SUBSTITUTE(_xlfn.TEXTJOIN("",TRUE,IF(ISERR(MID(C3278,ROW(INDIRECT("1:100")),1)+0),MID(C3278,ROW(INDIRECT("1:100")),1),"")),")",""),"(","")</f>
        <v/>
      </c>
    </row>
    <row r="3279" spans="8:8" x14ac:dyDescent="0.25">
      <c r="H3279" s="4" t="str">
        <f t="array" aca="1" ref="H3279" ca="1">SUBSTITUTE(SUBSTITUTE(_xlfn.TEXTJOIN("",TRUE,IF(ISERR(MID(C3279,ROW(INDIRECT("1:100")),1)+0),MID(C3279,ROW(INDIRECT("1:100")),1),"")),")",""),"(","")</f>
        <v/>
      </c>
    </row>
    <row r="3280" spans="8:8" x14ac:dyDescent="0.25">
      <c r="H3280" s="4" t="str">
        <f t="array" aca="1" ref="H3280" ca="1">SUBSTITUTE(SUBSTITUTE(_xlfn.TEXTJOIN("",TRUE,IF(ISERR(MID(C3280,ROW(INDIRECT("1:100")),1)+0),MID(C3280,ROW(INDIRECT("1:100")),1),"")),")",""),"(","")</f>
        <v/>
      </c>
    </row>
    <row r="3281" spans="8:8" x14ac:dyDescent="0.25">
      <c r="H3281" s="4" t="str">
        <f t="array" aca="1" ref="H3281" ca="1">SUBSTITUTE(SUBSTITUTE(_xlfn.TEXTJOIN("",TRUE,IF(ISERR(MID(C3281,ROW(INDIRECT("1:100")),1)+0),MID(C3281,ROW(INDIRECT("1:100")),1),"")),")",""),"(","")</f>
        <v/>
      </c>
    </row>
    <row r="3282" spans="8:8" x14ac:dyDescent="0.25">
      <c r="H3282" s="4" t="str">
        <f t="array" aca="1" ref="H3282" ca="1">SUBSTITUTE(SUBSTITUTE(_xlfn.TEXTJOIN("",TRUE,IF(ISERR(MID(C3282,ROW(INDIRECT("1:100")),1)+0),MID(C3282,ROW(INDIRECT("1:100")),1),"")),")",""),"(","")</f>
        <v/>
      </c>
    </row>
    <row r="3283" spans="8:8" x14ac:dyDescent="0.25">
      <c r="H3283" s="4" t="str">
        <f t="array" aca="1" ref="H3283" ca="1">SUBSTITUTE(SUBSTITUTE(_xlfn.TEXTJOIN("",TRUE,IF(ISERR(MID(C3283,ROW(INDIRECT("1:100")),1)+0),MID(C3283,ROW(INDIRECT("1:100")),1),"")),")",""),"(","")</f>
        <v/>
      </c>
    </row>
    <row r="3284" spans="8:8" x14ac:dyDescent="0.25">
      <c r="H3284" s="4" t="str">
        <f t="array" aca="1" ref="H3284" ca="1">SUBSTITUTE(SUBSTITUTE(_xlfn.TEXTJOIN("",TRUE,IF(ISERR(MID(C3284,ROW(INDIRECT("1:100")),1)+0),MID(C3284,ROW(INDIRECT("1:100")),1),"")),")",""),"(","")</f>
        <v/>
      </c>
    </row>
    <row r="3285" spans="8:8" x14ac:dyDescent="0.25">
      <c r="H3285" s="4" t="str">
        <f t="array" aca="1" ref="H3285" ca="1">SUBSTITUTE(SUBSTITUTE(_xlfn.TEXTJOIN("",TRUE,IF(ISERR(MID(C3285,ROW(INDIRECT("1:100")),1)+0),MID(C3285,ROW(INDIRECT("1:100")),1),"")),")",""),"(","")</f>
        <v/>
      </c>
    </row>
    <row r="3286" spans="8:8" x14ac:dyDescent="0.25">
      <c r="H3286" s="4" t="str">
        <f t="array" aca="1" ref="H3286" ca="1">SUBSTITUTE(SUBSTITUTE(_xlfn.TEXTJOIN("",TRUE,IF(ISERR(MID(C3286,ROW(INDIRECT("1:100")),1)+0),MID(C3286,ROW(INDIRECT("1:100")),1),"")),")",""),"(","")</f>
        <v/>
      </c>
    </row>
    <row r="3287" spans="8:8" x14ac:dyDescent="0.25">
      <c r="H3287" s="4" t="str">
        <f t="array" aca="1" ref="H3287" ca="1">SUBSTITUTE(SUBSTITUTE(_xlfn.TEXTJOIN("",TRUE,IF(ISERR(MID(C3287,ROW(INDIRECT("1:100")),1)+0),MID(C3287,ROW(INDIRECT("1:100")),1),"")),")",""),"(","")</f>
        <v/>
      </c>
    </row>
    <row r="3288" spans="8:8" x14ac:dyDescent="0.25">
      <c r="H3288" s="4" t="str">
        <f t="array" aca="1" ref="H3288" ca="1">SUBSTITUTE(SUBSTITUTE(_xlfn.TEXTJOIN("",TRUE,IF(ISERR(MID(C3288,ROW(INDIRECT("1:100")),1)+0),MID(C3288,ROW(INDIRECT("1:100")),1),"")),")",""),"(","")</f>
        <v/>
      </c>
    </row>
    <row r="3289" spans="8:8" x14ac:dyDescent="0.25">
      <c r="H3289" s="4" t="str">
        <f t="array" aca="1" ref="H3289" ca="1">SUBSTITUTE(SUBSTITUTE(_xlfn.TEXTJOIN("",TRUE,IF(ISERR(MID(C3289,ROW(INDIRECT("1:100")),1)+0),MID(C3289,ROW(INDIRECT("1:100")),1),"")),")",""),"(","")</f>
        <v/>
      </c>
    </row>
    <row r="3290" spans="8:8" x14ac:dyDescent="0.25">
      <c r="H3290" s="4" t="str">
        <f t="array" aca="1" ref="H3290" ca="1">SUBSTITUTE(SUBSTITUTE(_xlfn.TEXTJOIN("",TRUE,IF(ISERR(MID(C3290,ROW(INDIRECT("1:100")),1)+0),MID(C3290,ROW(INDIRECT("1:100")),1),"")),")",""),"(","")</f>
        <v/>
      </c>
    </row>
    <row r="3291" spans="8:8" x14ac:dyDescent="0.25">
      <c r="H3291" s="4" t="str">
        <f t="array" aca="1" ref="H3291" ca="1">SUBSTITUTE(SUBSTITUTE(_xlfn.TEXTJOIN("",TRUE,IF(ISERR(MID(C3291,ROW(INDIRECT("1:100")),1)+0),MID(C3291,ROW(INDIRECT("1:100")),1),"")),")",""),"(","")</f>
        <v/>
      </c>
    </row>
    <row r="3292" spans="8:8" x14ac:dyDescent="0.25">
      <c r="H3292" s="4" t="str">
        <f t="array" aca="1" ref="H3292" ca="1">SUBSTITUTE(SUBSTITUTE(_xlfn.TEXTJOIN("",TRUE,IF(ISERR(MID(C3292,ROW(INDIRECT("1:100")),1)+0),MID(C3292,ROW(INDIRECT("1:100")),1),"")),")",""),"(","")</f>
        <v/>
      </c>
    </row>
    <row r="3293" spans="8:8" x14ac:dyDescent="0.25">
      <c r="H3293" s="4" t="str">
        <f t="array" aca="1" ref="H3293" ca="1">SUBSTITUTE(SUBSTITUTE(_xlfn.TEXTJOIN("",TRUE,IF(ISERR(MID(C3293,ROW(INDIRECT("1:100")),1)+0),MID(C3293,ROW(INDIRECT("1:100")),1),"")),")",""),"(","")</f>
        <v/>
      </c>
    </row>
    <row r="3294" spans="8:8" x14ac:dyDescent="0.25">
      <c r="H3294" s="4" t="str">
        <f t="array" aca="1" ref="H3294" ca="1">SUBSTITUTE(SUBSTITUTE(_xlfn.TEXTJOIN("",TRUE,IF(ISERR(MID(C3294,ROW(INDIRECT("1:100")),1)+0),MID(C3294,ROW(INDIRECT("1:100")),1),"")),")",""),"(","")</f>
        <v/>
      </c>
    </row>
    <row r="3295" spans="8:8" x14ac:dyDescent="0.25">
      <c r="H3295" s="4" t="str">
        <f t="array" aca="1" ref="H3295" ca="1">SUBSTITUTE(SUBSTITUTE(_xlfn.TEXTJOIN("",TRUE,IF(ISERR(MID(C3295,ROW(INDIRECT("1:100")),1)+0),MID(C3295,ROW(INDIRECT("1:100")),1),"")),")",""),"(","")</f>
        <v/>
      </c>
    </row>
    <row r="3296" spans="8:8" x14ac:dyDescent="0.25">
      <c r="H3296" s="4" t="str">
        <f t="array" aca="1" ref="H3296" ca="1">SUBSTITUTE(SUBSTITUTE(_xlfn.TEXTJOIN("",TRUE,IF(ISERR(MID(C3296,ROW(INDIRECT("1:100")),1)+0),MID(C3296,ROW(INDIRECT("1:100")),1),"")),")",""),"(","")</f>
        <v/>
      </c>
    </row>
    <row r="3297" spans="8:8" x14ac:dyDescent="0.25">
      <c r="H3297" s="4" t="str">
        <f t="array" aca="1" ref="H3297" ca="1">SUBSTITUTE(SUBSTITUTE(_xlfn.TEXTJOIN("",TRUE,IF(ISERR(MID(C3297,ROW(INDIRECT("1:100")),1)+0),MID(C3297,ROW(INDIRECT("1:100")),1),"")),")",""),"(","")</f>
        <v/>
      </c>
    </row>
    <row r="3298" spans="8:8" x14ac:dyDescent="0.25">
      <c r="H3298" s="4" t="str">
        <f t="array" aca="1" ref="H3298" ca="1">SUBSTITUTE(SUBSTITUTE(_xlfn.TEXTJOIN("",TRUE,IF(ISERR(MID(C3298,ROW(INDIRECT("1:100")),1)+0),MID(C3298,ROW(INDIRECT("1:100")),1),"")),")",""),"(","")</f>
        <v/>
      </c>
    </row>
    <row r="3299" spans="8:8" x14ac:dyDescent="0.25">
      <c r="H3299" s="4" t="str">
        <f t="array" aca="1" ref="H3299" ca="1">SUBSTITUTE(SUBSTITUTE(_xlfn.TEXTJOIN("",TRUE,IF(ISERR(MID(C3299,ROW(INDIRECT("1:100")),1)+0),MID(C3299,ROW(INDIRECT("1:100")),1),"")),")",""),"(","")</f>
        <v/>
      </c>
    </row>
    <row r="3300" spans="8:8" x14ac:dyDescent="0.25">
      <c r="H3300" s="4" t="str">
        <f t="array" aca="1" ref="H3300" ca="1">SUBSTITUTE(SUBSTITUTE(_xlfn.TEXTJOIN("",TRUE,IF(ISERR(MID(C3300,ROW(INDIRECT("1:100")),1)+0),MID(C3300,ROW(INDIRECT("1:100")),1),"")),")",""),"(","")</f>
        <v/>
      </c>
    </row>
    <row r="3301" spans="8:8" x14ac:dyDescent="0.25">
      <c r="H3301" s="4" t="str">
        <f t="array" aca="1" ref="H3301" ca="1">SUBSTITUTE(SUBSTITUTE(_xlfn.TEXTJOIN("",TRUE,IF(ISERR(MID(C3301,ROW(INDIRECT("1:100")),1)+0),MID(C3301,ROW(INDIRECT("1:100")),1),"")),")",""),"(","")</f>
        <v/>
      </c>
    </row>
    <row r="3302" spans="8:8" x14ac:dyDescent="0.25">
      <c r="H3302" s="4" t="str">
        <f t="array" aca="1" ref="H3302" ca="1">SUBSTITUTE(SUBSTITUTE(_xlfn.TEXTJOIN("",TRUE,IF(ISERR(MID(C3302,ROW(INDIRECT("1:100")),1)+0),MID(C3302,ROW(INDIRECT("1:100")),1),"")),")",""),"(","")</f>
        <v/>
      </c>
    </row>
    <row r="3303" spans="8:8" x14ac:dyDescent="0.25">
      <c r="H3303" s="4" t="str">
        <f t="array" aca="1" ref="H3303" ca="1">SUBSTITUTE(SUBSTITUTE(_xlfn.TEXTJOIN("",TRUE,IF(ISERR(MID(C3303,ROW(INDIRECT("1:100")),1)+0),MID(C3303,ROW(INDIRECT("1:100")),1),"")),")",""),"(","")</f>
        <v/>
      </c>
    </row>
    <row r="3304" spans="8:8" x14ac:dyDescent="0.25">
      <c r="H3304" s="4" t="str">
        <f t="array" aca="1" ref="H3304" ca="1">SUBSTITUTE(SUBSTITUTE(_xlfn.TEXTJOIN("",TRUE,IF(ISERR(MID(C3304,ROW(INDIRECT("1:100")),1)+0),MID(C3304,ROW(INDIRECT("1:100")),1),"")),")",""),"(","")</f>
        <v/>
      </c>
    </row>
    <row r="3305" spans="8:8" x14ac:dyDescent="0.25">
      <c r="H3305" s="4" t="str">
        <f t="array" aca="1" ref="H3305" ca="1">SUBSTITUTE(SUBSTITUTE(_xlfn.TEXTJOIN("",TRUE,IF(ISERR(MID(C3305,ROW(INDIRECT("1:100")),1)+0),MID(C3305,ROW(INDIRECT("1:100")),1),"")),")",""),"(","")</f>
        <v/>
      </c>
    </row>
    <row r="3306" spans="8:8" x14ac:dyDescent="0.25">
      <c r="H3306" s="4" t="str">
        <f t="array" aca="1" ref="H3306" ca="1">SUBSTITUTE(SUBSTITUTE(_xlfn.TEXTJOIN("",TRUE,IF(ISERR(MID(C3306,ROW(INDIRECT("1:100")),1)+0),MID(C3306,ROW(INDIRECT("1:100")),1),"")),")",""),"(","")</f>
        <v/>
      </c>
    </row>
    <row r="3307" spans="8:8" x14ac:dyDescent="0.25">
      <c r="H3307" s="4" t="str">
        <f t="array" aca="1" ref="H3307" ca="1">SUBSTITUTE(SUBSTITUTE(_xlfn.TEXTJOIN("",TRUE,IF(ISERR(MID(C3307,ROW(INDIRECT("1:100")),1)+0),MID(C3307,ROW(INDIRECT("1:100")),1),"")),")",""),"(","")</f>
        <v/>
      </c>
    </row>
    <row r="3308" spans="8:8" x14ac:dyDescent="0.25">
      <c r="H3308" s="4" t="str">
        <f t="array" aca="1" ref="H3308" ca="1">SUBSTITUTE(SUBSTITUTE(_xlfn.TEXTJOIN("",TRUE,IF(ISERR(MID(C3308,ROW(INDIRECT("1:100")),1)+0),MID(C3308,ROW(INDIRECT("1:100")),1),"")),")",""),"(","")</f>
        <v/>
      </c>
    </row>
    <row r="3309" spans="8:8" x14ac:dyDescent="0.25">
      <c r="H3309" s="4" t="str">
        <f t="array" aca="1" ref="H3309" ca="1">SUBSTITUTE(SUBSTITUTE(_xlfn.TEXTJOIN("",TRUE,IF(ISERR(MID(C3309,ROW(INDIRECT("1:100")),1)+0),MID(C3309,ROW(INDIRECT("1:100")),1),"")),")",""),"(","")</f>
        <v/>
      </c>
    </row>
    <row r="3310" spans="8:8" x14ac:dyDescent="0.25">
      <c r="H3310" s="4" t="str">
        <f t="array" aca="1" ref="H3310" ca="1">SUBSTITUTE(SUBSTITUTE(_xlfn.TEXTJOIN("",TRUE,IF(ISERR(MID(C3310,ROW(INDIRECT("1:100")),1)+0),MID(C3310,ROW(INDIRECT("1:100")),1),"")),")",""),"(","")</f>
        <v/>
      </c>
    </row>
    <row r="3311" spans="8:8" x14ac:dyDescent="0.25">
      <c r="H3311" s="4" t="str">
        <f t="array" aca="1" ref="H3311" ca="1">SUBSTITUTE(SUBSTITUTE(_xlfn.TEXTJOIN("",TRUE,IF(ISERR(MID(C3311,ROW(INDIRECT("1:100")),1)+0),MID(C3311,ROW(INDIRECT("1:100")),1),"")),")",""),"(","")</f>
        <v/>
      </c>
    </row>
    <row r="3312" spans="8:8" x14ac:dyDescent="0.25">
      <c r="H3312" s="4" t="str">
        <f t="array" aca="1" ref="H3312" ca="1">SUBSTITUTE(SUBSTITUTE(_xlfn.TEXTJOIN("",TRUE,IF(ISERR(MID(C3312,ROW(INDIRECT("1:100")),1)+0),MID(C3312,ROW(INDIRECT("1:100")),1),"")),")",""),"(","")</f>
        <v/>
      </c>
    </row>
    <row r="3313" spans="8:8" x14ac:dyDescent="0.25">
      <c r="H3313" s="4" t="str">
        <f t="array" aca="1" ref="H3313" ca="1">SUBSTITUTE(SUBSTITUTE(_xlfn.TEXTJOIN("",TRUE,IF(ISERR(MID(C3313,ROW(INDIRECT("1:100")),1)+0),MID(C3313,ROW(INDIRECT("1:100")),1),"")),")",""),"(","")</f>
        <v/>
      </c>
    </row>
    <row r="3314" spans="8:8" x14ac:dyDescent="0.25">
      <c r="H3314" s="4" t="str">
        <f t="array" aca="1" ref="H3314" ca="1">SUBSTITUTE(SUBSTITUTE(_xlfn.TEXTJOIN("",TRUE,IF(ISERR(MID(C3314,ROW(INDIRECT("1:100")),1)+0),MID(C3314,ROW(INDIRECT("1:100")),1),"")),")",""),"(","")</f>
        <v/>
      </c>
    </row>
    <row r="3315" spans="8:8" x14ac:dyDescent="0.25">
      <c r="H3315" s="4" t="str">
        <f t="array" aca="1" ref="H3315" ca="1">SUBSTITUTE(SUBSTITUTE(_xlfn.TEXTJOIN("",TRUE,IF(ISERR(MID(C3315,ROW(INDIRECT("1:100")),1)+0),MID(C3315,ROW(INDIRECT("1:100")),1),"")),")",""),"(","")</f>
        <v/>
      </c>
    </row>
    <row r="3316" spans="8:8" x14ac:dyDescent="0.25">
      <c r="H3316" s="4" t="str">
        <f t="array" aca="1" ref="H3316" ca="1">SUBSTITUTE(SUBSTITUTE(_xlfn.TEXTJOIN("",TRUE,IF(ISERR(MID(C3316,ROW(INDIRECT("1:100")),1)+0),MID(C3316,ROW(INDIRECT("1:100")),1),"")),")",""),"(","")</f>
        <v/>
      </c>
    </row>
    <row r="3317" spans="8:8" x14ac:dyDescent="0.25">
      <c r="H3317" s="4" t="str">
        <f t="array" aca="1" ref="H3317" ca="1">SUBSTITUTE(SUBSTITUTE(_xlfn.TEXTJOIN("",TRUE,IF(ISERR(MID(C3317,ROW(INDIRECT("1:100")),1)+0),MID(C3317,ROW(INDIRECT("1:100")),1),"")),")",""),"(","")</f>
        <v/>
      </c>
    </row>
    <row r="3318" spans="8:8" x14ac:dyDescent="0.25">
      <c r="H3318" s="4" t="str">
        <f t="array" aca="1" ref="H3318" ca="1">SUBSTITUTE(SUBSTITUTE(_xlfn.TEXTJOIN("",TRUE,IF(ISERR(MID(C3318,ROW(INDIRECT("1:100")),1)+0),MID(C3318,ROW(INDIRECT("1:100")),1),"")),")",""),"(","")</f>
        <v/>
      </c>
    </row>
    <row r="3319" spans="8:8" x14ac:dyDescent="0.25">
      <c r="H3319" s="4" t="str">
        <f t="array" aca="1" ref="H3319" ca="1">SUBSTITUTE(SUBSTITUTE(_xlfn.TEXTJOIN("",TRUE,IF(ISERR(MID(C3319,ROW(INDIRECT("1:100")),1)+0),MID(C3319,ROW(INDIRECT("1:100")),1),"")),")",""),"(","")</f>
        <v/>
      </c>
    </row>
    <row r="3320" spans="8:8" x14ac:dyDescent="0.25">
      <c r="H3320" s="4" t="str">
        <f t="array" aca="1" ref="H3320" ca="1">SUBSTITUTE(SUBSTITUTE(_xlfn.TEXTJOIN("",TRUE,IF(ISERR(MID(C3320,ROW(INDIRECT("1:100")),1)+0),MID(C3320,ROW(INDIRECT("1:100")),1),"")),")",""),"(","")</f>
        <v/>
      </c>
    </row>
    <row r="3321" spans="8:8" x14ac:dyDescent="0.25">
      <c r="H3321" s="4" t="str">
        <f t="array" aca="1" ref="H3321" ca="1">SUBSTITUTE(SUBSTITUTE(_xlfn.TEXTJOIN("",TRUE,IF(ISERR(MID(C3321,ROW(INDIRECT("1:100")),1)+0),MID(C3321,ROW(INDIRECT("1:100")),1),"")),")",""),"(","")</f>
        <v/>
      </c>
    </row>
    <row r="3322" spans="8:8" x14ac:dyDescent="0.25">
      <c r="H3322" s="4" t="str">
        <f t="array" aca="1" ref="H3322" ca="1">SUBSTITUTE(SUBSTITUTE(_xlfn.TEXTJOIN("",TRUE,IF(ISERR(MID(C3322,ROW(INDIRECT("1:100")),1)+0),MID(C3322,ROW(INDIRECT("1:100")),1),"")),")",""),"(","")</f>
        <v/>
      </c>
    </row>
    <row r="3323" spans="8:8" x14ac:dyDescent="0.25">
      <c r="H3323" s="4" t="str">
        <f t="array" aca="1" ref="H3323" ca="1">SUBSTITUTE(SUBSTITUTE(_xlfn.TEXTJOIN("",TRUE,IF(ISERR(MID(C3323,ROW(INDIRECT("1:100")),1)+0),MID(C3323,ROW(INDIRECT("1:100")),1),"")),")",""),"(","")</f>
        <v/>
      </c>
    </row>
    <row r="3324" spans="8:8" x14ac:dyDescent="0.25">
      <c r="H3324" s="4" t="str">
        <f t="array" aca="1" ref="H3324" ca="1">SUBSTITUTE(SUBSTITUTE(_xlfn.TEXTJOIN("",TRUE,IF(ISERR(MID(C3324,ROW(INDIRECT("1:100")),1)+0),MID(C3324,ROW(INDIRECT("1:100")),1),"")),")",""),"(","")</f>
        <v/>
      </c>
    </row>
    <row r="3325" spans="8:8" x14ac:dyDescent="0.25">
      <c r="H3325" s="4" t="str">
        <f t="array" aca="1" ref="H3325" ca="1">SUBSTITUTE(SUBSTITUTE(_xlfn.TEXTJOIN("",TRUE,IF(ISERR(MID(C3325,ROW(INDIRECT("1:100")),1)+0),MID(C3325,ROW(INDIRECT("1:100")),1),"")),")",""),"(","")</f>
        <v/>
      </c>
    </row>
    <row r="3326" spans="8:8" x14ac:dyDescent="0.25">
      <c r="H3326" s="4" t="str">
        <f t="array" aca="1" ref="H3326" ca="1">SUBSTITUTE(SUBSTITUTE(_xlfn.TEXTJOIN("",TRUE,IF(ISERR(MID(C3326,ROW(INDIRECT("1:100")),1)+0),MID(C3326,ROW(INDIRECT("1:100")),1),"")),")",""),"(","")</f>
        <v/>
      </c>
    </row>
    <row r="3327" spans="8:8" x14ac:dyDescent="0.25">
      <c r="H3327" s="4" t="str">
        <f t="array" aca="1" ref="H3327" ca="1">SUBSTITUTE(SUBSTITUTE(_xlfn.TEXTJOIN("",TRUE,IF(ISERR(MID(C3327,ROW(INDIRECT("1:100")),1)+0),MID(C3327,ROW(INDIRECT("1:100")),1),"")),")",""),"(","")</f>
        <v/>
      </c>
    </row>
    <row r="3328" spans="8:8" x14ac:dyDescent="0.25">
      <c r="H3328" s="4" t="str">
        <f t="array" aca="1" ref="H3328" ca="1">SUBSTITUTE(SUBSTITUTE(_xlfn.TEXTJOIN("",TRUE,IF(ISERR(MID(C3328,ROW(INDIRECT("1:100")),1)+0),MID(C3328,ROW(INDIRECT("1:100")),1),"")),")",""),"(","")</f>
        <v/>
      </c>
    </row>
    <row r="3329" spans="8:8" x14ac:dyDescent="0.25">
      <c r="H3329" s="4" t="str">
        <f t="array" aca="1" ref="H3329" ca="1">SUBSTITUTE(SUBSTITUTE(_xlfn.TEXTJOIN("",TRUE,IF(ISERR(MID(C3329,ROW(INDIRECT("1:100")),1)+0),MID(C3329,ROW(INDIRECT("1:100")),1),"")),")",""),"(","")</f>
        <v/>
      </c>
    </row>
    <row r="3330" spans="8:8" x14ac:dyDescent="0.25">
      <c r="H3330" s="4" t="str">
        <f t="array" aca="1" ref="H3330" ca="1">SUBSTITUTE(SUBSTITUTE(_xlfn.TEXTJOIN("",TRUE,IF(ISERR(MID(C3330,ROW(INDIRECT("1:100")),1)+0),MID(C3330,ROW(INDIRECT("1:100")),1),"")),")",""),"(","")</f>
        <v/>
      </c>
    </row>
    <row r="3331" spans="8:8" x14ac:dyDescent="0.25">
      <c r="H3331" s="4" t="str">
        <f t="array" aca="1" ref="H3331" ca="1">SUBSTITUTE(SUBSTITUTE(_xlfn.TEXTJOIN("",TRUE,IF(ISERR(MID(C3331,ROW(INDIRECT("1:100")),1)+0),MID(C3331,ROW(INDIRECT("1:100")),1),"")),")",""),"(","")</f>
        <v/>
      </c>
    </row>
    <row r="3332" spans="8:8" x14ac:dyDescent="0.25">
      <c r="H3332" s="4" t="str">
        <f t="array" aca="1" ref="H3332" ca="1">SUBSTITUTE(SUBSTITUTE(_xlfn.TEXTJOIN("",TRUE,IF(ISERR(MID(C3332,ROW(INDIRECT("1:100")),1)+0),MID(C3332,ROW(INDIRECT("1:100")),1),"")),")",""),"(","")</f>
        <v/>
      </c>
    </row>
    <row r="3333" spans="8:8" x14ac:dyDescent="0.25">
      <c r="H3333" s="4" t="str">
        <f t="array" aca="1" ref="H3333" ca="1">SUBSTITUTE(SUBSTITUTE(_xlfn.TEXTJOIN("",TRUE,IF(ISERR(MID(C3333,ROW(INDIRECT("1:100")),1)+0),MID(C3333,ROW(INDIRECT("1:100")),1),"")),")",""),"(","")</f>
        <v/>
      </c>
    </row>
    <row r="3334" spans="8:8" x14ac:dyDescent="0.25">
      <c r="H3334" s="4" t="str">
        <f t="array" aca="1" ref="H3334" ca="1">SUBSTITUTE(SUBSTITUTE(_xlfn.TEXTJOIN("",TRUE,IF(ISERR(MID(C3334,ROW(INDIRECT("1:100")),1)+0),MID(C3334,ROW(INDIRECT("1:100")),1),"")),")",""),"(","")</f>
        <v/>
      </c>
    </row>
    <row r="3335" spans="8:8" x14ac:dyDescent="0.25">
      <c r="H3335" s="4" t="str">
        <f t="array" aca="1" ref="H3335" ca="1">SUBSTITUTE(SUBSTITUTE(_xlfn.TEXTJOIN("",TRUE,IF(ISERR(MID(C3335,ROW(INDIRECT("1:100")),1)+0),MID(C3335,ROW(INDIRECT("1:100")),1),"")),")",""),"(","")</f>
        <v/>
      </c>
    </row>
    <row r="3336" spans="8:8" x14ac:dyDescent="0.25">
      <c r="H3336" s="4" t="str">
        <f t="array" aca="1" ref="H3336" ca="1">SUBSTITUTE(SUBSTITUTE(_xlfn.TEXTJOIN("",TRUE,IF(ISERR(MID(C3336,ROW(INDIRECT("1:100")),1)+0),MID(C3336,ROW(INDIRECT("1:100")),1),"")),")",""),"(","")</f>
        <v/>
      </c>
    </row>
    <row r="3337" spans="8:8" x14ac:dyDescent="0.25">
      <c r="H3337" s="4" t="str">
        <f t="array" aca="1" ref="H3337" ca="1">SUBSTITUTE(SUBSTITUTE(_xlfn.TEXTJOIN("",TRUE,IF(ISERR(MID(C3337,ROW(INDIRECT("1:100")),1)+0),MID(C3337,ROW(INDIRECT("1:100")),1),"")),")",""),"(","")</f>
        <v/>
      </c>
    </row>
    <row r="3338" spans="8:8" x14ac:dyDescent="0.25">
      <c r="H3338" s="4" t="str">
        <f t="array" aca="1" ref="H3338" ca="1">SUBSTITUTE(SUBSTITUTE(_xlfn.TEXTJOIN("",TRUE,IF(ISERR(MID(C3338,ROW(INDIRECT("1:100")),1)+0),MID(C3338,ROW(INDIRECT("1:100")),1),"")),")",""),"(","")</f>
        <v/>
      </c>
    </row>
    <row r="3339" spans="8:8" x14ac:dyDescent="0.25">
      <c r="H3339" s="4" t="str">
        <f t="array" aca="1" ref="H3339" ca="1">SUBSTITUTE(SUBSTITUTE(_xlfn.TEXTJOIN("",TRUE,IF(ISERR(MID(C3339,ROW(INDIRECT("1:100")),1)+0),MID(C3339,ROW(INDIRECT("1:100")),1),"")),")",""),"(","")</f>
        <v/>
      </c>
    </row>
    <row r="3340" spans="8:8" x14ac:dyDescent="0.25">
      <c r="H3340" s="4" t="str">
        <f t="array" aca="1" ref="H3340" ca="1">SUBSTITUTE(SUBSTITUTE(_xlfn.TEXTJOIN("",TRUE,IF(ISERR(MID(C3340,ROW(INDIRECT("1:100")),1)+0),MID(C3340,ROW(INDIRECT("1:100")),1),"")),")",""),"(","")</f>
        <v/>
      </c>
    </row>
    <row r="3341" spans="8:8" x14ac:dyDescent="0.25">
      <c r="H3341" s="4" t="str">
        <f t="array" aca="1" ref="H3341" ca="1">SUBSTITUTE(SUBSTITUTE(_xlfn.TEXTJOIN("",TRUE,IF(ISERR(MID(C3341,ROW(INDIRECT("1:100")),1)+0),MID(C3341,ROW(INDIRECT("1:100")),1),"")),")",""),"(","")</f>
        <v/>
      </c>
    </row>
    <row r="3342" spans="8:8" x14ac:dyDescent="0.25">
      <c r="H3342" s="4" t="str">
        <f t="array" aca="1" ref="H3342" ca="1">SUBSTITUTE(SUBSTITUTE(_xlfn.TEXTJOIN("",TRUE,IF(ISERR(MID(C3342,ROW(INDIRECT("1:100")),1)+0),MID(C3342,ROW(INDIRECT("1:100")),1),"")),")",""),"(","")</f>
        <v/>
      </c>
    </row>
    <row r="3343" spans="8:8" x14ac:dyDescent="0.25">
      <c r="H3343" s="4" t="str">
        <f t="array" aca="1" ref="H3343" ca="1">SUBSTITUTE(SUBSTITUTE(_xlfn.TEXTJOIN("",TRUE,IF(ISERR(MID(C3343,ROW(INDIRECT("1:100")),1)+0),MID(C3343,ROW(INDIRECT("1:100")),1),"")),")",""),"(","")</f>
        <v/>
      </c>
    </row>
    <row r="3344" spans="8:8" x14ac:dyDescent="0.25">
      <c r="H3344" s="4" t="str">
        <f t="array" aca="1" ref="H3344" ca="1">SUBSTITUTE(SUBSTITUTE(_xlfn.TEXTJOIN("",TRUE,IF(ISERR(MID(C3344,ROW(INDIRECT("1:100")),1)+0),MID(C3344,ROW(INDIRECT("1:100")),1),"")),")",""),"(","")</f>
        <v/>
      </c>
    </row>
    <row r="3345" spans="8:8" x14ac:dyDescent="0.25">
      <c r="H3345" s="4" t="str">
        <f t="array" aca="1" ref="H3345" ca="1">SUBSTITUTE(SUBSTITUTE(_xlfn.TEXTJOIN("",TRUE,IF(ISERR(MID(C3345,ROW(INDIRECT("1:100")),1)+0),MID(C3345,ROW(INDIRECT("1:100")),1),"")),")",""),"(","")</f>
        <v/>
      </c>
    </row>
    <row r="3346" spans="8:8" x14ac:dyDescent="0.25">
      <c r="H3346" s="4" t="str">
        <f t="array" aca="1" ref="H3346" ca="1">SUBSTITUTE(SUBSTITUTE(_xlfn.TEXTJOIN("",TRUE,IF(ISERR(MID(C3346,ROW(INDIRECT("1:100")),1)+0),MID(C3346,ROW(INDIRECT("1:100")),1),"")),")",""),"(","")</f>
        <v/>
      </c>
    </row>
    <row r="3347" spans="8:8" x14ac:dyDescent="0.25">
      <c r="H3347" s="4" t="str">
        <f t="array" aca="1" ref="H3347" ca="1">SUBSTITUTE(SUBSTITUTE(_xlfn.TEXTJOIN("",TRUE,IF(ISERR(MID(C3347,ROW(INDIRECT("1:100")),1)+0),MID(C3347,ROW(INDIRECT("1:100")),1),"")),")",""),"(","")</f>
        <v/>
      </c>
    </row>
    <row r="3348" spans="8:8" x14ac:dyDescent="0.25">
      <c r="H3348" s="4" t="str">
        <f t="array" aca="1" ref="H3348" ca="1">SUBSTITUTE(SUBSTITUTE(_xlfn.TEXTJOIN("",TRUE,IF(ISERR(MID(C3348,ROW(INDIRECT("1:100")),1)+0),MID(C3348,ROW(INDIRECT("1:100")),1),"")),")",""),"(","")</f>
        <v/>
      </c>
    </row>
    <row r="3349" spans="8:8" x14ac:dyDescent="0.25">
      <c r="H3349" s="4" t="str">
        <f t="array" aca="1" ref="H3349" ca="1">SUBSTITUTE(SUBSTITUTE(_xlfn.TEXTJOIN("",TRUE,IF(ISERR(MID(C3349,ROW(INDIRECT("1:100")),1)+0),MID(C3349,ROW(INDIRECT("1:100")),1),"")),")",""),"(","")</f>
        <v/>
      </c>
    </row>
    <row r="3350" spans="8:8" x14ac:dyDescent="0.25">
      <c r="H3350" s="4" t="str">
        <f t="array" aca="1" ref="H3350" ca="1">SUBSTITUTE(SUBSTITUTE(_xlfn.TEXTJOIN("",TRUE,IF(ISERR(MID(C3350,ROW(INDIRECT("1:100")),1)+0),MID(C3350,ROW(INDIRECT("1:100")),1),"")),")",""),"(","")</f>
        <v/>
      </c>
    </row>
    <row r="3351" spans="8:8" x14ac:dyDescent="0.25">
      <c r="H3351" s="4" t="str">
        <f t="array" aca="1" ref="H3351" ca="1">SUBSTITUTE(SUBSTITUTE(_xlfn.TEXTJOIN("",TRUE,IF(ISERR(MID(C3351,ROW(INDIRECT("1:100")),1)+0),MID(C3351,ROW(INDIRECT("1:100")),1),"")),")",""),"(","")</f>
        <v/>
      </c>
    </row>
    <row r="3352" spans="8:8" x14ac:dyDescent="0.25">
      <c r="H3352" s="4" t="str">
        <f t="array" aca="1" ref="H3352" ca="1">SUBSTITUTE(SUBSTITUTE(_xlfn.TEXTJOIN("",TRUE,IF(ISERR(MID(C3352,ROW(INDIRECT("1:100")),1)+0),MID(C3352,ROW(INDIRECT("1:100")),1),"")),")",""),"(","")</f>
        <v/>
      </c>
    </row>
    <row r="3353" spans="8:8" x14ac:dyDescent="0.25">
      <c r="H3353" s="4" t="str">
        <f t="array" aca="1" ref="H3353" ca="1">SUBSTITUTE(SUBSTITUTE(_xlfn.TEXTJOIN("",TRUE,IF(ISERR(MID(C3353,ROW(INDIRECT("1:100")),1)+0),MID(C3353,ROW(INDIRECT("1:100")),1),"")),")",""),"(","")</f>
        <v/>
      </c>
    </row>
    <row r="3354" spans="8:8" x14ac:dyDescent="0.25">
      <c r="H3354" s="4" t="str">
        <f t="array" aca="1" ref="H3354" ca="1">SUBSTITUTE(SUBSTITUTE(_xlfn.TEXTJOIN("",TRUE,IF(ISERR(MID(C3354,ROW(INDIRECT("1:100")),1)+0),MID(C3354,ROW(INDIRECT("1:100")),1),"")),")",""),"(","")</f>
        <v/>
      </c>
    </row>
    <row r="3355" spans="8:8" x14ac:dyDescent="0.25">
      <c r="H3355" s="4" t="str">
        <f t="array" aca="1" ref="H3355" ca="1">SUBSTITUTE(SUBSTITUTE(_xlfn.TEXTJOIN("",TRUE,IF(ISERR(MID(C3355,ROW(INDIRECT("1:100")),1)+0),MID(C3355,ROW(INDIRECT("1:100")),1),"")),")",""),"(","")</f>
        <v/>
      </c>
    </row>
    <row r="3356" spans="8:8" x14ac:dyDescent="0.25">
      <c r="H3356" s="4" t="str">
        <f t="array" aca="1" ref="H3356" ca="1">SUBSTITUTE(SUBSTITUTE(_xlfn.TEXTJOIN("",TRUE,IF(ISERR(MID(C3356,ROW(INDIRECT("1:100")),1)+0),MID(C3356,ROW(INDIRECT("1:100")),1),"")),")",""),"(","")</f>
        <v/>
      </c>
    </row>
    <row r="3357" spans="8:8" x14ac:dyDescent="0.25">
      <c r="H3357" s="4" t="str">
        <f t="array" aca="1" ref="H3357" ca="1">SUBSTITUTE(SUBSTITUTE(_xlfn.TEXTJOIN("",TRUE,IF(ISERR(MID(C3357,ROW(INDIRECT("1:100")),1)+0),MID(C3357,ROW(INDIRECT("1:100")),1),"")),")",""),"(","")</f>
        <v/>
      </c>
    </row>
    <row r="3358" spans="8:8" x14ac:dyDescent="0.25">
      <c r="H3358" s="4" t="str">
        <f t="array" aca="1" ref="H3358" ca="1">SUBSTITUTE(SUBSTITUTE(_xlfn.TEXTJOIN("",TRUE,IF(ISERR(MID(C3358,ROW(INDIRECT("1:100")),1)+0),MID(C3358,ROW(INDIRECT("1:100")),1),"")),")",""),"(","")</f>
        <v/>
      </c>
    </row>
    <row r="3359" spans="8:8" x14ac:dyDescent="0.25">
      <c r="H3359" s="4" t="str">
        <f t="array" aca="1" ref="H3359" ca="1">SUBSTITUTE(SUBSTITUTE(_xlfn.TEXTJOIN("",TRUE,IF(ISERR(MID(C3359,ROW(INDIRECT("1:100")),1)+0),MID(C3359,ROW(INDIRECT("1:100")),1),"")),")",""),"(","")</f>
        <v/>
      </c>
    </row>
    <row r="3360" spans="8:8" x14ac:dyDescent="0.25">
      <c r="H3360" s="4" t="str">
        <f t="array" aca="1" ref="H3360" ca="1">SUBSTITUTE(SUBSTITUTE(_xlfn.TEXTJOIN("",TRUE,IF(ISERR(MID(C3360,ROW(INDIRECT("1:100")),1)+0),MID(C3360,ROW(INDIRECT("1:100")),1),"")),")",""),"(","")</f>
        <v/>
      </c>
    </row>
    <row r="3361" spans="8:8" x14ac:dyDescent="0.25">
      <c r="H3361" s="4" t="str">
        <f t="array" aca="1" ref="H3361" ca="1">SUBSTITUTE(SUBSTITUTE(_xlfn.TEXTJOIN("",TRUE,IF(ISERR(MID(C3361,ROW(INDIRECT("1:100")),1)+0),MID(C3361,ROW(INDIRECT("1:100")),1),"")),")",""),"(","")</f>
        <v/>
      </c>
    </row>
    <row r="3362" spans="8:8" x14ac:dyDescent="0.25">
      <c r="H3362" s="4" t="str">
        <f t="array" aca="1" ref="H3362" ca="1">SUBSTITUTE(SUBSTITUTE(_xlfn.TEXTJOIN("",TRUE,IF(ISERR(MID(C3362,ROW(INDIRECT("1:100")),1)+0),MID(C3362,ROW(INDIRECT("1:100")),1),"")),")",""),"(","")</f>
        <v/>
      </c>
    </row>
    <row r="3363" spans="8:8" x14ac:dyDescent="0.25">
      <c r="H3363" s="4" t="str">
        <f t="array" aca="1" ref="H3363" ca="1">SUBSTITUTE(SUBSTITUTE(_xlfn.TEXTJOIN("",TRUE,IF(ISERR(MID(C3363,ROW(INDIRECT("1:100")),1)+0),MID(C3363,ROW(INDIRECT("1:100")),1),"")),")",""),"(","")</f>
        <v/>
      </c>
    </row>
    <row r="3364" spans="8:8" x14ac:dyDescent="0.25">
      <c r="H3364" s="4" t="str">
        <f t="array" aca="1" ref="H3364" ca="1">SUBSTITUTE(SUBSTITUTE(_xlfn.TEXTJOIN("",TRUE,IF(ISERR(MID(C3364,ROW(INDIRECT("1:100")),1)+0),MID(C3364,ROW(INDIRECT("1:100")),1),"")),")",""),"(","")</f>
        <v/>
      </c>
    </row>
    <row r="3365" spans="8:8" x14ac:dyDescent="0.25">
      <c r="H3365" s="4" t="str">
        <f t="array" aca="1" ref="H3365" ca="1">SUBSTITUTE(SUBSTITUTE(_xlfn.TEXTJOIN("",TRUE,IF(ISERR(MID(C3365,ROW(INDIRECT("1:100")),1)+0),MID(C3365,ROW(INDIRECT("1:100")),1),"")),")",""),"(","")</f>
        <v/>
      </c>
    </row>
    <row r="3366" spans="8:8" x14ac:dyDescent="0.25">
      <c r="H3366" s="4" t="str">
        <f t="array" aca="1" ref="H3366" ca="1">SUBSTITUTE(SUBSTITUTE(_xlfn.TEXTJOIN("",TRUE,IF(ISERR(MID(C3366,ROW(INDIRECT("1:100")),1)+0),MID(C3366,ROW(INDIRECT("1:100")),1),"")),")",""),"(","")</f>
        <v/>
      </c>
    </row>
    <row r="3367" spans="8:8" x14ac:dyDescent="0.25">
      <c r="H3367" s="4" t="str">
        <f t="array" aca="1" ref="H3367" ca="1">SUBSTITUTE(SUBSTITUTE(_xlfn.TEXTJOIN("",TRUE,IF(ISERR(MID(C3367,ROW(INDIRECT("1:100")),1)+0),MID(C3367,ROW(INDIRECT("1:100")),1),"")),")",""),"(","")</f>
        <v/>
      </c>
    </row>
    <row r="3368" spans="8:8" x14ac:dyDescent="0.25">
      <c r="H3368" s="4" t="str">
        <f t="array" aca="1" ref="H3368" ca="1">SUBSTITUTE(SUBSTITUTE(_xlfn.TEXTJOIN("",TRUE,IF(ISERR(MID(C3368,ROW(INDIRECT("1:100")),1)+0),MID(C3368,ROW(INDIRECT("1:100")),1),"")),")",""),"(","")</f>
        <v/>
      </c>
    </row>
    <row r="3369" spans="8:8" x14ac:dyDescent="0.25">
      <c r="H3369" s="4" t="str">
        <f t="array" aca="1" ref="H3369" ca="1">SUBSTITUTE(SUBSTITUTE(_xlfn.TEXTJOIN("",TRUE,IF(ISERR(MID(C3369,ROW(INDIRECT("1:100")),1)+0),MID(C3369,ROW(INDIRECT("1:100")),1),"")),")",""),"(","")</f>
        <v/>
      </c>
    </row>
    <row r="3370" spans="8:8" x14ac:dyDescent="0.25">
      <c r="H3370" s="4" t="str">
        <f t="array" aca="1" ref="H3370" ca="1">SUBSTITUTE(SUBSTITUTE(_xlfn.TEXTJOIN("",TRUE,IF(ISERR(MID(C3370,ROW(INDIRECT("1:100")),1)+0),MID(C3370,ROW(INDIRECT("1:100")),1),"")),")",""),"(","")</f>
        <v/>
      </c>
    </row>
    <row r="3371" spans="8:8" x14ac:dyDescent="0.25">
      <c r="H3371" s="4" t="str">
        <f t="array" aca="1" ref="H3371" ca="1">SUBSTITUTE(SUBSTITUTE(_xlfn.TEXTJOIN("",TRUE,IF(ISERR(MID(C3371,ROW(INDIRECT("1:100")),1)+0),MID(C3371,ROW(INDIRECT("1:100")),1),"")),")",""),"(","")</f>
        <v/>
      </c>
    </row>
    <row r="3372" spans="8:8" x14ac:dyDescent="0.25">
      <c r="H3372" s="4" t="str">
        <f t="array" aca="1" ref="H3372" ca="1">SUBSTITUTE(SUBSTITUTE(_xlfn.TEXTJOIN("",TRUE,IF(ISERR(MID(C3372,ROW(INDIRECT("1:100")),1)+0),MID(C3372,ROW(INDIRECT("1:100")),1),"")),")",""),"(","")</f>
        <v/>
      </c>
    </row>
    <row r="3373" spans="8:8" x14ac:dyDescent="0.25">
      <c r="H3373" s="4" t="str">
        <f t="array" aca="1" ref="H3373" ca="1">SUBSTITUTE(SUBSTITUTE(_xlfn.TEXTJOIN("",TRUE,IF(ISERR(MID(C3373,ROW(INDIRECT("1:100")),1)+0),MID(C3373,ROW(INDIRECT("1:100")),1),"")),")",""),"(","")</f>
        <v/>
      </c>
    </row>
    <row r="3374" spans="8:8" x14ac:dyDescent="0.25">
      <c r="H3374" s="4" t="str">
        <f t="array" aca="1" ref="H3374" ca="1">SUBSTITUTE(SUBSTITUTE(_xlfn.TEXTJOIN("",TRUE,IF(ISERR(MID(C3374,ROW(INDIRECT("1:100")),1)+0),MID(C3374,ROW(INDIRECT("1:100")),1),"")),")",""),"(","")</f>
        <v/>
      </c>
    </row>
    <row r="3375" spans="8:8" x14ac:dyDescent="0.25">
      <c r="H3375" s="4" t="str">
        <f t="array" aca="1" ref="H3375" ca="1">SUBSTITUTE(SUBSTITUTE(_xlfn.TEXTJOIN("",TRUE,IF(ISERR(MID(C3375,ROW(INDIRECT("1:100")),1)+0),MID(C3375,ROW(INDIRECT("1:100")),1),"")),")",""),"(","")</f>
        <v/>
      </c>
    </row>
    <row r="3376" spans="8:8" x14ac:dyDescent="0.25">
      <c r="H3376" s="4" t="str">
        <f t="array" aca="1" ref="H3376" ca="1">SUBSTITUTE(SUBSTITUTE(_xlfn.TEXTJOIN("",TRUE,IF(ISERR(MID(C3376,ROW(INDIRECT("1:100")),1)+0),MID(C3376,ROW(INDIRECT("1:100")),1),"")),")",""),"(","")</f>
        <v/>
      </c>
    </row>
    <row r="3377" spans="8:8" x14ac:dyDescent="0.25">
      <c r="H3377" s="4" t="str">
        <f t="array" aca="1" ref="H3377" ca="1">SUBSTITUTE(SUBSTITUTE(_xlfn.TEXTJOIN("",TRUE,IF(ISERR(MID(C3377,ROW(INDIRECT("1:100")),1)+0),MID(C3377,ROW(INDIRECT("1:100")),1),"")),")",""),"(","")</f>
        <v/>
      </c>
    </row>
    <row r="3378" spans="8:8" x14ac:dyDescent="0.25">
      <c r="H3378" s="4" t="str">
        <f t="array" aca="1" ref="H3378" ca="1">SUBSTITUTE(SUBSTITUTE(_xlfn.TEXTJOIN("",TRUE,IF(ISERR(MID(C3378,ROW(INDIRECT("1:100")),1)+0),MID(C3378,ROW(INDIRECT("1:100")),1),"")),")",""),"(","")</f>
        <v/>
      </c>
    </row>
    <row r="3379" spans="8:8" x14ac:dyDescent="0.25">
      <c r="H3379" s="4" t="str">
        <f t="array" aca="1" ref="H3379" ca="1">SUBSTITUTE(SUBSTITUTE(_xlfn.TEXTJOIN("",TRUE,IF(ISERR(MID(C3379,ROW(INDIRECT("1:100")),1)+0),MID(C3379,ROW(INDIRECT("1:100")),1),"")),")",""),"(","")</f>
        <v/>
      </c>
    </row>
    <row r="3380" spans="8:8" x14ac:dyDescent="0.25">
      <c r="H3380" s="4" t="str">
        <f t="array" aca="1" ref="H3380" ca="1">SUBSTITUTE(SUBSTITUTE(_xlfn.TEXTJOIN("",TRUE,IF(ISERR(MID(C3380,ROW(INDIRECT("1:100")),1)+0),MID(C3380,ROW(INDIRECT("1:100")),1),"")),")",""),"(","")</f>
        <v/>
      </c>
    </row>
    <row r="3381" spans="8:8" x14ac:dyDescent="0.25">
      <c r="H3381" s="4" t="str">
        <f t="array" aca="1" ref="H3381" ca="1">SUBSTITUTE(SUBSTITUTE(_xlfn.TEXTJOIN("",TRUE,IF(ISERR(MID(C3381,ROW(INDIRECT("1:100")),1)+0),MID(C3381,ROW(INDIRECT("1:100")),1),"")),")",""),"(","")</f>
        <v/>
      </c>
    </row>
    <row r="3382" spans="8:8" x14ac:dyDescent="0.25">
      <c r="H3382" s="4" t="str">
        <f t="array" aca="1" ref="H3382" ca="1">SUBSTITUTE(SUBSTITUTE(_xlfn.TEXTJOIN("",TRUE,IF(ISERR(MID(C3382,ROW(INDIRECT("1:100")),1)+0),MID(C3382,ROW(INDIRECT("1:100")),1),"")),")",""),"(","")</f>
        <v/>
      </c>
    </row>
    <row r="3383" spans="8:8" x14ac:dyDescent="0.25">
      <c r="H3383" s="4" t="str">
        <f t="array" aca="1" ref="H3383" ca="1">SUBSTITUTE(SUBSTITUTE(_xlfn.TEXTJOIN("",TRUE,IF(ISERR(MID(C3383,ROW(INDIRECT("1:100")),1)+0),MID(C3383,ROW(INDIRECT("1:100")),1),"")),")",""),"(","")</f>
        <v/>
      </c>
    </row>
    <row r="3384" spans="8:8" x14ac:dyDescent="0.25">
      <c r="H3384" s="4" t="str">
        <f t="array" aca="1" ref="H3384" ca="1">SUBSTITUTE(SUBSTITUTE(_xlfn.TEXTJOIN("",TRUE,IF(ISERR(MID(C3384,ROW(INDIRECT("1:100")),1)+0),MID(C3384,ROW(INDIRECT("1:100")),1),"")),")",""),"(","")</f>
        <v/>
      </c>
    </row>
    <row r="3385" spans="8:8" x14ac:dyDescent="0.25">
      <c r="H3385" s="4" t="str">
        <f t="array" aca="1" ref="H3385" ca="1">SUBSTITUTE(SUBSTITUTE(_xlfn.TEXTJOIN("",TRUE,IF(ISERR(MID(C3385,ROW(INDIRECT("1:100")),1)+0),MID(C3385,ROW(INDIRECT("1:100")),1),"")),")",""),"(","")</f>
        <v/>
      </c>
    </row>
    <row r="3386" spans="8:8" x14ac:dyDescent="0.25">
      <c r="H3386" s="4" t="str">
        <f t="array" aca="1" ref="H3386" ca="1">SUBSTITUTE(SUBSTITUTE(_xlfn.TEXTJOIN("",TRUE,IF(ISERR(MID(C3386,ROW(INDIRECT("1:100")),1)+0),MID(C3386,ROW(INDIRECT("1:100")),1),"")),")",""),"(","")</f>
        <v/>
      </c>
    </row>
    <row r="3387" spans="8:8" x14ac:dyDescent="0.25">
      <c r="H3387" s="4" t="str">
        <f t="array" aca="1" ref="H3387" ca="1">SUBSTITUTE(SUBSTITUTE(_xlfn.TEXTJOIN("",TRUE,IF(ISERR(MID(C3387,ROW(INDIRECT("1:100")),1)+0),MID(C3387,ROW(INDIRECT("1:100")),1),"")),")",""),"(","")</f>
        <v/>
      </c>
    </row>
    <row r="3388" spans="8:8" x14ac:dyDescent="0.25">
      <c r="H3388" s="4" t="str">
        <f t="array" aca="1" ref="H3388" ca="1">SUBSTITUTE(SUBSTITUTE(_xlfn.TEXTJOIN("",TRUE,IF(ISERR(MID(C3388,ROW(INDIRECT("1:100")),1)+0),MID(C3388,ROW(INDIRECT("1:100")),1),"")),")",""),"(","")</f>
        <v/>
      </c>
    </row>
    <row r="3389" spans="8:8" x14ac:dyDescent="0.25">
      <c r="H3389" s="4" t="str">
        <f t="array" aca="1" ref="H3389" ca="1">SUBSTITUTE(SUBSTITUTE(_xlfn.TEXTJOIN("",TRUE,IF(ISERR(MID(C3389,ROW(INDIRECT("1:100")),1)+0),MID(C3389,ROW(INDIRECT("1:100")),1),"")),")",""),"(","")</f>
        <v/>
      </c>
    </row>
    <row r="3390" spans="8:8" x14ac:dyDescent="0.25">
      <c r="H3390" s="4" t="str">
        <f t="array" aca="1" ref="H3390" ca="1">SUBSTITUTE(SUBSTITUTE(_xlfn.TEXTJOIN("",TRUE,IF(ISERR(MID(C3390,ROW(INDIRECT("1:100")),1)+0),MID(C3390,ROW(INDIRECT("1:100")),1),"")),")",""),"(","")</f>
        <v/>
      </c>
    </row>
    <row r="3391" spans="8:8" x14ac:dyDescent="0.25">
      <c r="H3391" s="4" t="str">
        <f t="array" aca="1" ref="H3391" ca="1">SUBSTITUTE(SUBSTITUTE(_xlfn.TEXTJOIN("",TRUE,IF(ISERR(MID(C3391,ROW(INDIRECT("1:100")),1)+0),MID(C3391,ROW(INDIRECT("1:100")),1),"")),")",""),"(","")</f>
        <v/>
      </c>
    </row>
    <row r="3392" spans="8:8" x14ac:dyDescent="0.25">
      <c r="H3392" s="4" t="str">
        <f t="array" aca="1" ref="H3392" ca="1">SUBSTITUTE(SUBSTITUTE(_xlfn.TEXTJOIN("",TRUE,IF(ISERR(MID(C3392,ROW(INDIRECT("1:100")),1)+0),MID(C3392,ROW(INDIRECT("1:100")),1),"")),")",""),"(","")</f>
        <v/>
      </c>
    </row>
    <row r="3393" spans="8:8" x14ac:dyDescent="0.25">
      <c r="H3393" s="4" t="str">
        <f t="array" aca="1" ref="H3393" ca="1">SUBSTITUTE(SUBSTITUTE(_xlfn.TEXTJOIN("",TRUE,IF(ISERR(MID(C3393,ROW(INDIRECT("1:100")),1)+0),MID(C3393,ROW(INDIRECT("1:100")),1),"")),")",""),"(","")</f>
        <v/>
      </c>
    </row>
    <row r="3394" spans="8:8" x14ac:dyDescent="0.25">
      <c r="H3394" s="4" t="str">
        <f t="array" aca="1" ref="H3394" ca="1">SUBSTITUTE(SUBSTITUTE(_xlfn.TEXTJOIN("",TRUE,IF(ISERR(MID(C3394,ROW(INDIRECT("1:100")),1)+0),MID(C3394,ROW(INDIRECT("1:100")),1),"")),")",""),"(","")</f>
        <v/>
      </c>
    </row>
    <row r="3395" spans="8:8" x14ac:dyDescent="0.25">
      <c r="H3395" s="4" t="str">
        <f t="array" aca="1" ref="H3395" ca="1">SUBSTITUTE(SUBSTITUTE(_xlfn.TEXTJOIN("",TRUE,IF(ISERR(MID(C3395,ROW(INDIRECT("1:100")),1)+0),MID(C3395,ROW(INDIRECT("1:100")),1),"")),")",""),"(","")</f>
        <v/>
      </c>
    </row>
    <row r="3396" spans="8:8" x14ac:dyDescent="0.25">
      <c r="H3396" s="4" t="str">
        <f t="array" aca="1" ref="H3396" ca="1">SUBSTITUTE(SUBSTITUTE(_xlfn.TEXTJOIN("",TRUE,IF(ISERR(MID(C3396,ROW(INDIRECT("1:100")),1)+0),MID(C3396,ROW(INDIRECT("1:100")),1),"")),")",""),"(","")</f>
        <v/>
      </c>
    </row>
    <row r="3397" spans="8:8" x14ac:dyDescent="0.25">
      <c r="H3397" s="4" t="str">
        <f t="array" aca="1" ref="H3397" ca="1">SUBSTITUTE(SUBSTITUTE(_xlfn.TEXTJOIN("",TRUE,IF(ISERR(MID(C3397,ROW(INDIRECT("1:100")),1)+0),MID(C3397,ROW(INDIRECT("1:100")),1),"")),")",""),"(","")</f>
        <v/>
      </c>
    </row>
    <row r="3398" spans="8:8" x14ac:dyDescent="0.25">
      <c r="H3398" s="4" t="str">
        <f t="array" aca="1" ref="H3398" ca="1">SUBSTITUTE(SUBSTITUTE(_xlfn.TEXTJOIN("",TRUE,IF(ISERR(MID(C3398,ROW(INDIRECT("1:100")),1)+0),MID(C3398,ROW(INDIRECT("1:100")),1),"")),")",""),"(","")</f>
        <v/>
      </c>
    </row>
    <row r="3399" spans="8:8" x14ac:dyDescent="0.25">
      <c r="H3399" s="4" t="str">
        <f t="array" aca="1" ref="H3399" ca="1">SUBSTITUTE(SUBSTITUTE(_xlfn.TEXTJOIN("",TRUE,IF(ISERR(MID(C3399,ROW(INDIRECT("1:100")),1)+0),MID(C3399,ROW(INDIRECT("1:100")),1),"")),")",""),"(","")</f>
        <v/>
      </c>
    </row>
    <row r="3400" spans="8:8" x14ac:dyDescent="0.25">
      <c r="H3400" s="4" t="str">
        <f t="array" aca="1" ref="H3400" ca="1">SUBSTITUTE(SUBSTITUTE(_xlfn.TEXTJOIN("",TRUE,IF(ISERR(MID(C3400,ROW(INDIRECT("1:100")),1)+0),MID(C3400,ROW(INDIRECT("1:100")),1),"")),")",""),"(","")</f>
        <v/>
      </c>
    </row>
    <row r="3401" spans="8:8" x14ac:dyDescent="0.25">
      <c r="H3401" s="4" t="str">
        <f t="array" aca="1" ref="H3401" ca="1">SUBSTITUTE(SUBSTITUTE(_xlfn.TEXTJOIN("",TRUE,IF(ISERR(MID(C3401,ROW(INDIRECT("1:100")),1)+0),MID(C3401,ROW(INDIRECT("1:100")),1),"")),")",""),"(","")</f>
        <v/>
      </c>
    </row>
    <row r="3402" spans="8:8" x14ac:dyDescent="0.25">
      <c r="H3402" s="4" t="str">
        <f t="array" aca="1" ref="H3402" ca="1">SUBSTITUTE(SUBSTITUTE(_xlfn.TEXTJOIN("",TRUE,IF(ISERR(MID(C3402,ROW(INDIRECT("1:100")),1)+0),MID(C3402,ROW(INDIRECT("1:100")),1),"")),")",""),"(","")</f>
        <v/>
      </c>
    </row>
    <row r="3403" spans="8:8" x14ac:dyDescent="0.25">
      <c r="H3403" s="4" t="str">
        <f t="array" aca="1" ref="H3403" ca="1">SUBSTITUTE(SUBSTITUTE(_xlfn.TEXTJOIN("",TRUE,IF(ISERR(MID(C3403,ROW(INDIRECT("1:100")),1)+0),MID(C3403,ROW(INDIRECT("1:100")),1),"")),")",""),"(","")</f>
        <v/>
      </c>
    </row>
    <row r="3404" spans="8:8" x14ac:dyDescent="0.25">
      <c r="H3404" s="4" t="str">
        <f t="array" aca="1" ref="H3404" ca="1">SUBSTITUTE(SUBSTITUTE(_xlfn.TEXTJOIN("",TRUE,IF(ISERR(MID(C3404,ROW(INDIRECT("1:100")),1)+0),MID(C3404,ROW(INDIRECT("1:100")),1),"")),")",""),"(","")</f>
        <v/>
      </c>
    </row>
    <row r="3405" spans="8:8" x14ac:dyDescent="0.25">
      <c r="H3405" s="4" t="str">
        <f t="array" aca="1" ref="H3405" ca="1">SUBSTITUTE(SUBSTITUTE(_xlfn.TEXTJOIN("",TRUE,IF(ISERR(MID(C3405,ROW(INDIRECT("1:100")),1)+0),MID(C3405,ROW(INDIRECT("1:100")),1),"")),")",""),"(","")</f>
        <v/>
      </c>
    </row>
    <row r="3406" spans="8:8" x14ac:dyDescent="0.25">
      <c r="H3406" s="4" t="str">
        <f t="array" aca="1" ref="H3406" ca="1">SUBSTITUTE(SUBSTITUTE(_xlfn.TEXTJOIN("",TRUE,IF(ISERR(MID(C3406,ROW(INDIRECT("1:100")),1)+0),MID(C3406,ROW(INDIRECT("1:100")),1),"")),")",""),"(","")</f>
        <v/>
      </c>
    </row>
    <row r="3407" spans="8:8" x14ac:dyDescent="0.25">
      <c r="H3407" s="4" t="str">
        <f t="array" aca="1" ref="H3407" ca="1">SUBSTITUTE(SUBSTITUTE(_xlfn.TEXTJOIN("",TRUE,IF(ISERR(MID(C3407,ROW(INDIRECT("1:100")),1)+0),MID(C3407,ROW(INDIRECT("1:100")),1),"")),")",""),"(","")</f>
        <v/>
      </c>
    </row>
    <row r="3408" spans="8:8" x14ac:dyDescent="0.25">
      <c r="H3408" s="4" t="str">
        <f t="array" aca="1" ref="H3408" ca="1">SUBSTITUTE(SUBSTITUTE(_xlfn.TEXTJOIN("",TRUE,IF(ISERR(MID(C3408,ROW(INDIRECT("1:100")),1)+0),MID(C3408,ROW(INDIRECT("1:100")),1),"")),")",""),"(","")</f>
        <v/>
      </c>
    </row>
    <row r="3409" spans="8:8" x14ac:dyDescent="0.25">
      <c r="H3409" s="4" t="str">
        <f t="array" aca="1" ref="H3409" ca="1">SUBSTITUTE(SUBSTITUTE(_xlfn.TEXTJOIN("",TRUE,IF(ISERR(MID(C3409,ROW(INDIRECT("1:100")),1)+0),MID(C3409,ROW(INDIRECT("1:100")),1),"")),")",""),"(","")</f>
        <v/>
      </c>
    </row>
    <row r="3410" spans="8:8" x14ac:dyDescent="0.25">
      <c r="H3410" s="4" t="str">
        <f t="array" aca="1" ref="H3410" ca="1">SUBSTITUTE(SUBSTITUTE(_xlfn.TEXTJOIN("",TRUE,IF(ISERR(MID(C3410,ROW(INDIRECT("1:100")),1)+0),MID(C3410,ROW(INDIRECT("1:100")),1),"")),")",""),"(","")</f>
        <v/>
      </c>
    </row>
    <row r="3411" spans="8:8" x14ac:dyDescent="0.25">
      <c r="H3411" s="4" t="str">
        <f t="array" aca="1" ref="H3411" ca="1">SUBSTITUTE(SUBSTITUTE(_xlfn.TEXTJOIN("",TRUE,IF(ISERR(MID(C3411,ROW(INDIRECT("1:100")),1)+0),MID(C3411,ROW(INDIRECT("1:100")),1),"")),")",""),"(","")</f>
        <v/>
      </c>
    </row>
    <row r="3412" spans="8:8" x14ac:dyDescent="0.25">
      <c r="H3412" s="4" t="str">
        <f t="array" aca="1" ref="H3412" ca="1">SUBSTITUTE(SUBSTITUTE(_xlfn.TEXTJOIN("",TRUE,IF(ISERR(MID(C3412,ROW(INDIRECT("1:100")),1)+0),MID(C3412,ROW(INDIRECT("1:100")),1),"")),")",""),"(","")</f>
        <v/>
      </c>
    </row>
    <row r="3413" spans="8:8" x14ac:dyDescent="0.25">
      <c r="H3413" s="4" t="str">
        <f t="array" aca="1" ref="H3413" ca="1">SUBSTITUTE(SUBSTITUTE(_xlfn.TEXTJOIN("",TRUE,IF(ISERR(MID(C3413,ROW(INDIRECT("1:100")),1)+0),MID(C3413,ROW(INDIRECT("1:100")),1),"")),")",""),"(","")</f>
        <v/>
      </c>
    </row>
    <row r="3414" spans="8:8" x14ac:dyDescent="0.25">
      <c r="H3414" s="4" t="str">
        <f t="array" aca="1" ref="H3414" ca="1">SUBSTITUTE(SUBSTITUTE(_xlfn.TEXTJOIN("",TRUE,IF(ISERR(MID(C3414,ROW(INDIRECT("1:100")),1)+0),MID(C3414,ROW(INDIRECT("1:100")),1),"")),")",""),"(","")</f>
        <v/>
      </c>
    </row>
    <row r="3415" spans="8:8" x14ac:dyDescent="0.25">
      <c r="H3415" s="4" t="str">
        <f t="array" aca="1" ref="H3415" ca="1">SUBSTITUTE(SUBSTITUTE(_xlfn.TEXTJOIN("",TRUE,IF(ISERR(MID(C3415,ROW(INDIRECT("1:100")),1)+0),MID(C3415,ROW(INDIRECT("1:100")),1),"")),")",""),"(","")</f>
        <v/>
      </c>
    </row>
    <row r="3416" spans="8:8" x14ac:dyDescent="0.25">
      <c r="H3416" s="4" t="str">
        <f t="array" aca="1" ref="H3416" ca="1">SUBSTITUTE(SUBSTITUTE(_xlfn.TEXTJOIN("",TRUE,IF(ISERR(MID(C3416,ROW(INDIRECT("1:100")),1)+0),MID(C3416,ROW(INDIRECT("1:100")),1),"")),")",""),"(","")</f>
        <v/>
      </c>
    </row>
    <row r="3417" spans="8:8" x14ac:dyDescent="0.25">
      <c r="H3417" s="4" t="str">
        <f t="array" aca="1" ref="H3417" ca="1">SUBSTITUTE(SUBSTITUTE(_xlfn.TEXTJOIN("",TRUE,IF(ISERR(MID(C3417,ROW(INDIRECT("1:100")),1)+0),MID(C3417,ROW(INDIRECT("1:100")),1),"")),")",""),"(","")</f>
        <v/>
      </c>
    </row>
    <row r="3418" spans="8:8" x14ac:dyDescent="0.25">
      <c r="H3418" s="4" t="str">
        <f t="array" aca="1" ref="H3418" ca="1">SUBSTITUTE(SUBSTITUTE(_xlfn.TEXTJOIN("",TRUE,IF(ISERR(MID(C3418,ROW(INDIRECT("1:100")),1)+0),MID(C3418,ROW(INDIRECT("1:100")),1),"")),")",""),"(","")</f>
        <v/>
      </c>
    </row>
    <row r="3419" spans="8:8" x14ac:dyDescent="0.25">
      <c r="H3419" s="4" t="str">
        <f t="array" aca="1" ref="H3419" ca="1">SUBSTITUTE(SUBSTITUTE(_xlfn.TEXTJOIN("",TRUE,IF(ISERR(MID(C3419,ROW(INDIRECT("1:100")),1)+0),MID(C3419,ROW(INDIRECT("1:100")),1),"")),")",""),"(","")</f>
        <v/>
      </c>
    </row>
    <row r="3420" spans="8:8" x14ac:dyDescent="0.25">
      <c r="H3420" s="4" t="str">
        <f t="array" aca="1" ref="H3420" ca="1">SUBSTITUTE(SUBSTITUTE(_xlfn.TEXTJOIN("",TRUE,IF(ISERR(MID(C3420,ROW(INDIRECT("1:100")),1)+0),MID(C3420,ROW(INDIRECT("1:100")),1),"")),")",""),"(","")</f>
        <v/>
      </c>
    </row>
    <row r="3421" spans="8:8" x14ac:dyDescent="0.25">
      <c r="H3421" s="4" t="str">
        <f t="array" aca="1" ref="H3421" ca="1">SUBSTITUTE(SUBSTITUTE(_xlfn.TEXTJOIN("",TRUE,IF(ISERR(MID(C3421,ROW(INDIRECT("1:100")),1)+0),MID(C3421,ROW(INDIRECT("1:100")),1),"")),")",""),"(","")</f>
        <v/>
      </c>
    </row>
    <row r="3422" spans="8:8" x14ac:dyDescent="0.25">
      <c r="H3422" s="4" t="str">
        <f t="array" aca="1" ref="H3422" ca="1">SUBSTITUTE(SUBSTITUTE(_xlfn.TEXTJOIN("",TRUE,IF(ISERR(MID(C3422,ROW(INDIRECT("1:100")),1)+0),MID(C3422,ROW(INDIRECT("1:100")),1),"")),")",""),"(","")</f>
        <v/>
      </c>
    </row>
    <row r="3423" spans="8:8" x14ac:dyDescent="0.25">
      <c r="H3423" s="4" t="str">
        <f t="array" aca="1" ref="H3423" ca="1">SUBSTITUTE(SUBSTITUTE(_xlfn.TEXTJOIN("",TRUE,IF(ISERR(MID(C3423,ROW(INDIRECT("1:100")),1)+0),MID(C3423,ROW(INDIRECT("1:100")),1),"")),")",""),"(","")</f>
        <v/>
      </c>
    </row>
    <row r="3424" spans="8:8" x14ac:dyDescent="0.25">
      <c r="H3424" s="4" t="str">
        <f t="array" aca="1" ref="H3424" ca="1">SUBSTITUTE(SUBSTITUTE(_xlfn.TEXTJOIN("",TRUE,IF(ISERR(MID(C3424,ROW(INDIRECT("1:100")),1)+0),MID(C3424,ROW(INDIRECT("1:100")),1),"")),")",""),"(","")</f>
        <v/>
      </c>
    </row>
    <row r="3425" spans="8:8" x14ac:dyDescent="0.25">
      <c r="H3425" s="4" t="str">
        <f t="array" aca="1" ref="H3425" ca="1">SUBSTITUTE(SUBSTITUTE(_xlfn.TEXTJOIN("",TRUE,IF(ISERR(MID(C3425,ROW(INDIRECT("1:100")),1)+0),MID(C3425,ROW(INDIRECT("1:100")),1),"")),")",""),"(","")</f>
        <v/>
      </c>
    </row>
    <row r="3426" spans="8:8" x14ac:dyDescent="0.25">
      <c r="H3426" s="4" t="str">
        <f t="array" aca="1" ref="H3426" ca="1">SUBSTITUTE(SUBSTITUTE(_xlfn.TEXTJOIN("",TRUE,IF(ISERR(MID(C3426,ROW(INDIRECT("1:100")),1)+0),MID(C3426,ROW(INDIRECT("1:100")),1),"")),")",""),"(","")</f>
        <v/>
      </c>
    </row>
    <row r="3427" spans="8:8" x14ac:dyDescent="0.25">
      <c r="H3427" s="4" t="str">
        <f t="array" aca="1" ref="H3427" ca="1">SUBSTITUTE(SUBSTITUTE(_xlfn.TEXTJOIN("",TRUE,IF(ISERR(MID(C3427,ROW(INDIRECT("1:100")),1)+0),MID(C3427,ROW(INDIRECT("1:100")),1),"")),")",""),"(","")</f>
        <v/>
      </c>
    </row>
    <row r="3428" spans="8:8" x14ac:dyDescent="0.25">
      <c r="H3428" s="4" t="str">
        <f t="array" aca="1" ref="H3428" ca="1">SUBSTITUTE(SUBSTITUTE(_xlfn.TEXTJOIN("",TRUE,IF(ISERR(MID(C3428,ROW(INDIRECT("1:100")),1)+0),MID(C3428,ROW(INDIRECT("1:100")),1),"")),")",""),"(","")</f>
        <v/>
      </c>
    </row>
    <row r="3429" spans="8:8" x14ac:dyDescent="0.25">
      <c r="H3429" s="4" t="str">
        <f t="array" aca="1" ref="H3429" ca="1">SUBSTITUTE(SUBSTITUTE(_xlfn.TEXTJOIN("",TRUE,IF(ISERR(MID(C3429,ROW(INDIRECT("1:100")),1)+0),MID(C3429,ROW(INDIRECT("1:100")),1),"")),")",""),"(","")</f>
        <v/>
      </c>
    </row>
    <row r="3430" spans="8:8" x14ac:dyDescent="0.25">
      <c r="H3430" s="4" t="str">
        <f t="array" aca="1" ref="H3430" ca="1">SUBSTITUTE(SUBSTITUTE(_xlfn.TEXTJOIN("",TRUE,IF(ISERR(MID(C3430,ROW(INDIRECT("1:100")),1)+0),MID(C3430,ROW(INDIRECT("1:100")),1),"")),")",""),"(","")</f>
        <v/>
      </c>
    </row>
    <row r="3431" spans="8:8" x14ac:dyDescent="0.25">
      <c r="H3431" s="4" t="str">
        <f t="array" aca="1" ref="H3431" ca="1">SUBSTITUTE(SUBSTITUTE(_xlfn.TEXTJOIN("",TRUE,IF(ISERR(MID(C3431,ROW(INDIRECT("1:100")),1)+0),MID(C3431,ROW(INDIRECT("1:100")),1),"")),")",""),"(","")</f>
        <v/>
      </c>
    </row>
    <row r="3432" spans="8:8" x14ac:dyDescent="0.25">
      <c r="H3432" s="4" t="str">
        <f t="array" aca="1" ref="H3432" ca="1">SUBSTITUTE(SUBSTITUTE(_xlfn.TEXTJOIN("",TRUE,IF(ISERR(MID(C3432,ROW(INDIRECT("1:100")),1)+0),MID(C3432,ROW(INDIRECT("1:100")),1),"")),")",""),"(","")</f>
        <v/>
      </c>
    </row>
    <row r="3433" spans="8:8" x14ac:dyDescent="0.25">
      <c r="H3433" s="4" t="str">
        <f t="array" aca="1" ref="H3433" ca="1">SUBSTITUTE(SUBSTITUTE(_xlfn.TEXTJOIN("",TRUE,IF(ISERR(MID(C3433,ROW(INDIRECT("1:100")),1)+0),MID(C3433,ROW(INDIRECT("1:100")),1),"")),")",""),"(","")</f>
        <v/>
      </c>
    </row>
    <row r="3434" spans="8:8" x14ac:dyDescent="0.25">
      <c r="H3434" s="4" t="str">
        <f t="array" aca="1" ref="H3434" ca="1">SUBSTITUTE(SUBSTITUTE(_xlfn.TEXTJOIN("",TRUE,IF(ISERR(MID(C3434,ROW(INDIRECT("1:100")),1)+0),MID(C3434,ROW(INDIRECT("1:100")),1),"")),")",""),"(","")</f>
        <v/>
      </c>
    </row>
    <row r="3435" spans="8:8" x14ac:dyDescent="0.25">
      <c r="H3435" s="4" t="str">
        <f t="array" aca="1" ref="H3435" ca="1">SUBSTITUTE(SUBSTITUTE(_xlfn.TEXTJOIN("",TRUE,IF(ISERR(MID(C3435,ROW(INDIRECT("1:100")),1)+0),MID(C3435,ROW(INDIRECT("1:100")),1),"")),")",""),"(","")</f>
        <v/>
      </c>
    </row>
    <row r="3436" spans="8:8" x14ac:dyDescent="0.25">
      <c r="H3436" s="4" t="str">
        <f t="array" aca="1" ref="H3436" ca="1">SUBSTITUTE(SUBSTITUTE(_xlfn.TEXTJOIN("",TRUE,IF(ISERR(MID(C3436,ROW(INDIRECT("1:100")),1)+0),MID(C3436,ROW(INDIRECT("1:100")),1),"")),")",""),"(","")</f>
        <v/>
      </c>
    </row>
    <row r="3437" spans="8:8" x14ac:dyDescent="0.25">
      <c r="H3437" s="4" t="str">
        <f t="array" aca="1" ref="H3437" ca="1">SUBSTITUTE(SUBSTITUTE(_xlfn.TEXTJOIN("",TRUE,IF(ISERR(MID(C3437,ROW(INDIRECT("1:100")),1)+0),MID(C3437,ROW(INDIRECT("1:100")),1),"")),")",""),"(","")</f>
        <v/>
      </c>
    </row>
    <row r="3438" spans="8:8" x14ac:dyDescent="0.25">
      <c r="H3438" s="4" t="str">
        <f t="array" aca="1" ref="H3438" ca="1">SUBSTITUTE(SUBSTITUTE(_xlfn.TEXTJOIN("",TRUE,IF(ISERR(MID(C3438,ROW(INDIRECT("1:100")),1)+0),MID(C3438,ROW(INDIRECT("1:100")),1),"")),")",""),"(","")</f>
        <v/>
      </c>
    </row>
    <row r="3439" spans="8:8" x14ac:dyDescent="0.25">
      <c r="H3439" s="4" t="str">
        <f t="array" aca="1" ref="H3439" ca="1">SUBSTITUTE(SUBSTITUTE(_xlfn.TEXTJOIN("",TRUE,IF(ISERR(MID(C3439,ROW(INDIRECT("1:100")),1)+0),MID(C3439,ROW(INDIRECT("1:100")),1),"")),")",""),"(","")</f>
        <v/>
      </c>
    </row>
    <row r="3440" spans="8:8" x14ac:dyDescent="0.25">
      <c r="H3440" s="4" t="str">
        <f t="array" aca="1" ref="H3440" ca="1">SUBSTITUTE(SUBSTITUTE(_xlfn.TEXTJOIN("",TRUE,IF(ISERR(MID(C3440,ROW(INDIRECT("1:100")),1)+0),MID(C3440,ROW(INDIRECT("1:100")),1),"")),")",""),"(","")</f>
        <v/>
      </c>
    </row>
    <row r="3441" spans="8:8" x14ac:dyDescent="0.25">
      <c r="H3441" s="4" t="str">
        <f t="array" aca="1" ref="H3441" ca="1">SUBSTITUTE(SUBSTITUTE(_xlfn.TEXTJOIN("",TRUE,IF(ISERR(MID(C3441,ROW(INDIRECT("1:100")),1)+0),MID(C3441,ROW(INDIRECT("1:100")),1),"")),")",""),"(","")</f>
        <v/>
      </c>
    </row>
    <row r="3442" spans="8:8" x14ac:dyDescent="0.25">
      <c r="H3442" s="4" t="str">
        <f t="array" aca="1" ref="H3442" ca="1">SUBSTITUTE(SUBSTITUTE(_xlfn.TEXTJOIN("",TRUE,IF(ISERR(MID(C3442,ROW(INDIRECT("1:100")),1)+0),MID(C3442,ROW(INDIRECT("1:100")),1),"")),")",""),"(","")</f>
        <v/>
      </c>
    </row>
    <row r="3443" spans="8:8" x14ac:dyDescent="0.25">
      <c r="H3443" s="4" t="str">
        <f t="array" aca="1" ref="H3443" ca="1">SUBSTITUTE(SUBSTITUTE(_xlfn.TEXTJOIN("",TRUE,IF(ISERR(MID(C3443,ROW(INDIRECT("1:100")),1)+0),MID(C3443,ROW(INDIRECT("1:100")),1),"")),")",""),"(","")</f>
        <v/>
      </c>
    </row>
    <row r="3444" spans="8:8" x14ac:dyDescent="0.25">
      <c r="H3444" s="4" t="str">
        <f t="array" aca="1" ref="H3444" ca="1">SUBSTITUTE(SUBSTITUTE(_xlfn.TEXTJOIN("",TRUE,IF(ISERR(MID(C3444,ROW(INDIRECT("1:100")),1)+0),MID(C3444,ROW(INDIRECT("1:100")),1),"")),")",""),"(","")</f>
        <v/>
      </c>
    </row>
    <row r="3445" spans="8:8" x14ac:dyDescent="0.25">
      <c r="H3445" s="4" t="str">
        <f t="array" aca="1" ref="H3445" ca="1">SUBSTITUTE(SUBSTITUTE(_xlfn.TEXTJOIN("",TRUE,IF(ISERR(MID(C3445,ROW(INDIRECT("1:100")),1)+0),MID(C3445,ROW(INDIRECT("1:100")),1),"")),")",""),"(","")</f>
        <v/>
      </c>
    </row>
    <row r="3446" spans="8:8" x14ac:dyDescent="0.25">
      <c r="H3446" s="4" t="str">
        <f t="array" aca="1" ref="H3446" ca="1">SUBSTITUTE(SUBSTITUTE(_xlfn.TEXTJOIN("",TRUE,IF(ISERR(MID(C3446,ROW(INDIRECT("1:100")),1)+0),MID(C3446,ROW(INDIRECT("1:100")),1),"")),")",""),"(","")</f>
        <v/>
      </c>
    </row>
    <row r="3447" spans="8:8" x14ac:dyDescent="0.25">
      <c r="H3447" s="4" t="str">
        <f t="array" aca="1" ref="H3447" ca="1">SUBSTITUTE(SUBSTITUTE(_xlfn.TEXTJOIN("",TRUE,IF(ISERR(MID(C3447,ROW(INDIRECT("1:100")),1)+0),MID(C3447,ROW(INDIRECT("1:100")),1),"")),")",""),"(","")</f>
        <v/>
      </c>
    </row>
    <row r="3448" spans="8:8" x14ac:dyDescent="0.25">
      <c r="H3448" s="4" t="str">
        <f t="array" aca="1" ref="H3448" ca="1">SUBSTITUTE(SUBSTITUTE(_xlfn.TEXTJOIN("",TRUE,IF(ISERR(MID(C3448,ROW(INDIRECT("1:100")),1)+0),MID(C3448,ROW(INDIRECT("1:100")),1),"")),")",""),"(","")</f>
        <v/>
      </c>
    </row>
    <row r="3449" spans="8:8" x14ac:dyDescent="0.25">
      <c r="H3449" s="4" t="str">
        <f t="array" aca="1" ref="H3449" ca="1">SUBSTITUTE(SUBSTITUTE(_xlfn.TEXTJOIN("",TRUE,IF(ISERR(MID(C3449,ROW(INDIRECT("1:100")),1)+0),MID(C3449,ROW(INDIRECT("1:100")),1),"")),")",""),"(","")</f>
        <v/>
      </c>
    </row>
    <row r="3450" spans="8:8" x14ac:dyDescent="0.25">
      <c r="H3450" s="4" t="str">
        <f t="array" aca="1" ref="H3450" ca="1">SUBSTITUTE(SUBSTITUTE(_xlfn.TEXTJOIN("",TRUE,IF(ISERR(MID(C3450,ROW(INDIRECT("1:100")),1)+0),MID(C3450,ROW(INDIRECT("1:100")),1),"")),")",""),"(","")</f>
        <v/>
      </c>
    </row>
    <row r="3451" spans="8:8" x14ac:dyDescent="0.25">
      <c r="H3451" s="4" t="str">
        <f t="array" aca="1" ref="H3451" ca="1">SUBSTITUTE(SUBSTITUTE(_xlfn.TEXTJOIN("",TRUE,IF(ISERR(MID(C3451,ROW(INDIRECT("1:100")),1)+0),MID(C3451,ROW(INDIRECT("1:100")),1),"")),")",""),"(","")</f>
        <v/>
      </c>
    </row>
    <row r="3452" spans="8:8" x14ac:dyDescent="0.25">
      <c r="H3452" s="4" t="str">
        <f t="array" aca="1" ref="H3452" ca="1">SUBSTITUTE(SUBSTITUTE(_xlfn.TEXTJOIN("",TRUE,IF(ISERR(MID(C3452,ROW(INDIRECT("1:100")),1)+0),MID(C3452,ROW(INDIRECT("1:100")),1),"")),")",""),"(","")</f>
        <v/>
      </c>
    </row>
    <row r="3453" spans="8:8" x14ac:dyDescent="0.25">
      <c r="H3453" s="4" t="str">
        <f t="array" aca="1" ref="H3453" ca="1">SUBSTITUTE(SUBSTITUTE(_xlfn.TEXTJOIN("",TRUE,IF(ISERR(MID(C3453,ROW(INDIRECT("1:100")),1)+0),MID(C3453,ROW(INDIRECT("1:100")),1),"")),")",""),"(","")</f>
        <v/>
      </c>
    </row>
    <row r="3454" spans="8:8" x14ac:dyDescent="0.25">
      <c r="H3454" s="4" t="str">
        <f t="array" aca="1" ref="H3454" ca="1">SUBSTITUTE(SUBSTITUTE(_xlfn.TEXTJOIN("",TRUE,IF(ISERR(MID(C3454,ROW(INDIRECT("1:100")),1)+0),MID(C3454,ROW(INDIRECT("1:100")),1),"")),")",""),"(","")</f>
        <v/>
      </c>
    </row>
    <row r="3455" spans="8:8" x14ac:dyDescent="0.25">
      <c r="H3455" s="4" t="str">
        <f t="array" aca="1" ref="H3455" ca="1">SUBSTITUTE(SUBSTITUTE(_xlfn.TEXTJOIN("",TRUE,IF(ISERR(MID(C3455,ROW(INDIRECT("1:100")),1)+0),MID(C3455,ROW(INDIRECT("1:100")),1),"")),")",""),"(","")</f>
        <v/>
      </c>
    </row>
    <row r="3456" spans="8:8" x14ac:dyDescent="0.25">
      <c r="H3456" s="4" t="str">
        <f t="array" aca="1" ref="H3456" ca="1">SUBSTITUTE(SUBSTITUTE(_xlfn.TEXTJOIN("",TRUE,IF(ISERR(MID(C3456,ROW(INDIRECT("1:100")),1)+0),MID(C3456,ROW(INDIRECT("1:100")),1),"")),")",""),"(","")</f>
        <v/>
      </c>
    </row>
    <row r="3457" spans="8:8" x14ac:dyDescent="0.25">
      <c r="H3457" s="4" t="str">
        <f t="array" aca="1" ref="H3457" ca="1">SUBSTITUTE(SUBSTITUTE(_xlfn.TEXTJOIN("",TRUE,IF(ISERR(MID(C3457,ROW(INDIRECT("1:100")),1)+0),MID(C3457,ROW(INDIRECT("1:100")),1),"")),")",""),"(","")</f>
        <v/>
      </c>
    </row>
    <row r="3458" spans="8:8" x14ac:dyDescent="0.25">
      <c r="H3458" s="4" t="str">
        <f t="array" aca="1" ref="H3458" ca="1">SUBSTITUTE(SUBSTITUTE(_xlfn.TEXTJOIN("",TRUE,IF(ISERR(MID(C3458,ROW(INDIRECT("1:100")),1)+0),MID(C3458,ROW(INDIRECT("1:100")),1),"")),")",""),"(","")</f>
        <v/>
      </c>
    </row>
    <row r="3459" spans="8:8" x14ac:dyDescent="0.25">
      <c r="H3459" s="4" t="str">
        <f t="array" aca="1" ref="H3459" ca="1">SUBSTITUTE(SUBSTITUTE(_xlfn.TEXTJOIN("",TRUE,IF(ISERR(MID(C3459,ROW(INDIRECT("1:100")),1)+0),MID(C3459,ROW(INDIRECT("1:100")),1),"")),")",""),"(","")</f>
        <v/>
      </c>
    </row>
    <row r="3460" spans="8:8" x14ac:dyDescent="0.25">
      <c r="H3460" s="4" t="str">
        <f t="array" aca="1" ref="H3460" ca="1">SUBSTITUTE(SUBSTITUTE(_xlfn.TEXTJOIN("",TRUE,IF(ISERR(MID(C3460,ROW(INDIRECT("1:100")),1)+0),MID(C3460,ROW(INDIRECT("1:100")),1),"")),")",""),"(","")</f>
        <v/>
      </c>
    </row>
    <row r="3461" spans="8:8" x14ac:dyDescent="0.25">
      <c r="H3461" s="4" t="str">
        <f t="array" aca="1" ref="H3461" ca="1">SUBSTITUTE(SUBSTITUTE(_xlfn.TEXTJOIN("",TRUE,IF(ISERR(MID(C3461,ROW(INDIRECT("1:100")),1)+0),MID(C3461,ROW(INDIRECT("1:100")),1),"")),")",""),"(","")</f>
        <v/>
      </c>
    </row>
    <row r="3462" spans="8:8" x14ac:dyDescent="0.25">
      <c r="H3462" s="4" t="str">
        <f t="array" aca="1" ref="H3462" ca="1">SUBSTITUTE(SUBSTITUTE(_xlfn.TEXTJOIN("",TRUE,IF(ISERR(MID(C3462,ROW(INDIRECT("1:100")),1)+0),MID(C3462,ROW(INDIRECT("1:100")),1),"")),")",""),"(","")</f>
        <v/>
      </c>
    </row>
    <row r="3463" spans="8:8" x14ac:dyDescent="0.25">
      <c r="H3463" s="4" t="str">
        <f t="array" aca="1" ref="H3463" ca="1">SUBSTITUTE(SUBSTITUTE(_xlfn.TEXTJOIN("",TRUE,IF(ISERR(MID(C3463,ROW(INDIRECT("1:100")),1)+0),MID(C3463,ROW(INDIRECT("1:100")),1),"")),")",""),"(","")</f>
        <v/>
      </c>
    </row>
    <row r="3464" spans="8:8" x14ac:dyDescent="0.25">
      <c r="H3464" s="4" t="str">
        <f t="array" aca="1" ref="H3464" ca="1">SUBSTITUTE(SUBSTITUTE(_xlfn.TEXTJOIN("",TRUE,IF(ISERR(MID(C3464,ROW(INDIRECT("1:100")),1)+0),MID(C3464,ROW(INDIRECT("1:100")),1),"")),")",""),"(","")</f>
        <v/>
      </c>
    </row>
    <row r="3465" spans="8:8" x14ac:dyDescent="0.25">
      <c r="H3465" s="4" t="str">
        <f t="array" aca="1" ref="H3465" ca="1">SUBSTITUTE(SUBSTITUTE(_xlfn.TEXTJOIN("",TRUE,IF(ISERR(MID(C3465,ROW(INDIRECT("1:100")),1)+0),MID(C3465,ROW(INDIRECT("1:100")),1),"")),")",""),"(","")</f>
        <v/>
      </c>
    </row>
    <row r="3466" spans="8:8" x14ac:dyDescent="0.25">
      <c r="H3466" s="4" t="str">
        <f t="array" aca="1" ref="H3466" ca="1">SUBSTITUTE(SUBSTITUTE(_xlfn.TEXTJOIN("",TRUE,IF(ISERR(MID(C3466,ROW(INDIRECT("1:100")),1)+0),MID(C3466,ROW(INDIRECT("1:100")),1),"")),")",""),"(","")</f>
        <v/>
      </c>
    </row>
    <row r="3467" spans="8:8" x14ac:dyDescent="0.25">
      <c r="H3467" s="4" t="str">
        <f t="array" aca="1" ref="H3467" ca="1">SUBSTITUTE(SUBSTITUTE(_xlfn.TEXTJOIN("",TRUE,IF(ISERR(MID(C3467,ROW(INDIRECT("1:100")),1)+0),MID(C3467,ROW(INDIRECT("1:100")),1),"")),")",""),"(","")</f>
        <v/>
      </c>
    </row>
    <row r="3468" spans="8:8" x14ac:dyDescent="0.25">
      <c r="H3468" s="4" t="str">
        <f t="array" aca="1" ref="H3468" ca="1">SUBSTITUTE(SUBSTITUTE(_xlfn.TEXTJOIN("",TRUE,IF(ISERR(MID(C3468,ROW(INDIRECT("1:100")),1)+0),MID(C3468,ROW(INDIRECT("1:100")),1),"")),")",""),"(","")</f>
        <v/>
      </c>
    </row>
    <row r="3469" spans="8:8" x14ac:dyDescent="0.25">
      <c r="H3469" s="4" t="str">
        <f t="array" aca="1" ref="H3469" ca="1">SUBSTITUTE(SUBSTITUTE(_xlfn.TEXTJOIN("",TRUE,IF(ISERR(MID(C3469,ROW(INDIRECT("1:100")),1)+0),MID(C3469,ROW(INDIRECT("1:100")),1),"")),")",""),"(","")</f>
        <v/>
      </c>
    </row>
    <row r="3470" spans="8:8" x14ac:dyDescent="0.25">
      <c r="H3470" s="4" t="str">
        <f t="array" aca="1" ref="H3470" ca="1">SUBSTITUTE(SUBSTITUTE(_xlfn.TEXTJOIN("",TRUE,IF(ISERR(MID(C3470,ROW(INDIRECT("1:100")),1)+0),MID(C3470,ROW(INDIRECT("1:100")),1),"")),")",""),"(","")</f>
        <v/>
      </c>
    </row>
    <row r="3471" spans="8:8" x14ac:dyDescent="0.25">
      <c r="H3471" s="4" t="str">
        <f t="array" aca="1" ref="H3471" ca="1">SUBSTITUTE(SUBSTITUTE(_xlfn.TEXTJOIN("",TRUE,IF(ISERR(MID(C3471,ROW(INDIRECT("1:100")),1)+0),MID(C3471,ROW(INDIRECT("1:100")),1),"")),")",""),"(","")</f>
        <v/>
      </c>
    </row>
    <row r="3472" spans="8:8" x14ac:dyDescent="0.25">
      <c r="H3472" s="4" t="str">
        <f t="array" aca="1" ref="H3472" ca="1">SUBSTITUTE(SUBSTITUTE(_xlfn.TEXTJOIN("",TRUE,IF(ISERR(MID(C3472,ROW(INDIRECT("1:100")),1)+0),MID(C3472,ROW(INDIRECT("1:100")),1),"")),")",""),"(","")</f>
        <v/>
      </c>
    </row>
    <row r="3473" spans="8:8" x14ac:dyDescent="0.25">
      <c r="H3473" s="4" t="str">
        <f t="array" aca="1" ref="H3473" ca="1">SUBSTITUTE(SUBSTITUTE(_xlfn.TEXTJOIN("",TRUE,IF(ISERR(MID(C3473,ROW(INDIRECT("1:100")),1)+0),MID(C3473,ROW(INDIRECT("1:100")),1),"")),")",""),"(","")</f>
        <v/>
      </c>
    </row>
    <row r="3474" spans="8:8" x14ac:dyDescent="0.25">
      <c r="H3474" s="4" t="str">
        <f t="array" aca="1" ref="H3474" ca="1">SUBSTITUTE(SUBSTITUTE(_xlfn.TEXTJOIN("",TRUE,IF(ISERR(MID(C3474,ROW(INDIRECT("1:100")),1)+0),MID(C3474,ROW(INDIRECT("1:100")),1),"")),")",""),"(","")</f>
        <v/>
      </c>
    </row>
    <row r="3475" spans="8:8" x14ac:dyDescent="0.25">
      <c r="H3475" s="4" t="str">
        <f t="array" aca="1" ref="H3475" ca="1">SUBSTITUTE(SUBSTITUTE(_xlfn.TEXTJOIN("",TRUE,IF(ISERR(MID(C3475,ROW(INDIRECT("1:100")),1)+0),MID(C3475,ROW(INDIRECT("1:100")),1),"")),")",""),"(","")</f>
        <v/>
      </c>
    </row>
    <row r="3476" spans="8:8" x14ac:dyDescent="0.25">
      <c r="H3476" s="4" t="str">
        <f t="array" aca="1" ref="H3476" ca="1">SUBSTITUTE(SUBSTITUTE(_xlfn.TEXTJOIN("",TRUE,IF(ISERR(MID(C3476,ROW(INDIRECT("1:100")),1)+0),MID(C3476,ROW(INDIRECT("1:100")),1),"")),")",""),"(","")</f>
        <v/>
      </c>
    </row>
    <row r="3477" spans="8:8" x14ac:dyDescent="0.25">
      <c r="H3477" s="4" t="str">
        <f t="array" aca="1" ref="H3477" ca="1">SUBSTITUTE(SUBSTITUTE(_xlfn.TEXTJOIN("",TRUE,IF(ISERR(MID(C3477,ROW(INDIRECT("1:100")),1)+0),MID(C3477,ROW(INDIRECT("1:100")),1),"")),")",""),"(","")</f>
        <v/>
      </c>
    </row>
    <row r="3478" spans="8:8" x14ac:dyDescent="0.25">
      <c r="H3478" s="4" t="str">
        <f t="array" aca="1" ref="H3478" ca="1">SUBSTITUTE(SUBSTITUTE(_xlfn.TEXTJOIN("",TRUE,IF(ISERR(MID(C3478,ROW(INDIRECT("1:100")),1)+0),MID(C3478,ROW(INDIRECT("1:100")),1),"")),")",""),"(","")</f>
        <v/>
      </c>
    </row>
    <row r="3479" spans="8:8" x14ac:dyDescent="0.25">
      <c r="H3479" s="4" t="str">
        <f t="array" aca="1" ref="H3479" ca="1">SUBSTITUTE(SUBSTITUTE(_xlfn.TEXTJOIN("",TRUE,IF(ISERR(MID(C3479,ROW(INDIRECT("1:100")),1)+0),MID(C3479,ROW(INDIRECT("1:100")),1),"")),")",""),"(","")</f>
        <v/>
      </c>
    </row>
    <row r="3480" spans="8:8" x14ac:dyDescent="0.25">
      <c r="H3480" s="4" t="str">
        <f t="array" aca="1" ref="H3480" ca="1">SUBSTITUTE(SUBSTITUTE(_xlfn.TEXTJOIN("",TRUE,IF(ISERR(MID(C3480,ROW(INDIRECT("1:100")),1)+0),MID(C3480,ROW(INDIRECT("1:100")),1),"")),")",""),"(","")</f>
        <v/>
      </c>
    </row>
    <row r="3481" spans="8:8" x14ac:dyDescent="0.25">
      <c r="H3481" s="4" t="str">
        <f t="array" aca="1" ref="H3481" ca="1">SUBSTITUTE(SUBSTITUTE(_xlfn.TEXTJOIN("",TRUE,IF(ISERR(MID(C3481,ROW(INDIRECT("1:100")),1)+0),MID(C3481,ROW(INDIRECT("1:100")),1),"")),")",""),"(","")</f>
        <v/>
      </c>
    </row>
    <row r="3482" spans="8:8" x14ac:dyDescent="0.25">
      <c r="H3482" s="4" t="str">
        <f t="array" aca="1" ref="H3482" ca="1">SUBSTITUTE(SUBSTITUTE(_xlfn.TEXTJOIN("",TRUE,IF(ISERR(MID(C3482,ROW(INDIRECT("1:100")),1)+0),MID(C3482,ROW(INDIRECT("1:100")),1),"")),")",""),"(","")</f>
        <v/>
      </c>
    </row>
    <row r="3483" spans="8:8" x14ac:dyDescent="0.25">
      <c r="H3483" s="4" t="str">
        <f t="array" aca="1" ref="H3483" ca="1">SUBSTITUTE(SUBSTITUTE(_xlfn.TEXTJOIN("",TRUE,IF(ISERR(MID(C3483,ROW(INDIRECT("1:100")),1)+0),MID(C3483,ROW(INDIRECT("1:100")),1),"")),")",""),"(","")</f>
        <v/>
      </c>
    </row>
    <row r="3484" spans="8:8" x14ac:dyDescent="0.25">
      <c r="H3484" s="4" t="str">
        <f t="array" aca="1" ref="H3484" ca="1">SUBSTITUTE(SUBSTITUTE(_xlfn.TEXTJOIN("",TRUE,IF(ISERR(MID(C3484,ROW(INDIRECT("1:100")),1)+0),MID(C3484,ROW(INDIRECT("1:100")),1),"")),")",""),"(","")</f>
        <v/>
      </c>
    </row>
    <row r="3485" spans="8:8" x14ac:dyDescent="0.25">
      <c r="H3485" s="4" t="str">
        <f t="array" aca="1" ref="H3485" ca="1">SUBSTITUTE(SUBSTITUTE(_xlfn.TEXTJOIN("",TRUE,IF(ISERR(MID(C3485,ROW(INDIRECT("1:100")),1)+0),MID(C3485,ROW(INDIRECT("1:100")),1),"")),")",""),"(","")</f>
        <v/>
      </c>
    </row>
    <row r="3486" spans="8:8" x14ac:dyDescent="0.25">
      <c r="H3486" s="4" t="str">
        <f t="array" aca="1" ref="H3486" ca="1">SUBSTITUTE(SUBSTITUTE(_xlfn.TEXTJOIN("",TRUE,IF(ISERR(MID(C3486,ROW(INDIRECT("1:100")),1)+0),MID(C3486,ROW(INDIRECT("1:100")),1),"")),")",""),"(","")</f>
        <v/>
      </c>
    </row>
    <row r="3487" spans="8:8" x14ac:dyDescent="0.25">
      <c r="H3487" s="4" t="str">
        <f t="array" aca="1" ref="H3487" ca="1">SUBSTITUTE(SUBSTITUTE(_xlfn.TEXTJOIN("",TRUE,IF(ISERR(MID(C3487,ROW(INDIRECT("1:100")),1)+0),MID(C3487,ROW(INDIRECT("1:100")),1),"")),")",""),"(","")</f>
        <v/>
      </c>
    </row>
    <row r="3488" spans="8:8" x14ac:dyDescent="0.25">
      <c r="H3488" s="4" t="str">
        <f t="array" aca="1" ref="H3488" ca="1">SUBSTITUTE(SUBSTITUTE(_xlfn.TEXTJOIN("",TRUE,IF(ISERR(MID(C3488,ROW(INDIRECT("1:100")),1)+0),MID(C3488,ROW(INDIRECT("1:100")),1),"")),")",""),"(","")</f>
        <v/>
      </c>
    </row>
    <row r="3489" spans="8:8" x14ac:dyDescent="0.25">
      <c r="H3489" s="4" t="str">
        <f t="array" aca="1" ref="H3489" ca="1">SUBSTITUTE(SUBSTITUTE(_xlfn.TEXTJOIN("",TRUE,IF(ISERR(MID(C3489,ROW(INDIRECT("1:100")),1)+0),MID(C3489,ROW(INDIRECT("1:100")),1),"")),")",""),"(","")</f>
        <v/>
      </c>
    </row>
    <row r="3490" spans="8:8" x14ac:dyDescent="0.25">
      <c r="H3490" s="4" t="str">
        <f t="array" aca="1" ref="H3490" ca="1">SUBSTITUTE(SUBSTITUTE(_xlfn.TEXTJOIN("",TRUE,IF(ISERR(MID(C3490,ROW(INDIRECT("1:100")),1)+0),MID(C3490,ROW(INDIRECT("1:100")),1),"")),")",""),"(","")</f>
        <v/>
      </c>
    </row>
    <row r="3491" spans="8:8" x14ac:dyDescent="0.25">
      <c r="H3491" s="4" t="str">
        <f t="array" aca="1" ref="H3491" ca="1">SUBSTITUTE(SUBSTITUTE(_xlfn.TEXTJOIN("",TRUE,IF(ISERR(MID(C3491,ROW(INDIRECT("1:100")),1)+0),MID(C3491,ROW(INDIRECT("1:100")),1),"")),")",""),"(","")</f>
        <v/>
      </c>
    </row>
    <row r="3492" spans="8:8" x14ac:dyDescent="0.25">
      <c r="H3492" s="4" t="str">
        <f t="array" aca="1" ref="H3492" ca="1">SUBSTITUTE(SUBSTITUTE(_xlfn.TEXTJOIN("",TRUE,IF(ISERR(MID(C3492,ROW(INDIRECT("1:100")),1)+0),MID(C3492,ROW(INDIRECT("1:100")),1),"")),")",""),"(","")</f>
        <v/>
      </c>
    </row>
    <row r="3493" spans="8:8" x14ac:dyDescent="0.25">
      <c r="H3493" s="4" t="str">
        <f t="array" aca="1" ref="H3493" ca="1">SUBSTITUTE(SUBSTITUTE(_xlfn.TEXTJOIN("",TRUE,IF(ISERR(MID(C3493,ROW(INDIRECT("1:100")),1)+0),MID(C3493,ROW(INDIRECT("1:100")),1),"")),")",""),"(","")</f>
        <v/>
      </c>
    </row>
    <row r="3494" spans="8:8" x14ac:dyDescent="0.25">
      <c r="H3494" s="4" t="str">
        <f t="array" aca="1" ref="H3494" ca="1">SUBSTITUTE(SUBSTITUTE(_xlfn.TEXTJOIN("",TRUE,IF(ISERR(MID(C3494,ROW(INDIRECT("1:100")),1)+0),MID(C3494,ROW(INDIRECT("1:100")),1),"")),")",""),"(","")</f>
        <v/>
      </c>
    </row>
    <row r="3495" spans="8:8" x14ac:dyDescent="0.25">
      <c r="H3495" s="4" t="str">
        <f t="array" aca="1" ref="H3495" ca="1">SUBSTITUTE(SUBSTITUTE(_xlfn.TEXTJOIN("",TRUE,IF(ISERR(MID(C3495,ROW(INDIRECT("1:100")),1)+0),MID(C3495,ROW(INDIRECT("1:100")),1),"")),")",""),"(","")</f>
        <v/>
      </c>
    </row>
    <row r="3496" spans="8:8" x14ac:dyDescent="0.25">
      <c r="H3496" s="4" t="str">
        <f t="array" aca="1" ref="H3496" ca="1">SUBSTITUTE(SUBSTITUTE(_xlfn.TEXTJOIN("",TRUE,IF(ISERR(MID(C3496,ROW(INDIRECT("1:100")),1)+0),MID(C3496,ROW(INDIRECT("1:100")),1),"")),")",""),"(","")</f>
        <v/>
      </c>
    </row>
    <row r="3497" spans="8:8" x14ac:dyDescent="0.25">
      <c r="H3497" s="4" t="str">
        <f t="array" aca="1" ref="H3497" ca="1">SUBSTITUTE(SUBSTITUTE(_xlfn.TEXTJOIN("",TRUE,IF(ISERR(MID(C3497,ROW(INDIRECT("1:100")),1)+0),MID(C3497,ROW(INDIRECT("1:100")),1),"")),")",""),"(","")</f>
        <v/>
      </c>
    </row>
    <row r="3498" spans="8:8" x14ac:dyDescent="0.25">
      <c r="H3498" s="4" t="str">
        <f t="array" aca="1" ref="H3498" ca="1">SUBSTITUTE(SUBSTITUTE(_xlfn.TEXTJOIN("",TRUE,IF(ISERR(MID(C3498,ROW(INDIRECT("1:100")),1)+0),MID(C3498,ROW(INDIRECT("1:100")),1),"")),")",""),"(","")</f>
        <v/>
      </c>
    </row>
    <row r="3499" spans="8:8" x14ac:dyDescent="0.25">
      <c r="H3499" s="4" t="str">
        <f t="array" aca="1" ref="H3499" ca="1">SUBSTITUTE(SUBSTITUTE(_xlfn.TEXTJOIN("",TRUE,IF(ISERR(MID(C3499,ROW(INDIRECT("1:100")),1)+0),MID(C3499,ROW(INDIRECT("1:100")),1),"")),")",""),"(","")</f>
        <v/>
      </c>
    </row>
    <row r="3500" spans="8:8" x14ac:dyDescent="0.25">
      <c r="H3500" s="4" t="str">
        <f t="array" aca="1" ref="H3500" ca="1">SUBSTITUTE(SUBSTITUTE(_xlfn.TEXTJOIN("",TRUE,IF(ISERR(MID(C3500,ROW(INDIRECT("1:100")),1)+0),MID(C3500,ROW(INDIRECT("1:100")),1),"")),")",""),"(","")</f>
        <v/>
      </c>
    </row>
    <row r="3501" spans="8:8" x14ac:dyDescent="0.25">
      <c r="H3501" s="4" t="str">
        <f t="array" aca="1" ref="H3501" ca="1">SUBSTITUTE(SUBSTITUTE(_xlfn.TEXTJOIN("",TRUE,IF(ISERR(MID(C3501,ROW(INDIRECT("1:100")),1)+0),MID(C3501,ROW(INDIRECT("1:100")),1),"")),")",""),"(","")</f>
        <v/>
      </c>
    </row>
    <row r="3502" spans="8:8" x14ac:dyDescent="0.25">
      <c r="H3502" s="4" t="str">
        <f t="array" aca="1" ref="H3502" ca="1">SUBSTITUTE(SUBSTITUTE(_xlfn.TEXTJOIN("",TRUE,IF(ISERR(MID(C3502,ROW(INDIRECT("1:100")),1)+0),MID(C3502,ROW(INDIRECT("1:100")),1),"")),")",""),"(","")</f>
        <v/>
      </c>
    </row>
    <row r="3503" spans="8:8" x14ac:dyDescent="0.25">
      <c r="H3503" s="4" t="str">
        <f t="array" aca="1" ref="H3503" ca="1">SUBSTITUTE(SUBSTITUTE(_xlfn.TEXTJOIN("",TRUE,IF(ISERR(MID(C3503,ROW(INDIRECT("1:100")),1)+0),MID(C3503,ROW(INDIRECT("1:100")),1),"")),")",""),"(","")</f>
        <v/>
      </c>
    </row>
    <row r="3504" spans="8:8" x14ac:dyDescent="0.25">
      <c r="H3504" s="4" t="str">
        <f t="array" aca="1" ref="H3504" ca="1">SUBSTITUTE(SUBSTITUTE(_xlfn.TEXTJOIN("",TRUE,IF(ISERR(MID(C3504,ROW(INDIRECT("1:100")),1)+0),MID(C3504,ROW(INDIRECT("1:100")),1),"")),")",""),"(","")</f>
        <v/>
      </c>
    </row>
    <row r="3505" spans="8:8" x14ac:dyDescent="0.25">
      <c r="H3505" s="4" t="str">
        <f t="array" aca="1" ref="H3505" ca="1">SUBSTITUTE(SUBSTITUTE(_xlfn.TEXTJOIN("",TRUE,IF(ISERR(MID(C3505,ROW(INDIRECT("1:100")),1)+0),MID(C3505,ROW(INDIRECT("1:100")),1),"")),")",""),"(","")</f>
        <v/>
      </c>
    </row>
    <row r="3506" spans="8:8" x14ac:dyDescent="0.25">
      <c r="H3506" s="4" t="str">
        <f t="array" aca="1" ref="H3506" ca="1">SUBSTITUTE(SUBSTITUTE(_xlfn.TEXTJOIN("",TRUE,IF(ISERR(MID(C3506,ROW(INDIRECT("1:100")),1)+0),MID(C3506,ROW(INDIRECT("1:100")),1),"")),")",""),"(","")</f>
        <v/>
      </c>
    </row>
    <row r="3507" spans="8:8" x14ac:dyDescent="0.25">
      <c r="H3507" s="4" t="str">
        <f t="array" aca="1" ref="H3507" ca="1">SUBSTITUTE(SUBSTITUTE(_xlfn.TEXTJOIN("",TRUE,IF(ISERR(MID(C3507,ROW(INDIRECT("1:100")),1)+0),MID(C3507,ROW(INDIRECT("1:100")),1),"")),")",""),"(","")</f>
        <v/>
      </c>
    </row>
    <row r="3508" spans="8:8" x14ac:dyDescent="0.25">
      <c r="H3508" s="4" t="str">
        <f t="array" aca="1" ref="H3508" ca="1">SUBSTITUTE(SUBSTITUTE(_xlfn.TEXTJOIN("",TRUE,IF(ISERR(MID(C3508,ROW(INDIRECT("1:100")),1)+0),MID(C3508,ROW(INDIRECT("1:100")),1),"")),")",""),"(","")</f>
        <v/>
      </c>
    </row>
    <row r="3509" spans="8:8" x14ac:dyDescent="0.25">
      <c r="H3509" s="4" t="str">
        <f t="array" aca="1" ref="H3509" ca="1">SUBSTITUTE(SUBSTITUTE(_xlfn.TEXTJOIN("",TRUE,IF(ISERR(MID(C3509,ROW(INDIRECT("1:100")),1)+0),MID(C3509,ROW(INDIRECT("1:100")),1),"")),")",""),"(","")</f>
        <v/>
      </c>
    </row>
    <row r="3510" spans="8:8" x14ac:dyDescent="0.25">
      <c r="H3510" s="4" t="str">
        <f t="array" aca="1" ref="H3510" ca="1">SUBSTITUTE(SUBSTITUTE(_xlfn.TEXTJOIN("",TRUE,IF(ISERR(MID(C3510,ROW(INDIRECT("1:100")),1)+0),MID(C3510,ROW(INDIRECT("1:100")),1),"")),")",""),"(","")</f>
        <v/>
      </c>
    </row>
    <row r="3511" spans="8:8" x14ac:dyDescent="0.25">
      <c r="H3511" s="4" t="str">
        <f t="array" aca="1" ref="H3511" ca="1">SUBSTITUTE(SUBSTITUTE(_xlfn.TEXTJOIN("",TRUE,IF(ISERR(MID(C3511,ROW(INDIRECT("1:100")),1)+0),MID(C3511,ROW(INDIRECT("1:100")),1),"")),")",""),"(","")</f>
        <v/>
      </c>
    </row>
    <row r="3512" spans="8:8" x14ac:dyDescent="0.25">
      <c r="H3512" s="4" t="str">
        <f t="array" aca="1" ref="H3512" ca="1">SUBSTITUTE(SUBSTITUTE(_xlfn.TEXTJOIN("",TRUE,IF(ISERR(MID(C3512,ROW(INDIRECT("1:100")),1)+0),MID(C3512,ROW(INDIRECT("1:100")),1),"")),")",""),"(","")</f>
        <v/>
      </c>
    </row>
    <row r="3513" spans="8:8" x14ac:dyDescent="0.25">
      <c r="H3513" s="4" t="str">
        <f t="array" aca="1" ref="H3513" ca="1">SUBSTITUTE(SUBSTITUTE(_xlfn.TEXTJOIN("",TRUE,IF(ISERR(MID(C3513,ROW(INDIRECT("1:100")),1)+0),MID(C3513,ROW(INDIRECT("1:100")),1),"")),")",""),"(","")</f>
        <v/>
      </c>
    </row>
    <row r="3514" spans="8:8" x14ac:dyDescent="0.25">
      <c r="H3514" s="4" t="str">
        <f t="array" aca="1" ref="H3514" ca="1">SUBSTITUTE(SUBSTITUTE(_xlfn.TEXTJOIN("",TRUE,IF(ISERR(MID(C3514,ROW(INDIRECT("1:100")),1)+0),MID(C3514,ROW(INDIRECT("1:100")),1),"")),")",""),"(","")</f>
        <v/>
      </c>
    </row>
    <row r="3515" spans="8:8" x14ac:dyDescent="0.25">
      <c r="H3515" s="4" t="str">
        <f t="array" aca="1" ref="H3515" ca="1">SUBSTITUTE(SUBSTITUTE(_xlfn.TEXTJOIN("",TRUE,IF(ISERR(MID(C3515,ROW(INDIRECT("1:100")),1)+0),MID(C3515,ROW(INDIRECT("1:100")),1),"")),")",""),"(","")</f>
        <v/>
      </c>
    </row>
    <row r="3516" spans="8:8" x14ac:dyDescent="0.25">
      <c r="H3516" s="4" t="str">
        <f t="array" aca="1" ref="H3516" ca="1">SUBSTITUTE(SUBSTITUTE(_xlfn.TEXTJOIN("",TRUE,IF(ISERR(MID(C3516,ROW(INDIRECT("1:100")),1)+0),MID(C3516,ROW(INDIRECT("1:100")),1),"")),")",""),"(","")</f>
        <v/>
      </c>
    </row>
    <row r="3517" spans="8:8" x14ac:dyDescent="0.25">
      <c r="H3517" s="4" t="str">
        <f t="array" aca="1" ref="H3517" ca="1">SUBSTITUTE(SUBSTITUTE(_xlfn.TEXTJOIN("",TRUE,IF(ISERR(MID(C3517,ROW(INDIRECT("1:100")),1)+0),MID(C3517,ROW(INDIRECT("1:100")),1),"")),")",""),"(","")</f>
        <v/>
      </c>
    </row>
    <row r="3518" spans="8:8" x14ac:dyDescent="0.25">
      <c r="H3518" s="4" t="str">
        <f t="array" aca="1" ref="H3518" ca="1">SUBSTITUTE(SUBSTITUTE(_xlfn.TEXTJOIN("",TRUE,IF(ISERR(MID(C3518,ROW(INDIRECT("1:100")),1)+0),MID(C3518,ROW(INDIRECT("1:100")),1),"")),")",""),"(","")</f>
        <v/>
      </c>
    </row>
    <row r="3519" spans="8:8" x14ac:dyDescent="0.25">
      <c r="H3519" s="4" t="str">
        <f t="array" aca="1" ref="H3519" ca="1">SUBSTITUTE(SUBSTITUTE(_xlfn.TEXTJOIN("",TRUE,IF(ISERR(MID(C3519,ROW(INDIRECT("1:100")),1)+0),MID(C3519,ROW(INDIRECT("1:100")),1),"")),")",""),"(","")</f>
        <v/>
      </c>
    </row>
    <row r="3520" spans="8:8" x14ac:dyDescent="0.25">
      <c r="H3520" s="4" t="str">
        <f t="array" aca="1" ref="H3520" ca="1">SUBSTITUTE(SUBSTITUTE(_xlfn.TEXTJOIN("",TRUE,IF(ISERR(MID(C3520,ROW(INDIRECT("1:100")),1)+0),MID(C3520,ROW(INDIRECT("1:100")),1),"")),")",""),"(","")</f>
        <v/>
      </c>
    </row>
    <row r="3521" spans="8:8" x14ac:dyDescent="0.25">
      <c r="H3521" s="4" t="str">
        <f t="array" aca="1" ref="H3521" ca="1">SUBSTITUTE(SUBSTITUTE(_xlfn.TEXTJOIN("",TRUE,IF(ISERR(MID(C3521,ROW(INDIRECT("1:100")),1)+0),MID(C3521,ROW(INDIRECT("1:100")),1),"")),")",""),"(","")</f>
        <v/>
      </c>
    </row>
    <row r="3522" spans="8:8" x14ac:dyDescent="0.25">
      <c r="H3522" s="4" t="str">
        <f t="array" aca="1" ref="H3522" ca="1">SUBSTITUTE(SUBSTITUTE(_xlfn.TEXTJOIN("",TRUE,IF(ISERR(MID(C3522,ROW(INDIRECT("1:100")),1)+0),MID(C3522,ROW(INDIRECT("1:100")),1),"")),")",""),"(","")</f>
        <v/>
      </c>
    </row>
    <row r="3523" spans="8:8" x14ac:dyDescent="0.25">
      <c r="H3523" s="4" t="str">
        <f t="array" aca="1" ref="H3523" ca="1">SUBSTITUTE(SUBSTITUTE(_xlfn.TEXTJOIN("",TRUE,IF(ISERR(MID(C3523,ROW(INDIRECT("1:100")),1)+0),MID(C3523,ROW(INDIRECT("1:100")),1),"")),")",""),"(","")</f>
        <v/>
      </c>
    </row>
    <row r="3524" spans="8:8" x14ac:dyDescent="0.25">
      <c r="H3524" s="4" t="str">
        <f t="array" aca="1" ref="H3524" ca="1">SUBSTITUTE(SUBSTITUTE(_xlfn.TEXTJOIN("",TRUE,IF(ISERR(MID(C3524,ROW(INDIRECT("1:100")),1)+0),MID(C3524,ROW(INDIRECT("1:100")),1),"")),")",""),"(","")</f>
        <v/>
      </c>
    </row>
    <row r="3525" spans="8:8" x14ac:dyDescent="0.25">
      <c r="H3525" s="4" t="str">
        <f t="array" aca="1" ref="H3525" ca="1">SUBSTITUTE(SUBSTITUTE(_xlfn.TEXTJOIN("",TRUE,IF(ISERR(MID(C3525,ROW(INDIRECT("1:100")),1)+0),MID(C3525,ROW(INDIRECT("1:100")),1),"")),")",""),"(","")</f>
        <v/>
      </c>
    </row>
    <row r="3526" spans="8:8" x14ac:dyDescent="0.25">
      <c r="H3526" s="4" t="str">
        <f t="array" aca="1" ref="H3526" ca="1">SUBSTITUTE(SUBSTITUTE(_xlfn.TEXTJOIN("",TRUE,IF(ISERR(MID(C3526,ROW(INDIRECT("1:100")),1)+0),MID(C3526,ROW(INDIRECT("1:100")),1),"")),")",""),"(","")</f>
        <v/>
      </c>
    </row>
    <row r="3527" spans="8:8" x14ac:dyDescent="0.25">
      <c r="H3527" s="4" t="str">
        <f t="array" aca="1" ref="H3527" ca="1">SUBSTITUTE(SUBSTITUTE(_xlfn.TEXTJOIN("",TRUE,IF(ISERR(MID(C3527,ROW(INDIRECT("1:100")),1)+0),MID(C3527,ROW(INDIRECT("1:100")),1),"")),")",""),"(","")</f>
        <v/>
      </c>
    </row>
    <row r="3528" spans="8:8" x14ac:dyDescent="0.25">
      <c r="H3528" s="4" t="str">
        <f t="array" aca="1" ref="H3528" ca="1">SUBSTITUTE(SUBSTITUTE(_xlfn.TEXTJOIN("",TRUE,IF(ISERR(MID(C3528,ROW(INDIRECT("1:100")),1)+0),MID(C3528,ROW(INDIRECT("1:100")),1),"")),")",""),"(","")</f>
        <v/>
      </c>
    </row>
    <row r="3529" spans="8:8" x14ac:dyDescent="0.25">
      <c r="H3529" s="4" t="str">
        <f t="array" aca="1" ref="H3529" ca="1">SUBSTITUTE(SUBSTITUTE(_xlfn.TEXTJOIN("",TRUE,IF(ISERR(MID(C3529,ROW(INDIRECT("1:100")),1)+0),MID(C3529,ROW(INDIRECT("1:100")),1),"")),")",""),"(","")</f>
        <v/>
      </c>
    </row>
    <row r="3530" spans="8:8" x14ac:dyDescent="0.25">
      <c r="H3530" s="4" t="str">
        <f t="array" aca="1" ref="H3530" ca="1">SUBSTITUTE(SUBSTITUTE(_xlfn.TEXTJOIN("",TRUE,IF(ISERR(MID(C3530,ROW(INDIRECT("1:100")),1)+0),MID(C3530,ROW(INDIRECT("1:100")),1),"")),")",""),"(","")</f>
        <v/>
      </c>
    </row>
    <row r="3531" spans="8:8" x14ac:dyDescent="0.25">
      <c r="H3531" s="4" t="str">
        <f t="array" aca="1" ref="H3531" ca="1">SUBSTITUTE(SUBSTITUTE(_xlfn.TEXTJOIN("",TRUE,IF(ISERR(MID(C3531,ROW(INDIRECT("1:100")),1)+0),MID(C3531,ROW(INDIRECT("1:100")),1),"")),")",""),"(","")</f>
        <v/>
      </c>
    </row>
    <row r="3532" spans="8:8" x14ac:dyDescent="0.25">
      <c r="H3532" s="4" t="str">
        <f t="array" aca="1" ref="H3532" ca="1">SUBSTITUTE(SUBSTITUTE(_xlfn.TEXTJOIN("",TRUE,IF(ISERR(MID(C3532,ROW(INDIRECT("1:100")),1)+0),MID(C3532,ROW(INDIRECT("1:100")),1),"")),")",""),"(","")</f>
        <v/>
      </c>
    </row>
    <row r="3533" spans="8:8" x14ac:dyDescent="0.25">
      <c r="H3533" s="4" t="str">
        <f t="array" aca="1" ref="H3533" ca="1">SUBSTITUTE(SUBSTITUTE(_xlfn.TEXTJOIN("",TRUE,IF(ISERR(MID(C3533,ROW(INDIRECT("1:100")),1)+0),MID(C3533,ROW(INDIRECT("1:100")),1),"")),")",""),"(","")</f>
        <v/>
      </c>
    </row>
    <row r="3534" spans="8:8" x14ac:dyDescent="0.25">
      <c r="H3534" s="4" t="str">
        <f t="array" aca="1" ref="H3534" ca="1">SUBSTITUTE(SUBSTITUTE(_xlfn.TEXTJOIN("",TRUE,IF(ISERR(MID(C3534,ROW(INDIRECT("1:100")),1)+0),MID(C3534,ROW(INDIRECT("1:100")),1),"")),")",""),"(","")</f>
        <v/>
      </c>
    </row>
    <row r="3535" spans="8:8" x14ac:dyDescent="0.25">
      <c r="H3535" s="4" t="str">
        <f t="array" aca="1" ref="H3535" ca="1">SUBSTITUTE(SUBSTITUTE(_xlfn.TEXTJOIN("",TRUE,IF(ISERR(MID(C3535,ROW(INDIRECT("1:100")),1)+0),MID(C3535,ROW(INDIRECT("1:100")),1),"")),")",""),"(","")</f>
        <v/>
      </c>
    </row>
    <row r="3536" spans="8:8" x14ac:dyDescent="0.25">
      <c r="H3536" s="4" t="str">
        <f t="array" aca="1" ref="H3536" ca="1">SUBSTITUTE(SUBSTITUTE(_xlfn.TEXTJOIN("",TRUE,IF(ISERR(MID(C3536,ROW(INDIRECT("1:100")),1)+0),MID(C3536,ROW(INDIRECT("1:100")),1),"")),")",""),"(","")</f>
        <v/>
      </c>
    </row>
    <row r="3537" spans="8:8" x14ac:dyDescent="0.25">
      <c r="H3537" s="4" t="str">
        <f t="array" aca="1" ref="H3537" ca="1">SUBSTITUTE(SUBSTITUTE(_xlfn.TEXTJOIN("",TRUE,IF(ISERR(MID(C3537,ROW(INDIRECT("1:100")),1)+0),MID(C3537,ROW(INDIRECT("1:100")),1),"")),")",""),"(","")</f>
        <v/>
      </c>
    </row>
    <row r="3538" spans="8:8" x14ac:dyDescent="0.25">
      <c r="H3538" s="4" t="str">
        <f t="array" aca="1" ref="H3538" ca="1">SUBSTITUTE(SUBSTITUTE(_xlfn.TEXTJOIN("",TRUE,IF(ISERR(MID(C3538,ROW(INDIRECT("1:100")),1)+0),MID(C3538,ROW(INDIRECT("1:100")),1),"")),")",""),"(","")</f>
        <v/>
      </c>
    </row>
    <row r="3539" spans="8:8" x14ac:dyDescent="0.25">
      <c r="H3539" s="4" t="str">
        <f t="array" aca="1" ref="H3539" ca="1">SUBSTITUTE(SUBSTITUTE(_xlfn.TEXTJOIN("",TRUE,IF(ISERR(MID(C3539,ROW(INDIRECT("1:100")),1)+0),MID(C3539,ROW(INDIRECT("1:100")),1),"")),")",""),"(","")</f>
        <v/>
      </c>
    </row>
    <row r="3540" spans="8:8" x14ac:dyDescent="0.25">
      <c r="H3540" s="4" t="str">
        <f t="array" aca="1" ref="H3540" ca="1">SUBSTITUTE(SUBSTITUTE(_xlfn.TEXTJOIN("",TRUE,IF(ISERR(MID(C3540,ROW(INDIRECT("1:100")),1)+0),MID(C3540,ROW(INDIRECT("1:100")),1),"")),")",""),"(","")</f>
        <v/>
      </c>
    </row>
    <row r="3541" spans="8:8" x14ac:dyDescent="0.25">
      <c r="H3541" s="4" t="str">
        <f t="array" aca="1" ref="H3541" ca="1">SUBSTITUTE(SUBSTITUTE(_xlfn.TEXTJOIN("",TRUE,IF(ISERR(MID(C3541,ROW(INDIRECT("1:100")),1)+0),MID(C3541,ROW(INDIRECT("1:100")),1),"")),")",""),"(","")</f>
        <v/>
      </c>
    </row>
    <row r="3542" spans="8:8" x14ac:dyDescent="0.25">
      <c r="H3542" s="4" t="str">
        <f t="array" aca="1" ref="H3542" ca="1">SUBSTITUTE(SUBSTITUTE(_xlfn.TEXTJOIN("",TRUE,IF(ISERR(MID(C3542,ROW(INDIRECT("1:100")),1)+0),MID(C3542,ROW(INDIRECT("1:100")),1),"")),")",""),"(","")</f>
        <v/>
      </c>
    </row>
    <row r="3543" spans="8:8" x14ac:dyDescent="0.25">
      <c r="H3543" s="4" t="str">
        <f t="array" aca="1" ref="H3543" ca="1">SUBSTITUTE(SUBSTITUTE(_xlfn.TEXTJOIN("",TRUE,IF(ISERR(MID(C3543,ROW(INDIRECT("1:100")),1)+0),MID(C3543,ROW(INDIRECT("1:100")),1),"")),")",""),"(","")</f>
        <v/>
      </c>
    </row>
    <row r="3544" spans="8:8" x14ac:dyDescent="0.25">
      <c r="H3544" s="4" t="str">
        <f t="array" aca="1" ref="H3544" ca="1">SUBSTITUTE(SUBSTITUTE(_xlfn.TEXTJOIN("",TRUE,IF(ISERR(MID(C3544,ROW(INDIRECT("1:100")),1)+0),MID(C3544,ROW(INDIRECT("1:100")),1),"")),")",""),"(","")</f>
        <v/>
      </c>
    </row>
    <row r="3545" spans="8:8" x14ac:dyDescent="0.25">
      <c r="H3545" s="4" t="str">
        <f t="array" aca="1" ref="H3545" ca="1">SUBSTITUTE(SUBSTITUTE(_xlfn.TEXTJOIN("",TRUE,IF(ISERR(MID(C3545,ROW(INDIRECT("1:100")),1)+0),MID(C3545,ROW(INDIRECT("1:100")),1),"")),")",""),"(","")</f>
        <v/>
      </c>
    </row>
    <row r="3546" spans="8:8" x14ac:dyDescent="0.25">
      <c r="H3546" s="4" t="str">
        <f t="array" aca="1" ref="H3546" ca="1">SUBSTITUTE(SUBSTITUTE(_xlfn.TEXTJOIN("",TRUE,IF(ISERR(MID(C3546,ROW(INDIRECT("1:100")),1)+0),MID(C3546,ROW(INDIRECT("1:100")),1),"")),")",""),"(","")</f>
        <v/>
      </c>
    </row>
    <row r="3547" spans="8:8" x14ac:dyDescent="0.25">
      <c r="H3547" s="4" t="str">
        <f t="array" aca="1" ref="H3547" ca="1">SUBSTITUTE(SUBSTITUTE(_xlfn.TEXTJOIN("",TRUE,IF(ISERR(MID(C3547,ROW(INDIRECT("1:100")),1)+0),MID(C3547,ROW(INDIRECT("1:100")),1),"")),")",""),"(","")</f>
        <v/>
      </c>
    </row>
    <row r="3548" spans="8:8" x14ac:dyDescent="0.25">
      <c r="H3548" s="4" t="str">
        <f t="array" aca="1" ref="H3548" ca="1">SUBSTITUTE(SUBSTITUTE(_xlfn.TEXTJOIN("",TRUE,IF(ISERR(MID(C3548,ROW(INDIRECT("1:100")),1)+0),MID(C3548,ROW(INDIRECT("1:100")),1),"")),")",""),"(","")</f>
        <v/>
      </c>
    </row>
    <row r="3549" spans="8:8" x14ac:dyDescent="0.25">
      <c r="H3549" s="4" t="str">
        <f t="array" aca="1" ref="H3549" ca="1">SUBSTITUTE(SUBSTITUTE(_xlfn.TEXTJOIN("",TRUE,IF(ISERR(MID(C3549,ROW(INDIRECT("1:100")),1)+0),MID(C3549,ROW(INDIRECT("1:100")),1),"")),")",""),"(","")</f>
        <v/>
      </c>
    </row>
    <row r="3550" spans="8:8" x14ac:dyDescent="0.25">
      <c r="H3550" s="4" t="str">
        <f t="array" aca="1" ref="H3550" ca="1">SUBSTITUTE(SUBSTITUTE(_xlfn.TEXTJOIN("",TRUE,IF(ISERR(MID(C3550,ROW(INDIRECT("1:100")),1)+0),MID(C3550,ROW(INDIRECT("1:100")),1),"")),")",""),"(","")</f>
        <v/>
      </c>
    </row>
    <row r="3551" spans="8:8" x14ac:dyDescent="0.25">
      <c r="H3551" s="4" t="str">
        <f t="array" aca="1" ref="H3551" ca="1">SUBSTITUTE(SUBSTITUTE(_xlfn.TEXTJOIN("",TRUE,IF(ISERR(MID(C3551,ROW(INDIRECT("1:100")),1)+0),MID(C3551,ROW(INDIRECT("1:100")),1),"")),")",""),"(","")</f>
        <v/>
      </c>
    </row>
    <row r="3552" spans="8:8" x14ac:dyDescent="0.25">
      <c r="H3552" s="4" t="str">
        <f t="array" aca="1" ref="H3552" ca="1">SUBSTITUTE(SUBSTITUTE(_xlfn.TEXTJOIN("",TRUE,IF(ISERR(MID(C3552,ROW(INDIRECT("1:100")),1)+0),MID(C3552,ROW(INDIRECT("1:100")),1),"")),")",""),"(","")</f>
        <v/>
      </c>
    </row>
    <row r="3553" spans="8:8" x14ac:dyDescent="0.25">
      <c r="H3553" s="4" t="str">
        <f t="array" aca="1" ref="H3553" ca="1">SUBSTITUTE(SUBSTITUTE(_xlfn.TEXTJOIN("",TRUE,IF(ISERR(MID(C3553,ROW(INDIRECT("1:100")),1)+0),MID(C3553,ROW(INDIRECT("1:100")),1),"")),")",""),"(","")</f>
        <v/>
      </c>
    </row>
    <row r="3554" spans="8:8" x14ac:dyDescent="0.25">
      <c r="H3554" s="4" t="str">
        <f t="array" aca="1" ref="H3554" ca="1">SUBSTITUTE(SUBSTITUTE(_xlfn.TEXTJOIN("",TRUE,IF(ISERR(MID(C3554,ROW(INDIRECT("1:100")),1)+0),MID(C3554,ROW(INDIRECT("1:100")),1),"")),")",""),"(","")</f>
        <v/>
      </c>
    </row>
    <row r="3555" spans="8:8" x14ac:dyDescent="0.25">
      <c r="H3555" s="4" t="str">
        <f t="array" aca="1" ref="H3555" ca="1">SUBSTITUTE(SUBSTITUTE(_xlfn.TEXTJOIN("",TRUE,IF(ISERR(MID(C3555,ROW(INDIRECT("1:100")),1)+0),MID(C3555,ROW(INDIRECT("1:100")),1),"")),")",""),"(","")</f>
        <v/>
      </c>
    </row>
    <row r="3556" spans="8:8" x14ac:dyDescent="0.25">
      <c r="H3556" s="4" t="str">
        <f t="array" aca="1" ref="H3556" ca="1">SUBSTITUTE(SUBSTITUTE(_xlfn.TEXTJOIN("",TRUE,IF(ISERR(MID(C3556,ROW(INDIRECT("1:100")),1)+0),MID(C3556,ROW(INDIRECT("1:100")),1),"")),")",""),"(","")</f>
        <v/>
      </c>
    </row>
    <row r="3557" spans="8:8" x14ac:dyDescent="0.25">
      <c r="H3557" s="4" t="str">
        <f t="array" aca="1" ref="H3557" ca="1">SUBSTITUTE(SUBSTITUTE(_xlfn.TEXTJOIN("",TRUE,IF(ISERR(MID(C3557,ROW(INDIRECT("1:100")),1)+0),MID(C3557,ROW(INDIRECT("1:100")),1),"")),")",""),"(","")</f>
        <v/>
      </c>
    </row>
    <row r="3558" spans="8:8" x14ac:dyDescent="0.25">
      <c r="H3558" s="4" t="str">
        <f t="array" aca="1" ref="H3558" ca="1">SUBSTITUTE(SUBSTITUTE(_xlfn.TEXTJOIN("",TRUE,IF(ISERR(MID(C3558,ROW(INDIRECT("1:100")),1)+0),MID(C3558,ROW(INDIRECT("1:100")),1),"")),")",""),"(","")</f>
        <v/>
      </c>
    </row>
    <row r="3559" spans="8:8" x14ac:dyDescent="0.25">
      <c r="H3559" s="4" t="str">
        <f t="array" aca="1" ref="H3559" ca="1">SUBSTITUTE(SUBSTITUTE(_xlfn.TEXTJOIN("",TRUE,IF(ISERR(MID(C3559,ROW(INDIRECT("1:100")),1)+0),MID(C3559,ROW(INDIRECT("1:100")),1),"")),")",""),"(","")</f>
        <v/>
      </c>
    </row>
    <row r="3560" spans="8:8" x14ac:dyDescent="0.25">
      <c r="H3560" s="4" t="str">
        <f t="array" aca="1" ref="H3560" ca="1">SUBSTITUTE(SUBSTITUTE(_xlfn.TEXTJOIN("",TRUE,IF(ISERR(MID(C3560,ROW(INDIRECT("1:100")),1)+0),MID(C3560,ROW(INDIRECT("1:100")),1),"")),")",""),"(","")</f>
        <v/>
      </c>
    </row>
    <row r="3561" spans="8:8" x14ac:dyDescent="0.25">
      <c r="H3561" s="4" t="str">
        <f t="array" aca="1" ref="H3561" ca="1">SUBSTITUTE(SUBSTITUTE(_xlfn.TEXTJOIN("",TRUE,IF(ISERR(MID(C3561,ROW(INDIRECT("1:100")),1)+0),MID(C3561,ROW(INDIRECT("1:100")),1),"")),")",""),"(","")</f>
        <v/>
      </c>
    </row>
    <row r="3562" spans="8:8" x14ac:dyDescent="0.25">
      <c r="H3562" s="4" t="str">
        <f t="array" aca="1" ref="H3562" ca="1">SUBSTITUTE(SUBSTITUTE(_xlfn.TEXTJOIN("",TRUE,IF(ISERR(MID(C3562,ROW(INDIRECT("1:100")),1)+0),MID(C3562,ROW(INDIRECT("1:100")),1),"")),")",""),"(","")</f>
        <v/>
      </c>
    </row>
    <row r="3563" spans="8:8" x14ac:dyDescent="0.25">
      <c r="H3563" s="4" t="str">
        <f t="array" aca="1" ref="H3563" ca="1">SUBSTITUTE(SUBSTITUTE(_xlfn.TEXTJOIN("",TRUE,IF(ISERR(MID(C3563,ROW(INDIRECT("1:100")),1)+0),MID(C3563,ROW(INDIRECT("1:100")),1),"")),")",""),"(","")</f>
        <v/>
      </c>
    </row>
    <row r="3564" spans="8:8" x14ac:dyDescent="0.25">
      <c r="H3564" s="4" t="str">
        <f t="array" aca="1" ref="H3564" ca="1">SUBSTITUTE(SUBSTITUTE(_xlfn.TEXTJOIN("",TRUE,IF(ISERR(MID(C3564,ROW(INDIRECT("1:100")),1)+0),MID(C3564,ROW(INDIRECT("1:100")),1),"")),")",""),"(","")</f>
        <v/>
      </c>
    </row>
    <row r="3565" spans="8:8" x14ac:dyDescent="0.25">
      <c r="H3565" s="4" t="str">
        <f t="array" aca="1" ref="H3565" ca="1">SUBSTITUTE(SUBSTITUTE(_xlfn.TEXTJOIN("",TRUE,IF(ISERR(MID(C3565,ROW(INDIRECT("1:100")),1)+0),MID(C3565,ROW(INDIRECT("1:100")),1),"")),")",""),"(","")</f>
        <v/>
      </c>
    </row>
    <row r="3566" spans="8:8" x14ac:dyDescent="0.25">
      <c r="H3566" s="4" t="str">
        <f t="array" aca="1" ref="H3566" ca="1">SUBSTITUTE(SUBSTITUTE(_xlfn.TEXTJOIN("",TRUE,IF(ISERR(MID(C3566,ROW(INDIRECT("1:100")),1)+0),MID(C3566,ROW(INDIRECT("1:100")),1),"")),")",""),"(","")</f>
        <v/>
      </c>
    </row>
    <row r="3567" spans="8:8" x14ac:dyDescent="0.25">
      <c r="H3567" s="4" t="str">
        <f t="array" aca="1" ref="H3567" ca="1">SUBSTITUTE(SUBSTITUTE(_xlfn.TEXTJOIN("",TRUE,IF(ISERR(MID(C3567,ROW(INDIRECT("1:100")),1)+0),MID(C3567,ROW(INDIRECT("1:100")),1),"")),")",""),"(","")</f>
        <v/>
      </c>
    </row>
    <row r="3568" spans="8:8" x14ac:dyDescent="0.25">
      <c r="H3568" s="4" t="str">
        <f t="array" aca="1" ref="H3568" ca="1">SUBSTITUTE(SUBSTITUTE(_xlfn.TEXTJOIN("",TRUE,IF(ISERR(MID(C3568,ROW(INDIRECT("1:100")),1)+0),MID(C3568,ROW(INDIRECT("1:100")),1),"")),")",""),"(","")</f>
        <v/>
      </c>
    </row>
    <row r="3569" spans="8:8" x14ac:dyDescent="0.25">
      <c r="H3569" s="4" t="str">
        <f t="array" aca="1" ref="H3569" ca="1">SUBSTITUTE(SUBSTITUTE(_xlfn.TEXTJOIN("",TRUE,IF(ISERR(MID(C3569,ROW(INDIRECT("1:100")),1)+0),MID(C3569,ROW(INDIRECT("1:100")),1),"")),")",""),"(","")</f>
        <v/>
      </c>
    </row>
    <row r="3570" spans="8:8" x14ac:dyDescent="0.25">
      <c r="H3570" s="4" t="str">
        <f t="array" aca="1" ref="H3570" ca="1">SUBSTITUTE(SUBSTITUTE(_xlfn.TEXTJOIN("",TRUE,IF(ISERR(MID(C3570,ROW(INDIRECT("1:100")),1)+0),MID(C3570,ROW(INDIRECT("1:100")),1),"")),")",""),"(","")</f>
        <v/>
      </c>
    </row>
    <row r="3571" spans="8:8" x14ac:dyDescent="0.25">
      <c r="H3571" s="4" t="str">
        <f t="array" aca="1" ref="H3571" ca="1">SUBSTITUTE(SUBSTITUTE(_xlfn.TEXTJOIN("",TRUE,IF(ISERR(MID(C3571,ROW(INDIRECT("1:100")),1)+0),MID(C3571,ROW(INDIRECT("1:100")),1),"")),")",""),"(","")</f>
        <v/>
      </c>
    </row>
    <row r="3572" spans="8:8" x14ac:dyDescent="0.25">
      <c r="H3572" s="4" t="str">
        <f t="array" aca="1" ref="H3572" ca="1">SUBSTITUTE(SUBSTITUTE(_xlfn.TEXTJOIN("",TRUE,IF(ISERR(MID(C3572,ROW(INDIRECT("1:100")),1)+0),MID(C3572,ROW(INDIRECT("1:100")),1),"")),")",""),"(","")</f>
        <v/>
      </c>
    </row>
    <row r="3573" spans="8:8" x14ac:dyDescent="0.25">
      <c r="H3573" s="4" t="str">
        <f t="array" aca="1" ref="H3573" ca="1">SUBSTITUTE(SUBSTITUTE(_xlfn.TEXTJOIN("",TRUE,IF(ISERR(MID(C3573,ROW(INDIRECT("1:100")),1)+0),MID(C3573,ROW(INDIRECT("1:100")),1),"")),")",""),"(","")</f>
        <v/>
      </c>
    </row>
    <row r="3574" spans="8:8" x14ac:dyDescent="0.25">
      <c r="H3574" s="4" t="str">
        <f t="array" aca="1" ref="H3574" ca="1">SUBSTITUTE(SUBSTITUTE(_xlfn.TEXTJOIN("",TRUE,IF(ISERR(MID(C3574,ROW(INDIRECT("1:100")),1)+0),MID(C3574,ROW(INDIRECT("1:100")),1),"")),")",""),"(","")</f>
        <v/>
      </c>
    </row>
    <row r="3575" spans="8:8" x14ac:dyDescent="0.25">
      <c r="H3575" s="4" t="str">
        <f t="array" aca="1" ref="H3575" ca="1">SUBSTITUTE(SUBSTITUTE(_xlfn.TEXTJOIN("",TRUE,IF(ISERR(MID(C3575,ROW(INDIRECT("1:100")),1)+0),MID(C3575,ROW(INDIRECT("1:100")),1),"")),")",""),"(","")</f>
        <v/>
      </c>
    </row>
    <row r="3576" spans="8:8" x14ac:dyDescent="0.25">
      <c r="H3576" s="4" t="str">
        <f t="array" aca="1" ref="H3576" ca="1">SUBSTITUTE(SUBSTITUTE(_xlfn.TEXTJOIN("",TRUE,IF(ISERR(MID(C3576,ROW(INDIRECT("1:100")),1)+0),MID(C3576,ROW(INDIRECT("1:100")),1),"")),")",""),"(","")</f>
        <v/>
      </c>
    </row>
    <row r="3577" spans="8:8" x14ac:dyDescent="0.25">
      <c r="H3577" s="4" t="str">
        <f t="array" aca="1" ref="H3577" ca="1">SUBSTITUTE(SUBSTITUTE(_xlfn.TEXTJOIN("",TRUE,IF(ISERR(MID(C3577,ROW(INDIRECT("1:100")),1)+0),MID(C3577,ROW(INDIRECT("1:100")),1),"")),")",""),"(","")</f>
        <v/>
      </c>
    </row>
    <row r="3578" spans="8:8" x14ac:dyDescent="0.25">
      <c r="H3578" s="4" t="str">
        <f t="array" aca="1" ref="H3578" ca="1">SUBSTITUTE(SUBSTITUTE(_xlfn.TEXTJOIN("",TRUE,IF(ISERR(MID(C3578,ROW(INDIRECT("1:100")),1)+0),MID(C3578,ROW(INDIRECT("1:100")),1),"")),")",""),"(","")</f>
        <v/>
      </c>
    </row>
    <row r="3579" spans="8:8" x14ac:dyDescent="0.25">
      <c r="H3579" s="4" t="str">
        <f t="array" aca="1" ref="H3579" ca="1">SUBSTITUTE(SUBSTITUTE(_xlfn.TEXTJOIN("",TRUE,IF(ISERR(MID(C3579,ROW(INDIRECT("1:100")),1)+0),MID(C3579,ROW(INDIRECT("1:100")),1),"")),")",""),"(","")</f>
        <v/>
      </c>
    </row>
    <row r="3580" spans="8:8" x14ac:dyDescent="0.25">
      <c r="H3580" s="4" t="str">
        <f t="array" aca="1" ref="H3580" ca="1">SUBSTITUTE(SUBSTITUTE(_xlfn.TEXTJOIN("",TRUE,IF(ISERR(MID(C3580,ROW(INDIRECT("1:100")),1)+0),MID(C3580,ROW(INDIRECT("1:100")),1),"")),")",""),"(","")</f>
        <v/>
      </c>
    </row>
    <row r="3581" spans="8:8" x14ac:dyDescent="0.25">
      <c r="H3581" s="4" t="str">
        <f t="array" aca="1" ref="H3581" ca="1">SUBSTITUTE(SUBSTITUTE(_xlfn.TEXTJOIN("",TRUE,IF(ISERR(MID(C3581,ROW(INDIRECT("1:100")),1)+0),MID(C3581,ROW(INDIRECT("1:100")),1),"")),")",""),"(","")</f>
        <v/>
      </c>
    </row>
    <row r="3582" spans="8:8" x14ac:dyDescent="0.25">
      <c r="H3582" s="4" t="str">
        <f t="array" aca="1" ref="H3582" ca="1">SUBSTITUTE(SUBSTITUTE(_xlfn.TEXTJOIN("",TRUE,IF(ISERR(MID(C3582,ROW(INDIRECT("1:100")),1)+0),MID(C3582,ROW(INDIRECT("1:100")),1),"")),")",""),"(","")</f>
        <v/>
      </c>
    </row>
    <row r="3583" spans="8:8" x14ac:dyDescent="0.25">
      <c r="H3583" s="4" t="str">
        <f t="array" aca="1" ref="H3583" ca="1">SUBSTITUTE(SUBSTITUTE(_xlfn.TEXTJOIN("",TRUE,IF(ISERR(MID(C3583,ROW(INDIRECT("1:100")),1)+0),MID(C3583,ROW(INDIRECT("1:100")),1),"")),")",""),"(","")</f>
        <v/>
      </c>
    </row>
    <row r="3584" spans="8:8" x14ac:dyDescent="0.25">
      <c r="H3584" s="4" t="str">
        <f t="array" aca="1" ref="H3584" ca="1">SUBSTITUTE(SUBSTITUTE(_xlfn.TEXTJOIN("",TRUE,IF(ISERR(MID(C3584,ROW(INDIRECT("1:100")),1)+0),MID(C3584,ROW(INDIRECT("1:100")),1),"")),")",""),"(","")</f>
        <v/>
      </c>
    </row>
    <row r="3585" spans="8:8" x14ac:dyDescent="0.25">
      <c r="H3585" s="4" t="str">
        <f t="array" aca="1" ref="H3585" ca="1">SUBSTITUTE(SUBSTITUTE(_xlfn.TEXTJOIN("",TRUE,IF(ISERR(MID(C3585,ROW(INDIRECT("1:100")),1)+0),MID(C3585,ROW(INDIRECT("1:100")),1),"")),")",""),"(","")</f>
        <v/>
      </c>
    </row>
    <row r="3586" spans="8:8" x14ac:dyDescent="0.25">
      <c r="H3586" s="4" t="str">
        <f t="array" aca="1" ref="H3586" ca="1">SUBSTITUTE(SUBSTITUTE(_xlfn.TEXTJOIN("",TRUE,IF(ISERR(MID(C3586,ROW(INDIRECT("1:100")),1)+0),MID(C3586,ROW(INDIRECT("1:100")),1),"")),")",""),"(","")</f>
        <v/>
      </c>
    </row>
    <row r="3587" spans="8:8" x14ac:dyDescent="0.25">
      <c r="H3587" s="4" t="str">
        <f t="array" aca="1" ref="H3587" ca="1">SUBSTITUTE(SUBSTITUTE(_xlfn.TEXTJOIN("",TRUE,IF(ISERR(MID(C3587,ROW(INDIRECT("1:100")),1)+0),MID(C3587,ROW(INDIRECT("1:100")),1),"")),")",""),"(","")</f>
        <v/>
      </c>
    </row>
    <row r="3588" spans="8:8" x14ac:dyDescent="0.25">
      <c r="H3588" s="4" t="str">
        <f t="array" aca="1" ref="H3588" ca="1">SUBSTITUTE(SUBSTITUTE(_xlfn.TEXTJOIN("",TRUE,IF(ISERR(MID(C3588,ROW(INDIRECT("1:100")),1)+0),MID(C3588,ROW(INDIRECT("1:100")),1),"")),")",""),"(","")</f>
        <v/>
      </c>
    </row>
    <row r="3589" spans="8:8" x14ac:dyDescent="0.25">
      <c r="H3589" s="4" t="str">
        <f t="array" aca="1" ref="H3589" ca="1">SUBSTITUTE(SUBSTITUTE(_xlfn.TEXTJOIN("",TRUE,IF(ISERR(MID(C3589,ROW(INDIRECT("1:100")),1)+0),MID(C3589,ROW(INDIRECT("1:100")),1),"")),")",""),"(","")</f>
        <v/>
      </c>
    </row>
    <row r="3590" spans="8:8" x14ac:dyDescent="0.25">
      <c r="H3590" s="4" t="str">
        <f t="array" aca="1" ref="H3590" ca="1">SUBSTITUTE(SUBSTITUTE(_xlfn.TEXTJOIN("",TRUE,IF(ISERR(MID(C3590,ROW(INDIRECT("1:100")),1)+0),MID(C3590,ROW(INDIRECT("1:100")),1),"")),")",""),"(","")</f>
        <v/>
      </c>
    </row>
    <row r="3591" spans="8:8" x14ac:dyDescent="0.25">
      <c r="H3591" s="4" t="str">
        <f t="array" aca="1" ref="H3591" ca="1">SUBSTITUTE(SUBSTITUTE(_xlfn.TEXTJOIN("",TRUE,IF(ISERR(MID(C3591,ROW(INDIRECT("1:100")),1)+0),MID(C3591,ROW(INDIRECT("1:100")),1),"")),")",""),"(","")</f>
        <v/>
      </c>
    </row>
    <row r="3592" spans="8:8" x14ac:dyDescent="0.25">
      <c r="H3592" s="4" t="str">
        <f t="array" aca="1" ref="H3592" ca="1">SUBSTITUTE(SUBSTITUTE(_xlfn.TEXTJOIN("",TRUE,IF(ISERR(MID(C3592,ROW(INDIRECT("1:100")),1)+0),MID(C3592,ROW(INDIRECT("1:100")),1),"")),")",""),"(","")</f>
        <v/>
      </c>
    </row>
    <row r="3593" spans="8:8" x14ac:dyDescent="0.25">
      <c r="H3593" s="4" t="str">
        <f t="array" aca="1" ref="H3593" ca="1">SUBSTITUTE(SUBSTITUTE(_xlfn.TEXTJOIN("",TRUE,IF(ISERR(MID(C3593,ROW(INDIRECT("1:100")),1)+0),MID(C3593,ROW(INDIRECT("1:100")),1),"")),")",""),"(","")</f>
        <v/>
      </c>
    </row>
    <row r="3594" spans="8:8" x14ac:dyDescent="0.25">
      <c r="H3594" s="4" t="str">
        <f t="array" aca="1" ref="H3594" ca="1">SUBSTITUTE(SUBSTITUTE(_xlfn.TEXTJOIN("",TRUE,IF(ISERR(MID(C3594,ROW(INDIRECT("1:100")),1)+0),MID(C3594,ROW(INDIRECT("1:100")),1),"")),")",""),"(","")</f>
        <v/>
      </c>
    </row>
    <row r="3595" spans="8:8" x14ac:dyDescent="0.25">
      <c r="H3595" s="4" t="str">
        <f t="array" aca="1" ref="H3595" ca="1">SUBSTITUTE(SUBSTITUTE(_xlfn.TEXTJOIN("",TRUE,IF(ISERR(MID(C3595,ROW(INDIRECT("1:100")),1)+0),MID(C3595,ROW(INDIRECT("1:100")),1),"")),")",""),"(","")</f>
        <v/>
      </c>
    </row>
    <row r="3596" spans="8:8" x14ac:dyDescent="0.25">
      <c r="H3596" s="4" t="str">
        <f t="array" aca="1" ref="H3596" ca="1">SUBSTITUTE(SUBSTITUTE(_xlfn.TEXTJOIN("",TRUE,IF(ISERR(MID(C3596,ROW(INDIRECT("1:100")),1)+0),MID(C3596,ROW(INDIRECT("1:100")),1),"")),")",""),"(","")</f>
        <v/>
      </c>
    </row>
    <row r="3597" spans="8:8" x14ac:dyDescent="0.25">
      <c r="H3597" s="4" t="str">
        <f t="array" aca="1" ref="H3597" ca="1">SUBSTITUTE(SUBSTITUTE(_xlfn.TEXTJOIN("",TRUE,IF(ISERR(MID(C3597,ROW(INDIRECT("1:100")),1)+0),MID(C3597,ROW(INDIRECT("1:100")),1),"")),")",""),"(","")</f>
        <v/>
      </c>
    </row>
    <row r="3598" spans="8:8" x14ac:dyDescent="0.25">
      <c r="H3598" s="4" t="str">
        <f t="array" aca="1" ref="H3598" ca="1">SUBSTITUTE(SUBSTITUTE(_xlfn.TEXTJOIN("",TRUE,IF(ISERR(MID(C3598,ROW(INDIRECT("1:100")),1)+0),MID(C3598,ROW(INDIRECT("1:100")),1),"")),")",""),"(","")</f>
        <v/>
      </c>
    </row>
    <row r="3599" spans="8:8" x14ac:dyDescent="0.25">
      <c r="H3599" s="4" t="str">
        <f t="array" aca="1" ref="H3599" ca="1">SUBSTITUTE(SUBSTITUTE(_xlfn.TEXTJOIN("",TRUE,IF(ISERR(MID(C3599,ROW(INDIRECT("1:100")),1)+0),MID(C3599,ROW(INDIRECT("1:100")),1),"")),")",""),"(","")</f>
        <v/>
      </c>
    </row>
    <row r="3600" spans="8:8" x14ac:dyDescent="0.25">
      <c r="H3600" s="4" t="str">
        <f t="array" aca="1" ref="H3600" ca="1">SUBSTITUTE(SUBSTITUTE(_xlfn.TEXTJOIN("",TRUE,IF(ISERR(MID(C3600,ROW(INDIRECT("1:100")),1)+0),MID(C3600,ROW(INDIRECT("1:100")),1),"")),")",""),"(","")</f>
        <v/>
      </c>
    </row>
    <row r="3601" spans="8:8" x14ac:dyDescent="0.25">
      <c r="H3601" s="4" t="str">
        <f t="array" aca="1" ref="H3601" ca="1">SUBSTITUTE(SUBSTITUTE(_xlfn.TEXTJOIN("",TRUE,IF(ISERR(MID(C3601,ROW(INDIRECT("1:100")),1)+0),MID(C3601,ROW(INDIRECT("1:100")),1),"")),")",""),"(","")</f>
        <v/>
      </c>
    </row>
    <row r="3602" spans="8:8" x14ac:dyDescent="0.25">
      <c r="H3602" s="4" t="str">
        <f t="array" aca="1" ref="H3602" ca="1">SUBSTITUTE(SUBSTITUTE(_xlfn.TEXTJOIN("",TRUE,IF(ISERR(MID(C3602,ROW(INDIRECT("1:100")),1)+0),MID(C3602,ROW(INDIRECT("1:100")),1),"")),")",""),"(","")</f>
        <v/>
      </c>
    </row>
    <row r="3603" spans="8:8" x14ac:dyDescent="0.25">
      <c r="H3603" s="4" t="str">
        <f t="array" aca="1" ref="H3603" ca="1">SUBSTITUTE(SUBSTITUTE(_xlfn.TEXTJOIN("",TRUE,IF(ISERR(MID(C3603,ROW(INDIRECT("1:100")),1)+0),MID(C3603,ROW(INDIRECT("1:100")),1),"")),")",""),"(","")</f>
        <v/>
      </c>
    </row>
    <row r="3604" spans="8:8" x14ac:dyDescent="0.25">
      <c r="H3604" s="4" t="str">
        <f t="array" aca="1" ref="H3604" ca="1">SUBSTITUTE(SUBSTITUTE(_xlfn.TEXTJOIN("",TRUE,IF(ISERR(MID(C3604,ROW(INDIRECT("1:100")),1)+0),MID(C3604,ROW(INDIRECT("1:100")),1),"")),")",""),"(","")</f>
        <v/>
      </c>
    </row>
    <row r="3605" spans="8:8" x14ac:dyDescent="0.25">
      <c r="H3605" s="4" t="str">
        <f t="array" aca="1" ref="H3605" ca="1">SUBSTITUTE(SUBSTITUTE(_xlfn.TEXTJOIN("",TRUE,IF(ISERR(MID(C3605,ROW(INDIRECT("1:100")),1)+0),MID(C3605,ROW(INDIRECT("1:100")),1),"")),")",""),"(","")</f>
        <v/>
      </c>
    </row>
    <row r="3606" spans="8:8" x14ac:dyDescent="0.25">
      <c r="H3606" s="4" t="str">
        <f t="array" aca="1" ref="H3606" ca="1">SUBSTITUTE(SUBSTITUTE(_xlfn.TEXTJOIN("",TRUE,IF(ISERR(MID(C3606,ROW(INDIRECT("1:100")),1)+0),MID(C3606,ROW(INDIRECT("1:100")),1),"")),")",""),"(","")</f>
        <v/>
      </c>
    </row>
    <row r="3607" spans="8:8" x14ac:dyDescent="0.25">
      <c r="H3607" s="4" t="str">
        <f t="array" aca="1" ref="H3607" ca="1">SUBSTITUTE(SUBSTITUTE(_xlfn.TEXTJOIN("",TRUE,IF(ISERR(MID(C3607,ROW(INDIRECT("1:100")),1)+0),MID(C3607,ROW(INDIRECT("1:100")),1),"")),")",""),"(","")</f>
        <v/>
      </c>
    </row>
    <row r="3608" spans="8:8" x14ac:dyDescent="0.25">
      <c r="H3608" s="4" t="str">
        <f t="array" aca="1" ref="H3608" ca="1">SUBSTITUTE(SUBSTITUTE(_xlfn.TEXTJOIN("",TRUE,IF(ISERR(MID(C3608,ROW(INDIRECT("1:100")),1)+0),MID(C3608,ROW(INDIRECT("1:100")),1),"")),")",""),"(","")</f>
        <v/>
      </c>
    </row>
    <row r="3609" spans="8:8" x14ac:dyDescent="0.25">
      <c r="H3609" s="4" t="str">
        <f t="array" aca="1" ref="H3609" ca="1">SUBSTITUTE(SUBSTITUTE(_xlfn.TEXTJOIN("",TRUE,IF(ISERR(MID(C3609,ROW(INDIRECT("1:100")),1)+0),MID(C3609,ROW(INDIRECT("1:100")),1),"")),")",""),"(","")</f>
        <v/>
      </c>
    </row>
    <row r="3610" spans="8:8" x14ac:dyDescent="0.25">
      <c r="H3610" s="4" t="str">
        <f t="array" aca="1" ref="H3610" ca="1">SUBSTITUTE(SUBSTITUTE(_xlfn.TEXTJOIN("",TRUE,IF(ISERR(MID(C3610,ROW(INDIRECT("1:100")),1)+0),MID(C3610,ROW(INDIRECT("1:100")),1),"")),")",""),"(","")</f>
        <v/>
      </c>
    </row>
    <row r="3611" spans="8:8" x14ac:dyDescent="0.25">
      <c r="H3611" s="4" t="str">
        <f t="array" aca="1" ref="H3611" ca="1">SUBSTITUTE(SUBSTITUTE(_xlfn.TEXTJOIN("",TRUE,IF(ISERR(MID(C3611,ROW(INDIRECT("1:100")),1)+0),MID(C3611,ROW(INDIRECT("1:100")),1),"")),")",""),"(","")</f>
        <v/>
      </c>
    </row>
    <row r="3612" spans="8:8" x14ac:dyDescent="0.25">
      <c r="H3612" s="4" t="str">
        <f t="array" aca="1" ref="H3612" ca="1">SUBSTITUTE(SUBSTITUTE(_xlfn.TEXTJOIN("",TRUE,IF(ISERR(MID(C3612,ROW(INDIRECT("1:100")),1)+0),MID(C3612,ROW(INDIRECT("1:100")),1),"")),")",""),"(","")</f>
        <v/>
      </c>
    </row>
    <row r="3613" spans="8:8" x14ac:dyDescent="0.25">
      <c r="H3613" s="4" t="str">
        <f t="array" aca="1" ref="H3613" ca="1">SUBSTITUTE(SUBSTITUTE(_xlfn.TEXTJOIN("",TRUE,IF(ISERR(MID(C3613,ROW(INDIRECT("1:100")),1)+0),MID(C3613,ROW(INDIRECT("1:100")),1),"")),")",""),"(","")</f>
        <v/>
      </c>
    </row>
    <row r="3614" spans="8:8" x14ac:dyDescent="0.25">
      <c r="H3614" s="4" t="str">
        <f t="array" aca="1" ref="H3614" ca="1">SUBSTITUTE(SUBSTITUTE(_xlfn.TEXTJOIN("",TRUE,IF(ISERR(MID(C3614,ROW(INDIRECT("1:100")),1)+0),MID(C3614,ROW(INDIRECT("1:100")),1),"")),")",""),"(","")</f>
        <v/>
      </c>
    </row>
    <row r="3615" spans="8:8" x14ac:dyDescent="0.25">
      <c r="H3615" s="4" t="str">
        <f t="array" aca="1" ref="H3615" ca="1">SUBSTITUTE(SUBSTITUTE(_xlfn.TEXTJOIN("",TRUE,IF(ISERR(MID(C3615,ROW(INDIRECT("1:100")),1)+0),MID(C3615,ROW(INDIRECT("1:100")),1),"")),")",""),"(","")</f>
        <v/>
      </c>
    </row>
    <row r="3616" spans="8:8" x14ac:dyDescent="0.25">
      <c r="H3616" s="4" t="str">
        <f t="array" aca="1" ref="H3616" ca="1">SUBSTITUTE(SUBSTITUTE(_xlfn.TEXTJOIN("",TRUE,IF(ISERR(MID(C3616,ROW(INDIRECT("1:100")),1)+0),MID(C3616,ROW(INDIRECT("1:100")),1),"")),")",""),"(","")</f>
        <v/>
      </c>
    </row>
    <row r="3617" spans="8:8" x14ac:dyDescent="0.25">
      <c r="H3617" s="4" t="str">
        <f t="array" aca="1" ref="H3617" ca="1">SUBSTITUTE(SUBSTITUTE(_xlfn.TEXTJOIN("",TRUE,IF(ISERR(MID(C3617,ROW(INDIRECT("1:100")),1)+0),MID(C3617,ROW(INDIRECT("1:100")),1),"")),")",""),"(","")</f>
        <v/>
      </c>
    </row>
    <row r="3618" spans="8:8" x14ac:dyDescent="0.25">
      <c r="H3618" s="4" t="str">
        <f t="array" aca="1" ref="H3618" ca="1">SUBSTITUTE(SUBSTITUTE(_xlfn.TEXTJOIN("",TRUE,IF(ISERR(MID(C3618,ROW(INDIRECT("1:100")),1)+0),MID(C3618,ROW(INDIRECT("1:100")),1),"")),")",""),"(","")</f>
        <v/>
      </c>
    </row>
    <row r="3619" spans="8:8" x14ac:dyDescent="0.25">
      <c r="H3619" s="4" t="str">
        <f t="array" aca="1" ref="H3619" ca="1">SUBSTITUTE(SUBSTITUTE(_xlfn.TEXTJOIN("",TRUE,IF(ISERR(MID(C3619,ROW(INDIRECT("1:100")),1)+0),MID(C3619,ROW(INDIRECT("1:100")),1),"")),")",""),"(","")</f>
        <v/>
      </c>
    </row>
    <row r="3620" spans="8:8" x14ac:dyDescent="0.25">
      <c r="H3620" s="4" t="str">
        <f t="array" aca="1" ref="H3620" ca="1">SUBSTITUTE(SUBSTITUTE(_xlfn.TEXTJOIN("",TRUE,IF(ISERR(MID(C3620,ROW(INDIRECT("1:100")),1)+0),MID(C3620,ROW(INDIRECT("1:100")),1),"")),")",""),"(","")</f>
        <v/>
      </c>
    </row>
    <row r="3621" spans="8:8" x14ac:dyDescent="0.25">
      <c r="H3621" s="4" t="str">
        <f t="array" aca="1" ref="H3621" ca="1">SUBSTITUTE(SUBSTITUTE(_xlfn.TEXTJOIN("",TRUE,IF(ISERR(MID(C3621,ROW(INDIRECT("1:100")),1)+0),MID(C3621,ROW(INDIRECT("1:100")),1),"")),")",""),"(","")</f>
        <v/>
      </c>
    </row>
    <row r="3622" spans="8:8" x14ac:dyDescent="0.25">
      <c r="H3622" s="4" t="str">
        <f t="array" aca="1" ref="H3622" ca="1">SUBSTITUTE(SUBSTITUTE(_xlfn.TEXTJOIN("",TRUE,IF(ISERR(MID(C3622,ROW(INDIRECT("1:100")),1)+0),MID(C3622,ROW(INDIRECT("1:100")),1),"")),")",""),"(","")</f>
        <v/>
      </c>
    </row>
    <row r="3623" spans="8:8" x14ac:dyDescent="0.25">
      <c r="H3623" s="4" t="str">
        <f t="array" aca="1" ref="H3623" ca="1">SUBSTITUTE(SUBSTITUTE(_xlfn.TEXTJOIN("",TRUE,IF(ISERR(MID(C3623,ROW(INDIRECT("1:100")),1)+0),MID(C3623,ROW(INDIRECT("1:100")),1),"")),")",""),"(","")</f>
        <v/>
      </c>
    </row>
    <row r="3624" spans="8:8" x14ac:dyDescent="0.25">
      <c r="H3624" s="4" t="str">
        <f t="array" aca="1" ref="H3624" ca="1">SUBSTITUTE(SUBSTITUTE(_xlfn.TEXTJOIN("",TRUE,IF(ISERR(MID(C3624,ROW(INDIRECT("1:100")),1)+0),MID(C3624,ROW(INDIRECT("1:100")),1),"")),")",""),"(","")</f>
        <v/>
      </c>
    </row>
    <row r="3625" spans="8:8" x14ac:dyDescent="0.25">
      <c r="H3625" s="4" t="str">
        <f t="array" aca="1" ref="H3625" ca="1">SUBSTITUTE(SUBSTITUTE(_xlfn.TEXTJOIN("",TRUE,IF(ISERR(MID(C3625,ROW(INDIRECT("1:100")),1)+0),MID(C3625,ROW(INDIRECT("1:100")),1),"")),")",""),"(","")</f>
        <v/>
      </c>
    </row>
    <row r="3626" spans="8:8" x14ac:dyDescent="0.25">
      <c r="H3626" s="4" t="str">
        <f t="array" aca="1" ref="H3626" ca="1">SUBSTITUTE(SUBSTITUTE(_xlfn.TEXTJOIN("",TRUE,IF(ISERR(MID(C3626,ROW(INDIRECT("1:100")),1)+0),MID(C3626,ROW(INDIRECT("1:100")),1),"")),")",""),"(","")</f>
        <v/>
      </c>
    </row>
    <row r="3627" spans="8:8" x14ac:dyDescent="0.25">
      <c r="H3627" s="4" t="str">
        <f t="array" aca="1" ref="H3627" ca="1">SUBSTITUTE(SUBSTITUTE(_xlfn.TEXTJOIN("",TRUE,IF(ISERR(MID(C3627,ROW(INDIRECT("1:100")),1)+0),MID(C3627,ROW(INDIRECT("1:100")),1),"")),")",""),"(","")</f>
        <v/>
      </c>
    </row>
    <row r="3628" spans="8:8" x14ac:dyDescent="0.25">
      <c r="H3628" s="4" t="str">
        <f t="array" aca="1" ref="H3628" ca="1">SUBSTITUTE(SUBSTITUTE(_xlfn.TEXTJOIN("",TRUE,IF(ISERR(MID(C3628,ROW(INDIRECT("1:100")),1)+0),MID(C3628,ROW(INDIRECT("1:100")),1),"")),")",""),"(","")</f>
        <v/>
      </c>
    </row>
    <row r="3629" spans="8:8" x14ac:dyDescent="0.25">
      <c r="H3629" s="4" t="str">
        <f t="array" aca="1" ref="H3629" ca="1">SUBSTITUTE(SUBSTITUTE(_xlfn.TEXTJOIN("",TRUE,IF(ISERR(MID(C3629,ROW(INDIRECT("1:100")),1)+0),MID(C3629,ROW(INDIRECT("1:100")),1),"")),")",""),"(","")</f>
        <v/>
      </c>
    </row>
    <row r="3630" spans="8:8" x14ac:dyDescent="0.25">
      <c r="H3630" s="4" t="str">
        <f t="array" aca="1" ref="H3630" ca="1">SUBSTITUTE(SUBSTITUTE(_xlfn.TEXTJOIN("",TRUE,IF(ISERR(MID(C3630,ROW(INDIRECT("1:100")),1)+0),MID(C3630,ROW(INDIRECT("1:100")),1),"")),")",""),"(","")</f>
        <v/>
      </c>
    </row>
    <row r="3631" spans="8:8" x14ac:dyDescent="0.25">
      <c r="H3631" s="4" t="str">
        <f t="array" aca="1" ref="H3631" ca="1">SUBSTITUTE(SUBSTITUTE(_xlfn.TEXTJOIN("",TRUE,IF(ISERR(MID(C3631,ROW(INDIRECT("1:100")),1)+0),MID(C3631,ROW(INDIRECT("1:100")),1),"")),")",""),"(","")</f>
        <v/>
      </c>
    </row>
    <row r="3632" spans="8:8" x14ac:dyDescent="0.25">
      <c r="H3632" s="4" t="str">
        <f t="array" aca="1" ref="H3632" ca="1">SUBSTITUTE(SUBSTITUTE(_xlfn.TEXTJOIN("",TRUE,IF(ISERR(MID(C3632,ROW(INDIRECT("1:100")),1)+0),MID(C3632,ROW(INDIRECT("1:100")),1),"")),")",""),"(","")</f>
        <v/>
      </c>
    </row>
    <row r="3633" spans="8:8" x14ac:dyDescent="0.25">
      <c r="H3633" s="4" t="str">
        <f t="array" aca="1" ref="H3633" ca="1">SUBSTITUTE(SUBSTITUTE(_xlfn.TEXTJOIN("",TRUE,IF(ISERR(MID(C3633,ROW(INDIRECT("1:100")),1)+0),MID(C3633,ROW(INDIRECT("1:100")),1),"")),")",""),"(","")</f>
        <v/>
      </c>
    </row>
    <row r="3634" spans="8:8" x14ac:dyDescent="0.25">
      <c r="H3634" s="4" t="str">
        <f t="array" aca="1" ref="H3634" ca="1">SUBSTITUTE(SUBSTITUTE(_xlfn.TEXTJOIN("",TRUE,IF(ISERR(MID(C3634,ROW(INDIRECT("1:100")),1)+0),MID(C3634,ROW(INDIRECT("1:100")),1),"")),")",""),"(","")</f>
        <v/>
      </c>
    </row>
    <row r="3635" spans="8:8" x14ac:dyDescent="0.25">
      <c r="H3635" s="4" t="str">
        <f t="array" aca="1" ref="H3635" ca="1">SUBSTITUTE(SUBSTITUTE(_xlfn.TEXTJOIN("",TRUE,IF(ISERR(MID(C3635,ROW(INDIRECT("1:100")),1)+0),MID(C3635,ROW(INDIRECT("1:100")),1),"")),")",""),"(","")</f>
        <v/>
      </c>
    </row>
    <row r="3636" spans="8:8" x14ac:dyDescent="0.25">
      <c r="H3636" s="4" t="str">
        <f t="array" aca="1" ref="H3636" ca="1">SUBSTITUTE(SUBSTITUTE(_xlfn.TEXTJOIN("",TRUE,IF(ISERR(MID(C3636,ROW(INDIRECT("1:100")),1)+0),MID(C3636,ROW(INDIRECT("1:100")),1),"")),")",""),"(","")</f>
        <v/>
      </c>
    </row>
    <row r="3637" spans="8:8" x14ac:dyDescent="0.25">
      <c r="H3637" s="4" t="str">
        <f t="array" aca="1" ref="H3637" ca="1">SUBSTITUTE(SUBSTITUTE(_xlfn.TEXTJOIN("",TRUE,IF(ISERR(MID(C3637,ROW(INDIRECT("1:100")),1)+0),MID(C3637,ROW(INDIRECT("1:100")),1),"")),")",""),"(","")</f>
        <v/>
      </c>
    </row>
    <row r="3638" spans="8:8" x14ac:dyDescent="0.25">
      <c r="H3638" s="4" t="str">
        <f t="array" aca="1" ref="H3638" ca="1">SUBSTITUTE(SUBSTITUTE(_xlfn.TEXTJOIN("",TRUE,IF(ISERR(MID(C3638,ROW(INDIRECT("1:100")),1)+0),MID(C3638,ROW(INDIRECT("1:100")),1),"")),")",""),"(","")</f>
        <v/>
      </c>
    </row>
    <row r="3639" spans="8:8" x14ac:dyDescent="0.25">
      <c r="H3639" s="4" t="str">
        <f t="array" aca="1" ref="H3639" ca="1">SUBSTITUTE(SUBSTITUTE(_xlfn.TEXTJOIN("",TRUE,IF(ISERR(MID(C3639,ROW(INDIRECT("1:100")),1)+0),MID(C3639,ROW(INDIRECT("1:100")),1),"")),")",""),"(","")</f>
        <v/>
      </c>
    </row>
    <row r="3640" spans="8:8" x14ac:dyDescent="0.25">
      <c r="H3640" s="4" t="str">
        <f t="array" aca="1" ref="H3640" ca="1">SUBSTITUTE(SUBSTITUTE(_xlfn.TEXTJOIN("",TRUE,IF(ISERR(MID(C3640,ROW(INDIRECT("1:100")),1)+0),MID(C3640,ROW(INDIRECT("1:100")),1),"")),")",""),"(","")</f>
        <v/>
      </c>
    </row>
    <row r="3641" spans="8:8" x14ac:dyDescent="0.25">
      <c r="H3641" s="4" t="str">
        <f t="array" aca="1" ref="H3641" ca="1">SUBSTITUTE(SUBSTITUTE(_xlfn.TEXTJOIN("",TRUE,IF(ISERR(MID(C3641,ROW(INDIRECT("1:100")),1)+0),MID(C3641,ROW(INDIRECT("1:100")),1),"")),")",""),"(","")</f>
        <v/>
      </c>
    </row>
    <row r="3642" spans="8:8" x14ac:dyDescent="0.25">
      <c r="H3642" s="4" t="str">
        <f t="array" aca="1" ref="H3642" ca="1">SUBSTITUTE(SUBSTITUTE(_xlfn.TEXTJOIN("",TRUE,IF(ISERR(MID(C3642,ROW(INDIRECT("1:100")),1)+0),MID(C3642,ROW(INDIRECT("1:100")),1),"")),")",""),"(","")</f>
        <v/>
      </c>
    </row>
    <row r="3643" spans="8:8" x14ac:dyDescent="0.25">
      <c r="H3643" s="4" t="str">
        <f t="array" aca="1" ref="H3643" ca="1">SUBSTITUTE(SUBSTITUTE(_xlfn.TEXTJOIN("",TRUE,IF(ISERR(MID(C3643,ROW(INDIRECT("1:100")),1)+0),MID(C3643,ROW(INDIRECT("1:100")),1),"")),")",""),"(","")</f>
        <v/>
      </c>
    </row>
    <row r="3644" spans="8:8" x14ac:dyDescent="0.25">
      <c r="H3644" s="4" t="str">
        <f t="array" aca="1" ref="H3644" ca="1">SUBSTITUTE(SUBSTITUTE(_xlfn.TEXTJOIN("",TRUE,IF(ISERR(MID(C3644,ROW(INDIRECT("1:100")),1)+0),MID(C3644,ROW(INDIRECT("1:100")),1),"")),")",""),"(","")</f>
        <v/>
      </c>
    </row>
    <row r="3645" spans="8:8" x14ac:dyDescent="0.25">
      <c r="H3645" s="4" t="str">
        <f t="array" aca="1" ref="H3645" ca="1">SUBSTITUTE(SUBSTITUTE(_xlfn.TEXTJOIN("",TRUE,IF(ISERR(MID(C3645,ROW(INDIRECT("1:100")),1)+0),MID(C3645,ROW(INDIRECT("1:100")),1),"")),")",""),"(","")</f>
        <v/>
      </c>
    </row>
    <row r="3646" spans="8:8" x14ac:dyDescent="0.25">
      <c r="H3646" s="4" t="str">
        <f t="array" aca="1" ref="H3646" ca="1">SUBSTITUTE(SUBSTITUTE(_xlfn.TEXTJOIN("",TRUE,IF(ISERR(MID(C3646,ROW(INDIRECT("1:100")),1)+0),MID(C3646,ROW(INDIRECT("1:100")),1),"")),")",""),"(","")</f>
        <v/>
      </c>
    </row>
    <row r="3647" spans="8:8" x14ac:dyDescent="0.25">
      <c r="H3647" s="4" t="str">
        <f t="array" aca="1" ref="H3647" ca="1">SUBSTITUTE(SUBSTITUTE(_xlfn.TEXTJOIN("",TRUE,IF(ISERR(MID(C3647,ROW(INDIRECT("1:100")),1)+0),MID(C3647,ROW(INDIRECT("1:100")),1),"")),")",""),"(","")</f>
        <v/>
      </c>
    </row>
    <row r="3648" spans="8:8" x14ac:dyDescent="0.25">
      <c r="H3648" s="4" t="str">
        <f t="array" aca="1" ref="H3648" ca="1">SUBSTITUTE(SUBSTITUTE(_xlfn.TEXTJOIN("",TRUE,IF(ISERR(MID(C3648,ROW(INDIRECT("1:100")),1)+0),MID(C3648,ROW(INDIRECT("1:100")),1),"")),")",""),"(","")</f>
        <v/>
      </c>
    </row>
    <row r="3649" spans="8:8" x14ac:dyDescent="0.25">
      <c r="H3649" s="4" t="str">
        <f t="array" aca="1" ref="H3649" ca="1">SUBSTITUTE(SUBSTITUTE(_xlfn.TEXTJOIN("",TRUE,IF(ISERR(MID(C3649,ROW(INDIRECT("1:100")),1)+0),MID(C3649,ROW(INDIRECT("1:100")),1),"")),")",""),"(","")</f>
        <v/>
      </c>
    </row>
    <row r="3650" spans="8:8" x14ac:dyDescent="0.25">
      <c r="H3650" s="4" t="str">
        <f t="array" aca="1" ref="H3650" ca="1">SUBSTITUTE(SUBSTITUTE(_xlfn.TEXTJOIN("",TRUE,IF(ISERR(MID(C3650,ROW(INDIRECT("1:100")),1)+0),MID(C3650,ROW(INDIRECT("1:100")),1),"")),")",""),"(","")</f>
        <v/>
      </c>
    </row>
    <row r="3651" spans="8:8" x14ac:dyDescent="0.25">
      <c r="H3651" s="4" t="str">
        <f t="array" aca="1" ref="H3651" ca="1">SUBSTITUTE(SUBSTITUTE(_xlfn.TEXTJOIN("",TRUE,IF(ISERR(MID(C3651,ROW(INDIRECT("1:100")),1)+0),MID(C3651,ROW(INDIRECT("1:100")),1),"")),")",""),"(","")</f>
        <v/>
      </c>
    </row>
    <row r="3652" spans="8:8" x14ac:dyDescent="0.25">
      <c r="H3652" s="4" t="str">
        <f t="array" aca="1" ref="H3652" ca="1">SUBSTITUTE(SUBSTITUTE(_xlfn.TEXTJOIN("",TRUE,IF(ISERR(MID(C3652,ROW(INDIRECT("1:100")),1)+0),MID(C3652,ROW(INDIRECT("1:100")),1),"")),")",""),"(","")</f>
        <v/>
      </c>
    </row>
    <row r="3653" spans="8:8" x14ac:dyDescent="0.25">
      <c r="H3653" s="4" t="str">
        <f t="array" aca="1" ref="H3653" ca="1">SUBSTITUTE(SUBSTITUTE(_xlfn.TEXTJOIN("",TRUE,IF(ISERR(MID(C3653,ROW(INDIRECT("1:100")),1)+0),MID(C3653,ROW(INDIRECT("1:100")),1),"")),")",""),"(","")</f>
        <v/>
      </c>
    </row>
    <row r="3654" spans="8:8" x14ac:dyDescent="0.25">
      <c r="H3654" s="4" t="str">
        <f t="array" aca="1" ref="H3654" ca="1">SUBSTITUTE(SUBSTITUTE(_xlfn.TEXTJOIN("",TRUE,IF(ISERR(MID(C3654,ROW(INDIRECT("1:100")),1)+0),MID(C3654,ROW(INDIRECT("1:100")),1),"")),")",""),"(","")</f>
        <v/>
      </c>
    </row>
    <row r="3655" spans="8:8" x14ac:dyDescent="0.25">
      <c r="H3655" s="4" t="str">
        <f t="array" aca="1" ref="H3655" ca="1">SUBSTITUTE(SUBSTITUTE(_xlfn.TEXTJOIN("",TRUE,IF(ISERR(MID(C3655,ROW(INDIRECT("1:100")),1)+0),MID(C3655,ROW(INDIRECT("1:100")),1),"")),")",""),"(","")</f>
        <v/>
      </c>
    </row>
    <row r="3656" spans="8:8" x14ac:dyDescent="0.25">
      <c r="H3656" s="4" t="str">
        <f t="array" aca="1" ref="H3656" ca="1">SUBSTITUTE(SUBSTITUTE(_xlfn.TEXTJOIN("",TRUE,IF(ISERR(MID(C3656,ROW(INDIRECT("1:100")),1)+0),MID(C3656,ROW(INDIRECT("1:100")),1),"")),")",""),"(","")</f>
        <v/>
      </c>
    </row>
    <row r="3657" spans="8:8" x14ac:dyDescent="0.25">
      <c r="H3657" s="4" t="str">
        <f t="array" aca="1" ref="H3657" ca="1">SUBSTITUTE(SUBSTITUTE(_xlfn.TEXTJOIN("",TRUE,IF(ISERR(MID(C3657,ROW(INDIRECT("1:100")),1)+0),MID(C3657,ROW(INDIRECT("1:100")),1),"")),")",""),"(","")</f>
        <v/>
      </c>
    </row>
    <row r="3658" spans="8:8" x14ac:dyDescent="0.25">
      <c r="H3658" s="4" t="str">
        <f t="array" aca="1" ref="H3658" ca="1">SUBSTITUTE(SUBSTITUTE(_xlfn.TEXTJOIN("",TRUE,IF(ISERR(MID(C3658,ROW(INDIRECT("1:100")),1)+0),MID(C3658,ROW(INDIRECT("1:100")),1),"")),")",""),"(","")</f>
        <v/>
      </c>
    </row>
    <row r="3659" spans="8:8" x14ac:dyDescent="0.25">
      <c r="H3659" s="4" t="str">
        <f t="array" aca="1" ref="H3659" ca="1">SUBSTITUTE(SUBSTITUTE(_xlfn.TEXTJOIN("",TRUE,IF(ISERR(MID(C3659,ROW(INDIRECT("1:100")),1)+0),MID(C3659,ROW(INDIRECT("1:100")),1),"")),")",""),"(","")</f>
        <v/>
      </c>
    </row>
    <row r="3660" spans="8:8" x14ac:dyDescent="0.25">
      <c r="H3660" s="4" t="str">
        <f t="array" aca="1" ref="H3660" ca="1">SUBSTITUTE(SUBSTITUTE(_xlfn.TEXTJOIN("",TRUE,IF(ISERR(MID(C3660,ROW(INDIRECT("1:100")),1)+0),MID(C3660,ROW(INDIRECT("1:100")),1),"")),")",""),"(","")</f>
        <v/>
      </c>
    </row>
    <row r="3661" spans="8:8" x14ac:dyDescent="0.25">
      <c r="H3661" s="4" t="str">
        <f t="array" aca="1" ref="H3661" ca="1">SUBSTITUTE(SUBSTITUTE(_xlfn.TEXTJOIN("",TRUE,IF(ISERR(MID(C3661,ROW(INDIRECT("1:100")),1)+0),MID(C3661,ROW(INDIRECT("1:100")),1),"")),")",""),"(","")</f>
        <v/>
      </c>
    </row>
    <row r="3662" spans="8:8" x14ac:dyDescent="0.25">
      <c r="H3662" s="4" t="str">
        <f t="array" aca="1" ref="H3662" ca="1">SUBSTITUTE(SUBSTITUTE(_xlfn.TEXTJOIN("",TRUE,IF(ISERR(MID(C3662,ROW(INDIRECT("1:100")),1)+0),MID(C3662,ROW(INDIRECT("1:100")),1),"")),")",""),"(","")</f>
        <v/>
      </c>
    </row>
    <row r="3663" spans="8:8" x14ac:dyDescent="0.25">
      <c r="H3663" s="4" t="str">
        <f t="array" aca="1" ref="H3663" ca="1">SUBSTITUTE(SUBSTITUTE(_xlfn.TEXTJOIN("",TRUE,IF(ISERR(MID(C3663,ROW(INDIRECT("1:100")),1)+0),MID(C3663,ROW(INDIRECT("1:100")),1),"")),")",""),"(","")</f>
        <v/>
      </c>
    </row>
    <row r="3664" spans="8:8" x14ac:dyDescent="0.25">
      <c r="H3664" s="4" t="str">
        <f t="array" aca="1" ref="H3664" ca="1">SUBSTITUTE(SUBSTITUTE(_xlfn.TEXTJOIN("",TRUE,IF(ISERR(MID(C3664,ROW(INDIRECT("1:100")),1)+0),MID(C3664,ROW(INDIRECT("1:100")),1),"")),")",""),"(","")</f>
        <v/>
      </c>
    </row>
    <row r="3665" spans="8:8" x14ac:dyDescent="0.25">
      <c r="H3665" s="4" t="str">
        <f t="array" aca="1" ref="H3665" ca="1">SUBSTITUTE(SUBSTITUTE(_xlfn.TEXTJOIN("",TRUE,IF(ISERR(MID(C3665,ROW(INDIRECT("1:100")),1)+0),MID(C3665,ROW(INDIRECT("1:100")),1),"")),")",""),"(","")</f>
        <v/>
      </c>
    </row>
    <row r="3666" spans="8:8" x14ac:dyDescent="0.25">
      <c r="H3666" s="4" t="str">
        <f t="array" aca="1" ref="H3666" ca="1">SUBSTITUTE(SUBSTITUTE(_xlfn.TEXTJOIN("",TRUE,IF(ISERR(MID(C3666,ROW(INDIRECT("1:100")),1)+0),MID(C3666,ROW(INDIRECT("1:100")),1),"")),")",""),"(","")</f>
        <v/>
      </c>
    </row>
    <row r="3667" spans="8:8" x14ac:dyDescent="0.25">
      <c r="H3667" s="4" t="str">
        <f t="array" aca="1" ref="H3667" ca="1">SUBSTITUTE(SUBSTITUTE(_xlfn.TEXTJOIN("",TRUE,IF(ISERR(MID(C3667,ROW(INDIRECT("1:100")),1)+0),MID(C3667,ROW(INDIRECT("1:100")),1),"")),")",""),"(","")</f>
        <v/>
      </c>
    </row>
    <row r="3668" spans="8:8" x14ac:dyDescent="0.25">
      <c r="H3668" s="4" t="str">
        <f t="array" aca="1" ref="H3668" ca="1">SUBSTITUTE(SUBSTITUTE(_xlfn.TEXTJOIN("",TRUE,IF(ISERR(MID(C3668,ROW(INDIRECT("1:100")),1)+0),MID(C3668,ROW(INDIRECT("1:100")),1),"")),")",""),"(","")</f>
        <v/>
      </c>
    </row>
    <row r="3669" spans="8:8" x14ac:dyDescent="0.25">
      <c r="H3669" s="4" t="str">
        <f t="array" aca="1" ref="H3669" ca="1">SUBSTITUTE(SUBSTITUTE(_xlfn.TEXTJOIN("",TRUE,IF(ISERR(MID(C3669,ROW(INDIRECT("1:100")),1)+0),MID(C3669,ROW(INDIRECT("1:100")),1),"")),")",""),"(","")</f>
        <v/>
      </c>
    </row>
    <row r="3670" spans="8:8" x14ac:dyDescent="0.25">
      <c r="H3670" s="4" t="str">
        <f t="array" aca="1" ref="H3670" ca="1">SUBSTITUTE(SUBSTITUTE(_xlfn.TEXTJOIN("",TRUE,IF(ISERR(MID(C3670,ROW(INDIRECT("1:100")),1)+0),MID(C3670,ROW(INDIRECT("1:100")),1),"")),")",""),"(","")</f>
        <v/>
      </c>
    </row>
    <row r="3671" spans="8:8" x14ac:dyDescent="0.25">
      <c r="H3671" s="4" t="str">
        <f t="array" aca="1" ref="H3671" ca="1">SUBSTITUTE(SUBSTITUTE(_xlfn.TEXTJOIN("",TRUE,IF(ISERR(MID(C3671,ROW(INDIRECT("1:100")),1)+0),MID(C3671,ROW(INDIRECT("1:100")),1),"")),")",""),"(","")</f>
        <v/>
      </c>
    </row>
    <row r="3672" spans="8:8" x14ac:dyDescent="0.25">
      <c r="H3672" s="4" t="str">
        <f t="array" aca="1" ref="H3672" ca="1">SUBSTITUTE(SUBSTITUTE(_xlfn.TEXTJOIN("",TRUE,IF(ISERR(MID(C3672,ROW(INDIRECT("1:100")),1)+0),MID(C3672,ROW(INDIRECT("1:100")),1),"")),")",""),"(","")</f>
        <v/>
      </c>
    </row>
    <row r="3673" spans="8:8" x14ac:dyDescent="0.25">
      <c r="H3673" s="4" t="str">
        <f t="array" aca="1" ref="H3673" ca="1">SUBSTITUTE(SUBSTITUTE(_xlfn.TEXTJOIN("",TRUE,IF(ISERR(MID(C3673,ROW(INDIRECT("1:100")),1)+0),MID(C3673,ROW(INDIRECT("1:100")),1),"")),")",""),"(","")</f>
        <v/>
      </c>
    </row>
    <row r="3674" spans="8:8" x14ac:dyDescent="0.25">
      <c r="H3674" s="4" t="str">
        <f t="array" aca="1" ref="H3674" ca="1">SUBSTITUTE(SUBSTITUTE(_xlfn.TEXTJOIN("",TRUE,IF(ISERR(MID(C3674,ROW(INDIRECT("1:100")),1)+0),MID(C3674,ROW(INDIRECT("1:100")),1),"")),")",""),"(","")</f>
        <v/>
      </c>
    </row>
    <row r="3675" spans="8:8" x14ac:dyDescent="0.25">
      <c r="H3675" s="4" t="str">
        <f t="array" aca="1" ref="H3675" ca="1">SUBSTITUTE(SUBSTITUTE(_xlfn.TEXTJOIN("",TRUE,IF(ISERR(MID(C3675,ROW(INDIRECT("1:100")),1)+0),MID(C3675,ROW(INDIRECT("1:100")),1),"")),")",""),"(","")</f>
        <v/>
      </c>
    </row>
    <row r="3676" spans="8:8" x14ac:dyDescent="0.25">
      <c r="H3676" s="4" t="str">
        <f t="array" aca="1" ref="H3676" ca="1">SUBSTITUTE(SUBSTITUTE(_xlfn.TEXTJOIN("",TRUE,IF(ISERR(MID(C3676,ROW(INDIRECT("1:100")),1)+0),MID(C3676,ROW(INDIRECT("1:100")),1),"")),")",""),"(","")</f>
        <v/>
      </c>
    </row>
    <row r="3677" spans="8:8" x14ac:dyDescent="0.25">
      <c r="H3677" s="4" t="str">
        <f t="array" aca="1" ref="H3677" ca="1">SUBSTITUTE(SUBSTITUTE(_xlfn.TEXTJOIN("",TRUE,IF(ISERR(MID(C3677,ROW(INDIRECT("1:100")),1)+0),MID(C3677,ROW(INDIRECT("1:100")),1),"")),")",""),"(","")</f>
        <v/>
      </c>
    </row>
    <row r="3678" spans="8:8" x14ac:dyDescent="0.25">
      <c r="H3678" s="4" t="str">
        <f t="array" aca="1" ref="H3678" ca="1">SUBSTITUTE(SUBSTITUTE(_xlfn.TEXTJOIN("",TRUE,IF(ISERR(MID(C3678,ROW(INDIRECT("1:100")),1)+0),MID(C3678,ROW(INDIRECT("1:100")),1),"")),")",""),"(","")</f>
        <v/>
      </c>
    </row>
    <row r="3679" spans="8:8" x14ac:dyDescent="0.25">
      <c r="H3679" s="4" t="str">
        <f t="array" aca="1" ref="H3679" ca="1">SUBSTITUTE(SUBSTITUTE(_xlfn.TEXTJOIN("",TRUE,IF(ISERR(MID(C3679,ROW(INDIRECT("1:100")),1)+0),MID(C3679,ROW(INDIRECT("1:100")),1),"")),")",""),"(","")</f>
        <v/>
      </c>
    </row>
    <row r="3680" spans="8:8" x14ac:dyDescent="0.25">
      <c r="H3680" s="4" t="str">
        <f t="array" aca="1" ref="H3680" ca="1">SUBSTITUTE(SUBSTITUTE(_xlfn.TEXTJOIN("",TRUE,IF(ISERR(MID(C3680,ROW(INDIRECT("1:100")),1)+0),MID(C3680,ROW(INDIRECT("1:100")),1),"")),")",""),"(","")</f>
        <v/>
      </c>
    </row>
    <row r="3681" spans="8:8" x14ac:dyDescent="0.25">
      <c r="H3681" s="4" t="str">
        <f t="array" aca="1" ref="H3681" ca="1">SUBSTITUTE(SUBSTITUTE(_xlfn.TEXTJOIN("",TRUE,IF(ISERR(MID(C3681,ROW(INDIRECT("1:100")),1)+0),MID(C3681,ROW(INDIRECT("1:100")),1),"")),")",""),"(","")</f>
        <v/>
      </c>
    </row>
    <row r="3682" spans="8:8" x14ac:dyDescent="0.25">
      <c r="H3682" s="4" t="str">
        <f t="array" aca="1" ref="H3682" ca="1">SUBSTITUTE(SUBSTITUTE(_xlfn.TEXTJOIN("",TRUE,IF(ISERR(MID(C3682,ROW(INDIRECT("1:100")),1)+0),MID(C3682,ROW(INDIRECT("1:100")),1),"")),")",""),"(","")</f>
        <v/>
      </c>
    </row>
    <row r="3683" spans="8:8" x14ac:dyDescent="0.25">
      <c r="H3683" s="4" t="str">
        <f t="array" aca="1" ref="H3683" ca="1">SUBSTITUTE(SUBSTITUTE(_xlfn.TEXTJOIN("",TRUE,IF(ISERR(MID(C3683,ROW(INDIRECT("1:100")),1)+0),MID(C3683,ROW(INDIRECT("1:100")),1),"")),")",""),"(","")</f>
        <v/>
      </c>
    </row>
    <row r="3684" spans="8:8" x14ac:dyDescent="0.25">
      <c r="H3684" s="4" t="str">
        <f t="array" aca="1" ref="H3684" ca="1">SUBSTITUTE(SUBSTITUTE(_xlfn.TEXTJOIN("",TRUE,IF(ISERR(MID(C3684,ROW(INDIRECT("1:100")),1)+0),MID(C3684,ROW(INDIRECT("1:100")),1),"")),")",""),"(","")</f>
        <v/>
      </c>
    </row>
    <row r="3685" spans="8:8" x14ac:dyDescent="0.25">
      <c r="H3685" s="4" t="str">
        <f t="array" aca="1" ref="H3685" ca="1">SUBSTITUTE(SUBSTITUTE(_xlfn.TEXTJOIN("",TRUE,IF(ISERR(MID(C3685,ROW(INDIRECT("1:100")),1)+0),MID(C3685,ROW(INDIRECT("1:100")),1),"")),")",""),"(","")</f>
        <v/>
      </c>
    </row>
    <row r="3686" spans="8:8" x14ac:dyDescent="0.25">
      <c r="H3686" s="4" t="str">
        <f t="array" aca="1" ref="H3686" ca="1">SUBSTITUTE(SUBSTITUTE(_xlfn.TEXTJOIN("",TRUE,IF(ISERR(MID(C3686,ROW(INDIRECT("1:100")),1)+0),MID(C3686,ROW(INDIRECT("1:100")),1),"")),")",""),"(","")</f>
        <v/>
      </c>
    </row>
    <row r="3687" spans="8:8" x14ac:dyDescent="0.25">
      <c r="H3687" s="4" t="str">
        <f t="array" aca="1" ref="H3687" ca="1">SUBSTITUTE(SUBSTITUTE(_xlfn.TEXTJOIN("",TRUE,IF(ISERR(MID(C3687,ROW(INDIRECT("1:100")),1)+0),MID(C3687,ROW(INDIRECT("1:100")),1),"")),")",""),"(","")</f>
        <v/>
      </c>
    </row>
    <row r="3688" spans="8:8" x14ac:dyDescent="0.25">
      <c r="H3688" s="4" t="str">
        <f t="array" aca="1" ref="H3688" ca="1">SUBSTITUTE(SUBSTITUTE(_xlfn.TEXTJOIN("",TRUE,IF(ISERR(MID(C3688,ROW(INDIRECT("1:100")),1)+0),MID(C3688,ROW(INDIRECT("1:100")),1),"")),")",""),"(","")</f>
        <v/>
      </c>
    </row>
    <row r="3689" spans="8:8" x14ac:dyDescent="0.25">
      <c r="H3689" s="4" t="str">
        <f t="array" aca="1" ref="H3689" ca="1">SUBSTITUTE(SUBSTITUTE(_xlfn.TEXTJOIN("",TRUE,IF(ISERR(MID(C3689,ROW(INDIRECT("1:100")),1)+0),MID(C3689,ROW(INDIRECT("1:100")),1),"")),")",""),"(","")</f>
        <v/>
      </c>
    </row>
    <row r="3690" spans="8:8" x14ac:dyDescent="0.25">
      <c r="H3690" s="4" t="str">
        <f t="array" aca="1" ref="H3690" ca="1">SUBSTITUTE(SUBSTITUTE(_xlfn.TEXTJOIN("",TRUE,IF(ISERR(MID(C3690,ROW(INDIRECT("1:100")),1)+0),MID(C3690,ROW(INDIRECT("1:100")),1),"")),")",""),"(","")</f>
        <v/>
      </c>
    </row>
    <row r="3691" spans="8:8" x14ac:dyDescent="0.25">
      <c r="H3691" s="4" t="str">
        <f t="array" aca="1" ref="H3691" ca="1">SUBSTITUTE(SUBSTITUTE(_xlfn.TEXTJOIN("",TRUE,IF(ISERR(MID(C3691,ROW(INDIRECT("1:100")),1)+0),MID(C3691,ROW(INDIRECT("1:100")),1),"")),")",""),"(","")</f>
        <v/>
      </c>
    </row>
    <row r="3692" spans="8:8" x14ac:dyDescent="0.25">
      <c r="H3692" s="4" t="str">
        <f t="array" aca="1" ref="H3692" ca="1">SUBSTITUTE(SUBSTITUTE(_xlfn.TEXTJOIN("",TRUE,IF(ISERR(MID(C3692,ROW(INDIRECT("1:100")),1)+0),MID(C3692,ROW(INDIRECT("1:100")),1),"")),")",""),"(","")</f>
        <v/>
      </c>
    </row>
    <row r="3693" spans="8:8" x14ac:dyDescent="0.25">
      <c r="H3693" s="4" t="str">
        <f t="array" aca="1" ref="H3693" ca="1">SUBSTITUTE(SUBSTITUTE(_xlfn.TEXTJOIN("",TRUE,IF(ISERR(MID(C3693,ROW(INDIRECT("1:100")),1)+0),MID(C3693,ROW(INDIRECT("1:100")),1),"")),")",""),"(","")</f>
        <v/>
      </c>
    </row>
    <row r="3694" spans="8:8" x14ac:dyDescent="0.25">
      <c r="H3694" s="4" t="str">
        <f t="array" aca="1" ref="H3694" ca="1">SUBSTITUTE(SUBSTITUTE(_xlfn.TEXTJOIN("",TRUE,IF(ISERR(MID(C3694,ROW(INDIRECT("1:100")),1)+0),MID(C3694,ROW(INDIRECT("1:100")),1),"")),")",""),"(","")</f>
        <v/>
      </c>
    </row>
    <row r="3695" spans="8:8" x14ac:dyDescent="0.25">
      <c r="H3695" s="4" t="str">
        <f t="array" aca="1" ref="H3695" ca="1">SUBSTITUTE(SUBSTITUTE(_xlfn.TEXTJOIN("",TRUE,IF(ISERR(MID(C3695,ROW(INDIRECT("1:100")),1)+0),MID(C3695,ROW(INDIRECT("1:100")),1),"")),")",""),"(","")</f>
        <v/>
      </c>
    </row>
    <row r="3696" spans="8:8" x14ac:dyDescent="0.25">
      <c r="H3696" s="4" t="str">
        <f t="array" aca="1" ref="H3696" ca="1">SUBSTITUTE(SUBSTITUTE(_xlfn.TEXTJOIN("",TRUE,IF(ISERR(MID(C3696,ROW(INDIRECT("1:100")),1)+0),MID(C3696,ROW(INDIRECT("1:100")),1),"")),")",""),"(","")</f>
        <v/>
      </c>
    </row>
    <row r="3697" spans="8:8" x14ac:dyDescent="0.25">
      <c r="H3697" s="4" t="str">
        <f t="array" aca="1" ref="H3697" ca="1">SUBSTITUTE(SUBSTITUTE(_xlfn.TEXTJOIN("",TRUE,IF(ISERR(MID(C3697,ROW(INDIRECT("1:100")),1)+0),MID(C3697,ROW(INDIRECT("1:100")),1),"")),")",""),"(","")</f>
        <v/>
      </c>
    </row>
    <row r="3698" spans="8:8" x14ac:dyDescent="0.25">
      <c r="H3698" s="4" t="str">
        <f t="array" aca="1" ref="H3698" ca="1">SUBSTITUTE(SUBSTITUTE(_xlfn.TEXTJOIN("",TRUE,IF(ISERR(MID(C3698,ROW(INDIRECT("1:100")),1)+0),MID(C3698,ROW(INDIRECT("1:100")),1),"")),")",""),"(","")</f>
        <v/>
      </c>
    </row>
    <row r="3699" spans="8:8" x14ac:dyDescent="0.25">
      <c r="H3699" s="4" t="str">
        <f t="array" aca="1" ref="H3699" ca="1">SUBSTITUTE(SUBSTITUTE(_xlfn.TEXTJOIN("",TRUE,IF(ISERR(MID(C3699,ROW(INDIRECT("1:100")),1)+0),MID(C3699,ROW(INDIRECT("1:100")),1),"")),")",""),"(","")</f>
        <v/>
      </c>
    </row>
    <row r="3700" spans="8:8" x14ac:dyDescent="0.25">
      <c r="H3700" s="4" t="str">
        <f t="array" aca="1" ref="H3700" ca="1">SUBSTITUTE(SUBSTITUTE(_xlfn.TEXTJOIN("",TRUE,IF(ISERR(MID(C3700,ROW(INDIRECT("1:100")),1)+0),MID(C3700,ROW(INDIRECT("1:100")),1),"")),")",""),"(","")</f>
        <v/>
      </c>
    </row>
    <row r="3701" spans="8:8" x14ac:dyDescent="0.25">
      <c r="H3701" s="4" t="str">
        <f t="array" aca="1" ref="H3701" ca="1">SUBSTITUTE(SUBSTITUTE(_xlfn.TEXTJOIN("",TRUE,IF(ISERR(MID(C3701,ROW(INDIRECT("1:100")),1)+0),MID(C3701,ROW(INDIRECT("1:100")),1),"")),")",""),"(","")</f>
        <v/>
      </c>
    </row>
    <row r="3702" spans="8:8" x14ac:dyDescent="0.25">
      <c r="H3702" s="4" t="str">
        <f t="array" aca="1" ref="H3702" ca="1">SUBSTITUTE(SUBSTITUTE(_xlfn.TEXTJOIN("",TRUE,IF(ISERR(MID(C3702,ROW(INDIRECT("1:100")),1)+0),MID(C3702,ROW(INDIRECT("1:100")),1),"")),")",""),"(","")</f>
        <v/>
      </c>
    </row>
    <row r="3703" spans="8:8" x14ac:dyDescent="0.25">
      <c r="H3703" s="4" t="str">
        <f t="array" aca="1" ref="H3703" ca="1">SUBSTITUTE(SUBSTITUTE(_xlfn.TEXTJOIN("",TRUE,IF(ISERR(MID(C3703,ROW(INDIRECT("1:100")),1)+0),MID(C3703,ROW(INDIRECT("1:100")),1),"")),")",""),"(","")</f>
        <v/>
      </c>
    </row>
    <row r="3704" spans="8:8" x14ac:dyDescent="0.25">
      <c r="H3704" s="4" t="str">
        <f t="array" aca="1" ref="H3704" ca="1">SUBSTITUTE(SUBSTITUTE(_xlfn.TEXTJOIN("",TRUE,IF(ISERR(MID(C3704,ROW(INDIRECT("1:100")),1)+0),MID(C3704,ROW(INDIRECT("1:100")),1),"")),")",""),"(","")</f>
        <v/>
      </c>
    </row>
    <row r="3705" spans="8:8" x14ac:dyDescent="0.25">
      <c r="H3705" s="4" t="str">
        <f t="array" aca="1" ref="H3705" ca="1">SUBSTITUTE(SUBSTITUTE(_xlfn.TEXTJOIN("",TRUE,IF(ISERR(MID(C3705,ROW(INDIRECT("1:100")),1)+0),MID(C3705,ROW(INDIRECT("1:100")),1),"")),")",""),"(","")</f>
        <v/>
      </c>
    </row>
    <row r="3706" spans="8:8" x14ac:dyDescent="0.25">
      <c r="H3706" s="4" t="str">
        <f t="array" aca="1" ref="H3706" ca="1">SUBSTITUTE(SUBSTITUTE(_xlfn.TEXTJOIN("",TRUE,IF(ISERR(MID(C3706,ROW(INDIRECT("1:100")),1)+0),MID(C3706,ROW(INDIRECT("1:100")),1),"")),")",""),"(","")</f>
        <v/>
      </c>
    </row>
    <row r="3707" spans="8:8" x14ac:dyDescent="0.25">
      <c r="H3707" s="4" t="str">
        <f t="array" aca="1" ref="H3707" ca="1">SUBSTITUTE(SUBSTITUTE(_xlfn.TEXTJOIN("",TRUE,IF(ISERR(MID(C3707,ROW(INDIRECT("1:100")),1)+0),MID(C3707,ROW(INDIRECT("1:100")),1),"")),")",""),"(","")</f>
        <v/>
      </c>
    </row>
    <row r="3708" spans="8:8" x14ac:dyDescent="0.25">
      <c r="H3708" s="4" t="str">
        <f t="array" aca="1" ref="H3708" ca="1">SUBSTITUTE(SUBSTITUTE(_xlfn.TEXTJOIN("",TRUE,IF(ISERR(MID(C3708,ROW(INDIRECT("1:100")),1)+0),MID(C3708,ROW(INDIRECT("1:100")),1),"")),")",""),"(","")</f>
        <v/>
      </c>
    </row>
    <row r="3709" spans="8:8" x14ac:dyDescent="0.25">
      <c r="H3709" s="4" t="str">
        <f t="array" aca="1" ref="H3709" ca="1">SUBSTITUTE(SUBSTITUTE(_xlfn.TEXTJOIN("",TRUE,IF(ISERR(MID(C3709,ROW(INDIRECT("1:100")),1)+0),MID(C3709,ROW(INDIRECT("1:100")),1),"")),")",""),"(","")</f>
        <v/>
      </c>
    </row>
    <row r="3710" spans="8:8" x14ac:dyDescent="0.25">
      <c r="H3710" s="4" t="str">
        <f t="array" aca="1" ref="H3710" ca="1">SUBSTITUTE(SUBSTITUTE(_xlfn.TEXTJOIN("",TRUE,IF(ISERR(MID(C3710,ROW(INDIRECT("1:100")),1)+0),MID(C3710,ROW(INDIRECT("1:100")),1),"")),")",""),"(","")</f>
        <v/>
      </c>
    </row>
    <row r="3711" spans="8:8" x14ac:dyDescent="0.25">
      <c r="H3711" s="4" t="str">
        <f t="array" aca="1" ref="H3711" ca="1">SUBSTITUTE(SUBSTITUTE(_xlfn.TEXTJOIN("",TRUE,IF(ISERR(MID(C3711,ROW(INDIRECT("1:100")),1)+0),MID(C3711,ROW(INDIRECT("1:100")),1),"")),")",""),"(","")</f>
        <v/>
      </c>
    </row>
    <row r="3712" spans="8:8" x14ac:dyDescent="0.25">
      <c r="H3712" s="4" t="str">
        <f t="array" aca="1" ref="H3712" ca="1">SUBSTITUTE(SUBSTITUTE(_xlfn.TEXTJOIN("",TRUE,IF(ISERR(MID(C3712,ROW(INDIRECT("1:100")),1)+0),MID(C3712,ROW(INDIRECT("1:100")),1),"")),")",""),"(","")</f>
        <v/>
      </c>
    </row>
    <row r="3713" spans="8:8" x14ac:dyDescent="0.25">
      <c r="H3713" s="4" t="str">
        <f t="array" aca="1" ref="H3713" ca="1">SUBSTITUTE(SUBSTITUTE(_xlfn.TEXTJOIN("",TRUE,IF(ISERR(MID(C3713,ROW(INDIRECT("1:100")),1)+0),MID(C3713,ROW(INDIRECT("1:100")),1),"")),")",""),"(","")</f>
        <v/>
      </c>
    </row>
    <row r="3714" spans="8:8" x14ac:dyDescent="0.25">
      <c r="H3714" s="4" t="str">
        <f t="array" aca="1" ref="H3714" ca="1">SUBSTITUTE(SUBSTITUTE(_xlfn.TEXTJOIN("",TRUE,IF(ISERR(MID(C3714,ROW(INDIRECT("1:100")),1)+0),MID(C3714,ROW(INDIRECT("1:100")),1),"")),")",""),"(","")</f>
        <v/>
      </c>
    </row>
    <row r="3715" spans="8:8" x14ac:dyDescent="0.25">
      <c r="H3715" s="4" t="str">
        <f t="array" aca="1" ref="H3715" ca="1">SUBSTITUTE(SUBSTITUTE(_xlfn.TEXTJOIN("",TRUE,IF(ISERR(MID(C3715,ROW(INDIRECT("1:100")),1)+0),MID(C3715,ROW(INDIRECT("1:100")),1),"")),")",""),"(","")</f>
        <v/>
      </c>
    </row>
    <row r="3716" spans="8:8" x14ac:dyDescent="0.25">
      <c r="H3716" s="4" t="str">
        <f t="array" aca="1" ref="H3716" ca="1">SUBSTITUTE(SUBSTITUTE(_xlfn.TEXTJOIN("",TRUE,IF(ISERR(MID(C3716,ROW(INDIRECT("1:100")),1)+0),MID(C3716,ROW(INDIRECT("1:100")),1),"")),")",""),"(","")</f>
        <v/>
      </c>
    </row>
    <row r="3717" spans="8:8" x14ac:dyDescent="0.25">
      <c r="H3717" s="4" t="str">
        <f t="array" aca="1" ref="H3717" ca="1">SUBSTITUTE(SUBSTITUTE(_xlfn.TEXTJOIN("",TRUE,IF(ISERR(MID(C3717,ROW(INDIRECT("1:100")),1)+0),MID(C3717,ROW(INDIRECT("1:100")),1),"")),")",""),"(","")</f>
        <v/>
      </c>
    </row>
    <row r="3718" spans="8:8" x14ac:dyDescent="0.25">
      <c r="H3718" s="4" t="str">
        <f t="array" aca="1" ref="H3718" ca="1">SUBSTITUTE(SUBSTITUTE(_xlfn.TEXTJOIN("",TRUE,IF(ISERR(MID(C3718,ROW(INDIRECT("1:100")),1)+0),MID(C3718,ROW(INDIRECT("1:100")),1),"")),")",""),"(","")</f>
        <v/>
      </c>
    </row>
    <row r="3719" spans="8:8" x14ac:dyDescent="0.25">
      <c r="H3719" s="4" t="str">
        <f t="array" aca="1" ref="H3719" ca="1">SUBSTITUTE(SUBSTITUTE(_xlfn.TEXTJOIN("",TRUE,IF(ISERR(MID(C3719,ROW(INDIRECT("1:100")),1)+0),MID(C3719,ROW(INDIRECT("1:100")),1),"")),")",""),"(","")</f>
        <v/>
      </c>
    </row>
    <row r="3720" spans="8:8" x14ac:dyDescent="0.25">
      <c r="H3720" s="4" t="str">
        <f t="array" aca="1" ref="H3720" ca="1">SUBSTITUTE(SUBSTITUTE(_xlfn.TEXTJOIN("",TRUE,IF(ISERR(MID(C3720,ROW(INDIRECT("1:100")),1)+0),MID(C3720,ROW(INDIRECT("1:100")),1),"")),")",""),"(","")</f>
        <v/>
      </c>
    </row>
    <row r="3721" spans="8:8" x14ac:dyDescent="0.25">
      <c r="H3721" s="4" t="str">
        <f t="array" aca="1" ref="H3721" ca="1">SUBSTITUTE(SUBSTITUTE(_xlfn.TEXTJOIN("",TRUE,IF(ISERR(MID(C3721,ROW(INDIRECT("1:100")),1)+0),MID(C3721,ROW(INDIRECT("1:100")),1),"")),")",""),"(","")</f>
        <v/>
      </c>
    </row>
    <row r="3722" spans="8:8" x14ac:dyDescent="0.25">
      <c r="H3722" s="4" t="str">
        <f t="array" aca="1" ref="H3722" ca="1">SUBSTITUTE(SUBSTITUTE(_xlfn.TEXTJOIN("",TRUE,IF(ISERR(MID(C3722,ROW(INDIRECT("1:100")),1)+0),MID(C3722,ROW(INDIRECT("1:100")),1),"")),")",""),"(","")</f>
        <v/>
      </c>
    </row>
    <row r="3723" spans="8:8" x14ac:dyDescent="0.25">
      <c r="H3723" s="4" t="str">
        <f t="array" aca="1" ref="H3723" ca="1">SUBSTITUTE(SUBSTITUTE(_xlfn.TEXTJOIN("",TRUE,IF(ISERR(MID(C3723,ROW(INDIRECT("1:100")),1)+0),MID(C3723,ROW(INDIRECT("1:100")),1),"")),")",""),"(","")</f>
        <v/>
      </c>
    </row>
    <row r="3724" spans="8:8" x14ac:dyDescent="0.25">
      <c r="H3724" s="4" t="str">
        <f t="array" aca="1" ref="H3724" ca="1">SUBSTITUTE(SUBSTITUTE(_xlfn.TEXTJOIN("",TRUE,IF(ISERR(MID(C3724,ROW(INDIRECT("1:100")),1)+0),MID(C3724,ROW(INDIRECT("1:100")),1),"")),")",""),"(","")</f>
        <v/>
      </c>
    </row>
    <row r="3725" spans="8:8" x14ac:dyDescent="0.25">
      <c r="H3725" s="4" t="str">
        <f t="array" aca="1" ref="H3725" ca="1">SUBSTITUTE(SUBSTITUTE(_xlfn.TEXTJOIN("",TRUE,IF(ISERR(MID(C3725,ROW(INDIRECT("1:100")),1)+0),MID(C3725,ROW(INDIRECT("1:100")),1),"")),")",""),"(","")</f>
        <v/>
      </c>
    </row>
    <row r="3726" spans="8:8" x14ac:dyDescent="0.25">
      <c r="H3726" s="4" t="str">
        <f t="array" aca="1" ref="H3726" ca="1">SUBSTITUTE(SUBSTITUTE(_xlfn.TEXTJOIN("",TRUE,IF(ISERR(MID(C3726,ROW(INDIRECT("1:100")),1)+0),MID(C3726,ROW(INDIRECT("1:100")),1),"")),")",""),"(","")</f>
        <v/>
      </c>
    </row>
    <row r="3727" spans="8:8" x14ac:dyDescent="0.25">
      <c r="H3727" s="4" t="str">
        <f t="array" aca="1" ref="H3727" ca="1">SUBSTITUTE(SUBSTITUTE(_xlfn.TEXTJOIN("",TRUE,IF(ISERR(MID(C3727,ROW(INDIRECT("1:100")),1)+0),MID(C3727,ROW(INDIRECT("1:100")),1),"")),")",""),"(","")</f>
        <v/>
      </c>
    </row>
    <row r="3728" spans="8:8" x14ac:dyDescent="0.25">
      <c r="H3728" s="4" t="str">
        <f t="array" aca="1" ref="H3728" ca="1">SUBSTITUTE(SUBSTITUTE(_xlfn.TEXTJOIN("",TRUE,IF(ISERR(MID(C3728,ROW(INDIRECT("1:100")),1)+0),MID(C3728,ROW(INDIRECT("1:100")),1),"")),")",""),"(","")</f>
        <v/>
      </c>
    </row>
    <row r="3729" spans="8:8" x14ac:dyDescent="0.25">
      <c r="H3729" s="4" t="str">
        <f t="array" aca="1" ref="H3729" ca="1">SUBSTITUTE(SUBSTITUTE(_xlfn.TEXTJOIN("",TRUE,IF(ISERR(MID(C3729,ROW(INDIRECT("1:100")),1)+0),MID(C3729,ROW(INDIRECT("1:100")),1),"")),")",""),"(","")</f>
        <v/>
      </c>
    </row>
    <row r="3730" spans="8:8" x14ac:dyDescent="0.25">
      <c r="H3730" s="4" t="str">
        <f t="array" aca="1" ref="H3730" ca="1">SUBSTITUTE(SUBSTITUTE(_xlfn.TEXTJOIN("",TRUE,IF(ISERR(MID(C3730,ROW(INDIRECT("1:100")),1)+0),MID(C3730,ROW(INDIRECT("1:100")),1),"")),")",""),"(","")</f>
        <v/>
      </c>
    </row>
    <row r="3731" spans="8:8" x14ac:dyDescent="0.25">
      <c r="H3731" s="4" t="str">
        <f t="array" aca="1" ref="H3731" ca="1">SUBSTITUTE(SUBSTITUTE(_xlfn.TEXTJOIN("",TRUE,IF(ISERR(MID(C3731,ROW(INDIRECT("1:100")),1)+0),MID(C3731,ROW(INDIRECT("1:100")),1),"")),")",""),"(","")</f>
        <v/>
      </c>
    </row>
    <row r="3732" spans="8:8" x14ac:dyDescent="0.25">
      <c r="H3732" s="4" t="str">
        <f t="array" aca="1" ref="H3732" ca="1">SUBSTITUTE(SUBSTITUTE(_xlfn.TEXTJOIN("",TRUE,IF(ISERR(MID(C3732,ROW(INDIRECT("1:100")),1)+0),MID(C3732,ROW(INDIRECT("1:100")),1),"")),")",""),"(","")</f>
        <v/>
      </c>
    </row>
    <row r="3733" spans="8:8" x14ac:dyDescent="0.25">
      <c r="H3733" s="4" t="str">
        <f t="array" aca="1" ref="H3733" ca="1">SUBSTITUTE(SUBSTITUTE(_xlfn.TEXTJOIN("",TRUE,IF(ISERR(MID(C3733,ROW(INDIRECT("1:100")),1)+0),MID(C3733,ROW(INDIRECT("1:100")),1),"")),")",""),"(","")</f>
        <v/>
      </c>
    </row>
    <row r="3734" spans="8:8" x14ac:dyDescent="0.25">
      <c r="H3734" s="4" t="str">
        <f t="array" aca="1" ref="H3734" ca="1">SUBSTITUTE(SUBSTITUTE(_xlfn.TEXTJOIN("",TRUE,IF(ISERR(MID(C3734,ROW(INDIRECT("1:100")),1)+0),MID(C3734,ROW(INDIRECT("1:100")),1),"")),")",""),"(","")</f>
        <v/>
      </c>
    </row>
    <row r="3735" spans="8:8" x14ac:dyDescent="0.25">
      <c r="H3735" s="4" t="str">
        <f t="array" aca="1" ref="H3735" ca="1">SUBSTITUTE(SUBSTITUTE(_xlfn.TEXTJOIN("",TRUE,IF(ISERR(MID(C3735,ROW(INDIRECT("1:100")),1)+0),MID(C3735,ROW(INDIRECT("1:100")),1),"")),")",""),"(","")</f>
        <v/>
      </c>
    </row>
    <row r="3736" spans="8:8" x14ac:dyDescent="0.25">
      <c r="H3736" s="4" t="str">
        <f t="array" aca="1" ref="H3736" ca="1">SUBSTITUTE(SUBSTITUTE(_xlfn.TEXTJOIN("",TRUE,IF(ISERR(MID(C3736,ROW(INDIRECT("1:100")),1)+0),MID(C3736,ROW(INDIRECT("1:100")),1),"")),")",""),"(","")</f>
        <v/>
      </c>
    </row>
    <row r="3737" spans="8:8" x14ac:dyDescent="0.25">
      <c r="H3737" s="4" t="str">
        <f t="array" aca="1" ref="H3737" ca="1">SUBSTITUTE(SUBSTITUTE(_xlfn.TEXTJOIN("",TRUE,IF(ISERR(MID(C3737,ROW(INDIRECT("1:100")),1)+0),MID(C3737,ROW(INDIRECT("1:100")),1),"")),")",""),"(","")</f>
        <v/>
      </c>
    </row>
    <row r="3738" spans="8:8" x14ac:dyDescent="0.25">
      <c r="H3738" s="4" t="str">
        <f t="array" aca="1" ref="H3738" ca="1">SUBSTITUTE(SUBSTITUTE(_xlfn.TEXTJOIN("",TRUE,IF(ISERR(MID(C3738,ROW(INDIRECT("1:100")),1)+0),MID(C3738,ROW(INDIRECT("1:100")),1),"")),")",""),"(","")</f>
        <v/>
      </c>
    </row>
    <row r="3739" spans="8:8" x14ac:dyDescent="0.25">
      <c r="H3739" s="4" t="str">
        <f t="array" aca="1" ref="H3739" ca="1">SUBSTITUTE(SUBSTITUTE(_xlfn.TEXTJOIN("",TRUE,IF(ISERR(MID(C3739,ROW(INDIRECT("1:100")),1)+0),MID(C3739,ROW(INDIRECT("1:100")),1),"")),")",""),"(","")</f>
        <v/>
      </c>
    </row>
    <row r="3740" spans="8:8" x14ac:dyDescent="0.25">
      <c r="H3740" s="4" t="str">
        <f t="array" aca="1" ref="H3740" ca="1">SUBSTITUTE(SUBSTITUTE(_xlfn.TEXTJOIN("",TRUE,IF(ISERR(MID(C3740,ROW(INDIRECT("1:100")),1)+0),MID(C3740,ROW(INDIRECT("1:100")),1),"")),")",""),"(","")</f>
        <v/>
      </c>
    </row>
    <row r="3741" spans="8:8" x14ac:dyDescent="0.25">
      <c r="H3741" s="4" t="str">
        <f t="array" aca="1" ref="H3741" ca="1">SUBSTITUTE(SUBSTITUTE(_xlfn.TEXTJOIN("",TRUE,IF(ISERR(MID(C3741,ROW(INDIRECT("1:100")),1)+0),MID(C3741,ROW(INDIRECT("1:100")),1),"")),")",""),"(","")</f>
        <v/>
      </c>
    </row>
    <row r="3742" spans="8:8" x14ac:dyDescent="0.25">
      <c r="H3742" s="4" t="str">
        <f t="array" aca="1" ref="H3742" ca="1">SUBSTITUTE(SUBSTITUTE(_xlfn.TEXTJOIN("",TRUE,IF(ISERR(MID(C3742,ROW(INDIRECT("1:100")),1)+0),MID(C3742,ROW(INDIRECT("1:100")),1),"")),")",""),"(","")</f>
        <v/>
      </c>
    </row>
    <row r="3743" spans="8:8" x14ac:dyDescent="0.25">
      <c r="H3743" s="4" t="str">
        <f t="array" aca="1" ref="H3743" ca="1">SUBSTITUTE(SUBSTITUTE(_xlfn.TEXTJOIN("",TRUE,IF(ISERR(MID(C3743,ROW(INDIRECT("1:100")),1)+0),MID(C3743,ROW(INDIRECT("1:100")),1),"")),")",""),"(","")</f>
        <v/>
      </c>
    </row>
    <row r="3744" spans="8:8" x14ac:dyDescent="0.25">
      <c r="H3744" s="4" t="str">
        <f t="array" aca="1" ref="H3744" ca="1">SUBSTITUTE(SUBSTITUTE(_xlfn.TEXTJOIN("",TRUE,IF(ISERR(MID(C3744,ROW(INDIRECT("1:100")),1)+0),MID(C3744,ROW(INDIRECT("1:100")),1),"")),")",""),"(","")</f>
        <v/>
      </c>
    </row>
    <row r="3745" spans="8:8" x14ac:dyDescent="0.25">
      <c r="H3745" s="4" t="str">
        <f t="array" aca="1" ref="H3745" ca="1">SUBSTITUTE(SUBSTITUTE(_xlfn.TEXTJOIN("",TRUE,IF(ISERR(MID(C3745,ROW(INDIRECT("1:100")),1)+0),MID(C3745,ROW(INDIRECT("1:100")),1),"")),")",""),"(","")</f>
        <v/>
      </c>
    </row>
    <row r="3746" spans="8:8" x14ac:dyDescent="0.25">
      <c r="H3746" s="4" t="str">
        <f t="array" aca="1" ref="H3746" ca="1">SUBSTITUTE(SUBSTITUTE(_xlfn.TEXTJOIN("",TRUE,IF(ISERR(MID(C3746,ROW(INDIRECT("1:100")),1)+0),MID(C3746,ROW(INDIRECT("1:100")),1),"")),")",""),"(","")</f>
        <v/>
      </c>
    </row>
    <row r="3747" spans="8:8" x14ac:dyDescent="0.25">
      <c r="H3747" s="4" t="str">
        <f t="array" aca="1" ref="H3747" ca="1">SUBSTITUTE(SUBSTITUTE(_xlfn.TEXTJOIN("",TRUE,IF(ISERR(MID(C3747,ROW(INDIRECT("1:100")),1)+0),MID(C3747,ROW(INDIRECT("1:100")),1),"")),")",""),"(","")</f>
        <v/>
      </c>
    </row>
    <row r="3748" spans="8:8" x14ac:dyDescent="0.25">
      <c r="H3748" s="4" t="str">
        <f t="array" aca="1" ref="H3748" ca="1">SUBSTITUTE(SUBSTITUTE(_xlfn.TEXTJOIN("",TRUE,IF(ISERR(MID(C3748,ROW(INDIRECT("1:100")),1)+0),MID(C3748,ROW(INDIRECT("1:100")),1),"")),")",""),"(","")</f>
        <v/>
      </c>
    </row>
    <row r="3749" spans="8:8" x14ac:dyDescent="0.25">
      <c r="H3749" s="4" t="str">
        <f t="array" aca="1" ref="H3749" ca="1">SUBSTITUTE(SUBSTITUTE(_xlfn.TEXTJOIN("",TRUE,IF(ISERR(MID(C3749,ROW(INDIRECT("1:100")),1)+0),MID(C3749,ROW(INDIRECT("1:100")),1),"")),")",""),"(","")</f>
        <v/>
      </c>
    </row>
    <row r="3750" spans="8:8" x14ac:dyDescent="0.25">
      <c r="H3750" s="4" t="str">
        <f t="array" aca="1" ref="H3750" ca="1">SUBSTITUTE(SUBSTITUTE(_xlfn.TEXTJOIN("",TRUE,IF(ISERR(MID(C3750,ROW(INDIRECT("1:100")),1)+0),MID(C3750,ROW(INDIRECT("1:100")),1),"")),")",""),"(","")</f>
        <v/>
      </c>
    </row>
    <row r="3751" spans="8:8" x14ac:dyDescent="0.25">
      <c r="H3751" s="4" t="str">
        <f t="array" aca="1" ref="H3751" ca="1">SUBSTITUTE(SUBSTITUTE(_xlfn.TEXTJOIN("",TRUE,IF(ISERR(MID(C3751,ROW(INDIRECT("1:100")),1)+0),MID(C3751,ROW(INDIRECT("1:100")),1),"")),")",""),"(","")</f>
        <v/>
      </c>
    </row>
    <row r="3752" spans="8:8" x14ac:dyDescent="0.25">
      <c r="H3752" s="4" t="str">
        <f t="array" aca="1" ref="H3752" ca="1">SUBSTITUTE(SUBSTITUTE(_xlfn.TEXTJOIN("",TRUE,IF(ISERR(MID(C3752,ROW(INDIRECT("1:100")),1)+0),MID(C3752,ROW(INDIRECT("1:100")),1),"")),")",""),"(","")</f>
        <v/>
      </c>
    </row>
    <row r="3753" spans="8:8" x14ac:dyDescent="0.25">
      <c r="H3753" s="4" t="str">
        <f t="array" aca="1" ref="H3753" ca="1">SUBSTITUTE(SUBSTITUTE(_xlfn.TEXTJOIN("",TRUE,IF(ISERR(MID(C3753,ROW(INDIRECT("1:100")),1)+0),MID(C3753,ROW(INDIRECT("1:100")),1),"")),")",""),"(","")</f>
        <v/>
      </c>
    </row>
    <row r="3754" spans="8:8" x14ac:dyDescent="0.25">
      <c r="H3754" s="4" t="str">
        <f t="array" aca="1" ref="H3754" ca="1">SUBSTITUTE(SUBSTITUTE(_xlfn.TEXTJOIN("",TRUE,IF(ISERR(MID(C3754,ROW(INDIRECT("1:100")),1)+0),MID(C3754,ROW(INDIRECT("1:100")),1),"")),")",""),"(","")</f>
        <v/>
      </c>
    </row>
    <row r="3755" spans="8:8" x14ac:dyDescent="0.25">
      <c r="H3755" s="4" t="str">
        <f t="array" aca="1" ref="H3755" ca="1">SUBSTITUTE(SUBSTITUTE(_xlfn.TEXTJOIN("",TRUE,IF(ISERR(MID(C3755,ROW(INDIRECT("1:100")),1)+0),MID(C3755,ROW(INDIRECT("1:100")),1),"")),")",""),"(","")</f>
        <v/>
      </c>
    </row>
    <row r="3756" spans="8:8" x14ac:dyDescent="0.25">
      <c r="H3756" s="4" t="str">
        <f t="array" aca="1" ref="H3756" ca="1">SUBSTITUTE(SUBSTITUTE(_xlfn.TEXTJOIN("",TRUE,IF(ISERR(MID(C3756,ROW(INDIRECT("1:100")),1)+0),MID(C3756,ROW(INDIRECT("1:100")),1),"")),")",""),"(","")</f>
        <v/>
      </c>
    </row>
    <row r="3757" spans="8:8" x14ac:dyDescent="0.25">
      <c r="H3757" s="4" t="str">
        <f t="array" aca="1" ref="H3757" ca="1">SUBSTITUTE(SUBSTITUTE(_xlfn.TEXTJOIN("",TRUE,IF(ISERR(MID(C3757,ROW(INDIRECT("1:100")),1)+0),MID(C3757,ROW(INDIRECT("1:100")),1),"")),")",""),"(","")</f>
        <v/>
      </c>
    </row>
    <row r="3758" spans="8:8" x14ac:dyDescent="0.25">
      <c r="H3758" s="4" t="str">
        <f t="array" aca="1" ref="H3758" ca="1">SUBSTITUTE(SUBSTITUTE(_xlfn.TEXTJOIN("",TRUE,IF(ISERR(MID(C3758,ROW(INDIRECT("1:100")),1)+0),MID(C3758,ROW(INDIRECT("1:100")),1),"")),")",""),"(","")</f>
        <v/>
      </c>
    </row>
    <row r="3759" spans="8:8" x14ac:dyDescent="0.25">
      <c r="H3759" s="4" t="str">
        <f t="array" aca="1" ref="H3759" ca="1">SUBSTITUTE(SUBSTITUTE(_xlfn.TEXTJOIN("",TRUE,IF(ISERR(MID(C3759,ROW(INDIRECT("1:100")),1)+0),MID(C3759,ROW(INDIRECT("1:100")),1),"")),")",""),"(","")</f>
        <v/>
      </c>
    </row>
    <row r="3760" spans="8:8" x14ac:dyDescent="0.25">
      <c r="H3760" s="4" t="str">
        <f t="array" aca="1" ref="H3760" ca="1">SUBSTITUTE(SUBSTITUTE(_xlfn.TEXTJOIN("",TRUE,IF(ISERR(MID(C3760,ROW(INDIRECT("1:100")),1)+0),MID(C3760,ROW(INDIRECT("1:100")),1),"")),")",""),"(","")</f>
        <v/>
      </c>
    </row>
    <row r="3761" spans="8:8" x14ac:dyDescent="0.25">
      <c r="H3761" s="4" t="str">
        <f t="array" aca="1" ref="H3761" ca="1">SUBSTITUTE(SUBSTITUTE(_xlfn.TEXTJOIN("",TRUE,IF(ISERR(MID(C3761,ROW(INDIRECT("1:100")),1)+0),MID(C3761,ROW(INDIRECT("1:100")),1),"")),")",""),"(","")</f>
        <v/>
      </c>
    </row>
    <row r="3762" spans="8:8" x14ac:dyDescent="0.25">
      <c r="H3762" s="4" t="str">
        <f t="array" aca="1" ref="H3762" ca="1">SUBSTITUTE(SUBSTITUTE(_xlfn.TEXTJOIN("",TRUE,IF(ISERR(MID(C3762,ROW(INDIRECT("1:100")),1)+0),MID(C3762,ROW(INDIRECT("1:100")),1),"")),")",""),"(","")</f>
        <v/>
      </c>
    </row>
    <row r="3763" spans="8:8" x14ac:dyDescent="0.25">
      <c r="H3763" s="4" t="str">
        <f t="array" aca="1" ref="H3763" ca="1">SUBSTITUTE(SUBSTITUTE(_xlfn.TEXTJOIN("",TRUE,IF(ISERR(MID(C3763,ROW(INDIRECT("1:100")),1)+0),MID(C3763,ROW(INDIRECT("1:100")),1),"")),")",""),"(","")</f>
        <v/>
      </c>
    </row>
    <row r="3764" spans="8:8" x14ac:dyDescent="0.25">
      <c r="H3764" s="4" t="str">
        <f t="array" aca="1" ref="H3764" ca="1">SUBSTITUTE(SUBSTITUTE(_xlfn.TEXTJOIN("",TRUE,IF(ISERR(MID(C3764,ROW(INDIRECT("1:100")),1)+0),MID(C3764,ROW(INDIRECT("1:100")),1),"")),")",""),"(","")</f>
        <v/>
      </c>
    </row>
    <row r="3765" spans="8:8" x14ac:dyDescent="0.25">
      <c r="H3765" s="4" t="str">
        <f t="array" aca="1" ref="H3765" ca="1">SUBSTITUTE(SUBSTITUTE(_xlfn.TEXTJOIN("",TRUE,IF(ISERR(MID(C3765,ROW(INDIRECT("1:100")),1)+0),MID(C3765,ROW(INDIRECT("1:100")),1),"")),")",""),"(","")</f>
        <v/>
      </c>
    </row>
    <row r="3766" spans="8:8" x14ac:dyDescent="0.25">
      <c r="H3766" s="4" t="str">
        <f t="array" aca="1" ref="H3766" ca="1">SUBSTITUTE(SUBSTITUTE(_xlfn.TEXTJOIN("",TRUE,IF(ISERR(MID(C3766,ROW(INDIRECT("1:100")),1)+0),MID(C3766,ROW(INDIRECT("1:100")),1),"")),")",""),"(","")</f>
        <v/>
      </c>
    </row>
    <row r="3767" spans="8:8" x14ac:dyDescent="0.25">
      <c r="H3767" s="4" t="str">
        <f t="array" aca="1" ref="H3767" ca="1">SUBSTITUTE(SUBSTITUTE(_xlfn.TEXTJOIN("",TRUE,IF(ISERR(MID(C3767,ROW(INDIRECT("1:100")),1)+0),MID(C3767,ROW(INDIRECT("1:100")),1),"")),")",""),"(","")</f>
        <v/>
      </c>
    </row>
    <row r="3768" spans="8:8" x14ac:dyDescent="0.25">
      <c r="H3768" s="4" t="str">
        <f t="array" aca="1" ref="H3768" ca="1">SUBSTITUTE(SUBSTITUTE(_xlfn.TEXTJOIN("",TRUE,IF(ISERR(MID(C3768,ROW(INDIRECT("1:100")),1)+0),MID(C3768,ROW(INDIRECT("1:100")),1),"")),")",""),"(","")</f>
        <v/>
      </c>
    </row>
    <row r="3769" spans="8:8" x14ac:dyDescent="0.25">
      <c r="H3769" s="4" t="str">
        <f t="array" aca="1" ref="H3769" ca="1">SUBSTITUTE(SUBSTITUTE(_xlfn.TEXTJOIN("",TRUE,IF(ISERR(MID(C3769,ROW(INDIRECT("1:100")),1)+0),MID(C3769,ROW(INDIRECT("1:100")),1),"")),")",""),"(","")</f>
        <v/>
      </c>
    </row>
    <row r="3770" spans="8:8" x14ac:dyDescent="0.25">
      <c r="H3770" s="4" t="str">
        <f t="array" aca="1" ref="H3770" ca="1">SUBSTITUTE(SUBSTITUTE(_xlfn.TEXTJOIN("",TRUE,IF(ISERR(MID(C3770,ROW(INDIRECT("1:100")),1)+0),MID(C3770,ROW(INDIRECT("1:100")),1),"")),")",""),"(","")</f>
        <v/>
      </c>
    </row>
    <row r="3771" spans="8:8" x14ac:dyDescent="0.25">
      <c r="H3771" s="4" t="str">
        <f t="array" aca="1" ref="H3771" ca="1">SUBSTITUTE(SUBSTITUTE(_xlfn.TEXTJOIN("",TRUE,IF(ISERR(MID(C3771,ROW(INDIRECT("1:100")),1)+0),MID(C3771,ROW(INDIRECT("1:100")),1),"")),")",""),"(","")</f>
        <v/>
      </c>
    </row>
    <row r="3772" spans="8:8" x14ac:dyDescent="0.25">
      <c r="H3772" s="4" t="str">
        <f t="array" aca="1" ref="H3772" ca="1">SUBSTITUTE(SUBSTITUTE(_xlfn.TEXTJOIN("",TRUE,IF(ISERR(MID(C3772,ROW(INDIRECT("1:100")),1)+0),MID(C3772,ROW(INDIRECT("1:100")),1),"")),")",""),"(","")</f>
        <v/>
      </c>
    </row>
    <row r="3773" spans="8:8" x14ac:dyDescent="0.25">
      <c r="H3773" s="4" t="str">
        <f t="array" aca="1" ref="H3773" ca="1">SUBSTITUTE(SUBSTITUTE(_xlfn.TEXTJOIN("",TRUE,IF(ISERR(MID(C3773,ROW(INDIRECT("1:100")),1)+0),MID(C3773,ROW(INDIRECT("1:100")),1),"")),")",""),"(","")</f>
        <v/>
      </c>
    </row>
    <row r="3774" spans="8:8" x14ac:dyDescent="0.25">
      <c r="H3774" s="4" t="str">
        <f t="array" aca="1" ref="H3774" ca="1">SUBSTITUTE(SUBSTITUTE(_xlfn.TEXTJOIN("",TRUE,IF(ISERR(MID(C3774,ROW(INDIRECT("1:100")),1)+0),MID(C3774,ROW(INDIRECT("1:100")),1),"")),")",""),"(","")</f>
        <v/>
      </c>
    </row>
    <row r="3775" spans="8:8" x14ac:dyDescent="0.25">
      <c r="H3775" s="4" t="str">
        <f t="array" aca="1" ref="H3775" ca="1">SUBSTITUTE(SUBSTITUTE(_xlfn.TEXTJOIN("",TRUE,IF(ISERR(MID(C3775,ROW(INDIRECT("1:100")),1)+0),MID(C3775,ROW(INDIRECT("1:100")),1),"")),")",""),"(","")</f>
        <v/>
      </c>
    </row>
    <row r="3776" spans="8:8" x14ac:dyDescent="0.25">
      <c r="H3776" s="4" t="str">
        <f t="array" aca="1" ref="H3776" ca="1">SUBSTITUTE(SUBSTITUTE(_xlfn.TEXTJOIN("",TRUE,IF(ISERR(MID(C3776,ROW(INDIRECT("1:100")),1)+0),MID(C3776,ROW(INDIRECT("1:100")),1),"")),")",""),"(","")</f>
        <v/>
      </c>
    </row>
    <row r="3777" spans="8:8" x14ac:dyDescent="0.25">
      <c r="H3777" s="4" t="str">
        <f t="array" aca="1" ref="H3777" ca="1">SUBSTITUTE(SUBSTITUTE(_xlfn.TEXTJOIN("",TRUE,IF(ISERR(MID(C3777,ROW(INDIRECT("1:100")),1)+0),MID(C3777,ROW(INDIRECT("1:100")),1),"")),")",""),"(","")</f>
        <v/>
      </c>
    </row>
    <row r="3778" spans="8:8" x14ac:dyDescent="0.25">
      <c r="H3778" s="4" t="str">
        <f t="array" aca="1" ref="H3778" ca="1">SUBSTITUTE(SUBSTITUTE(_xlfn.TEXTJOIN("",TRUE,IF(ISERR(MID(C3778,ROW(INDIRECT("1:100")),1)+0),MID(C3778,ROW(INDIRECT("1:100")),1),"")),")",""),"(","")</f>
        <v/>
      </c>
    </row>
    <row r="3779" spans="8:8" x14ac:dyDescent="0.25">
      <c r="H3779" s="4" t="str">
        <f t="array" aca="1" ref="H3779" ca="1">SUBSTITUTE(SUBSTITUTE(_xlfn.TEXTJOIN("",TRUE,IF(ISERR(MID(C3779,ROW(INDIRECT("1:100")),1)+0),MID(C3779,ROW(INDIRECT("1:100")),1),"")),")",""),"(","")</f>
        <v/>
      </c>
    </row>
    <row r="3780" spans="8:8" x14ac:dyDescent="0.25">
      <c r="H3780" s="4" t="str">
        <f t="array" aca="1" ref="H3780" ca="1">SUBSTITUTE(SUBSTITUTE(_xlfn.TEXTJOIN("",TRUE,IF(ISERR(MID(C3780,ROW(INDIRECT("1:100")),1)+0),MID(C3780,ROW(INDIRECT("1:100")),1),"")),")",""),"(","")</f>
        <v/>
      </c>
    </row>
    <row r="3781" spans="8:8" x14ac:dyDescent="0.25">
      <c r="H3781" s="4" t="str">
        <f t="array" aca="1" ref="H3781" ca="1">SUBSTITUTE(SUBSTITUTE(_xlfn.TEXTJOIN("",TRUE,IF(ISERR(MID(C3781,ROW(INDIRECT("1:100")),1)+0),MID(C3781,ROW(INDIRECT("1:100")),1),"")),")",""),"(","")</f>
        <v/>
      </c>
    </row>
    <row r="3782" spans="8:8" x14ac:dyDescent="0.25">
      <c r="H3782" s="4" t="str">
        <f t="array" aca="1" ref="H3782" ca="1">SUBSTITUTE(SUBSTITUTE(_xlfn.TEXTJOIN("",TRUE,IF(ISERR(MID(C3782,ROW(INDIRECT("1:100")),1)+0),MID(C3782,ROW(INDIRECT("1:100")),1),"")),")",""),"(","")</f>
        <v/>
      </c>
    </row>
    <row r="3783" spans="8:8" x14ac:dyDescent="0.25">
      <c r="H3783" s="4" t="str">
        <f t="array" aca="1" ref="H3783" ca="1">SUBSTITUTE(SUBSTITUTE(_xlfn.TEXTJOIN("",TRUE,IF(ISERR(MID(C3783,ROW(INDIRECT("1:100")),1)+0),MID(C3783,ROW(INDIRECT("1:100")),1),"")),")",""),"(","")</f>
        <v/>
      </c>
    </row>
    <row r="3784" spans="8:8" x14ac:dyDescent="0.25">
      <c r="H3784" s="4" t="str">
        <f t="array" aca="1" ref="H3784" ca="1">SUBSTITUTE(SUBSTITUTE(_xlfn.TEXTJOIN("",TRUE,IF(ISERR(MID(C3784,ROW(INDIRECT("1:100")),1)+0),MID(C3784,ROW(INDIRECT("1:100")),1),"")),")",""),"(","")</f>
        <v/>
      </c>
    </row>
    <row r="3785" spans="8:8" x14ac:dyDescent="0.25">
      <c r="H3785" s="4" t="str">
        <f t="array" aca="1" ref="H3785" ca="1">SUBSTITUTE(SUBSTITUTE(_xlfn.TEXTJOIN("",TRUE,IF(ISERR(MID(C3785,ROW(INDIRECT("1:100")),1)+0),MID(C3785,ROW(INDIRECT("1:100")),1),"")),")",""),"(","")</f>
        <v/>
      </c>
    </row>
    <row r="3786" spans="8:8" x14ac:dyDescent="0.25">
      <c r="H3786" s="4" t="str">
        <f t="array" aca="1" ref="H3786" ca="1">SUBSTITUTE(SUBSTITUTE(_xlfn.TEXTJOIN("",TRUE,IF(ISERR(MID(C3786,ROW(INDIRECT("1:100")),1)+0),MID(C3786,ROW(INDIRECT("1:100")),1),"")),")",""),"(","")</f>
        <v/>
      </c>
    </row>
    <row r="3787" spans="8:8" x14ac:dyDescent="0.25">
      <c r="H3787" s="4" t="str">
        <f t="array" aca="1" ref="H3787" ca="1">SUBSTITUTE(SUBSTITUTE(_xlfn.TEXTJOIN("",TRUE,IF(ISERR(MID(C3787,ROW(INDIRECT("1:100")),1)+0),MID(C3787,ROW(INDIRECT("1:100")),1),"")),")",""),"(","")</f>
        <v/>
      </c>
    </row>
    <row r="3788" spans="8:8" x14ac:dyDescent="0.25">
      <c r="H3788" s="4" t="str">
        <f t="array" aca="1" ref="H3788" ca="1">SUBSTITUTE(SUBSTITUTE(_xlfn.TEXTJOIN("",TRUE,IF(ISERR(MID(C3788,ROW(INDIRECT("1:100")),1)+0),MID(C3788,ROW(INDIRECT("1:100")),1),"")),")",""),"(","")</f>
        <v/>
      </c>
    </row>
    <row r="3789" spans="8:8" x14ac:dyDescent="0.25">
      <c r="H3789" s="4" t="str">
        <f t="array" aca="1" ref="H3789" ca="1">SUBSTITUTE(SUBSTITUTE(_xlfn.TEXTJOIN("",TRUE,IF(ISERR(MID(C3789,ROW(INDIRECT("1:100")),1)+0),MID(C3789,ROW(INDIRECT("1:100")),1),"")),")",""),"(","")</f>
        <v/>
      </c>
    </row>
    <row r="3790" spans="8:8" x14ac:dyDescent="0.25">
      <c r="H3790" s="4" t="str">
        <f t="array" aca="1" ref="H3790" ca="1">SUBSTITUTE(SUBSTITUTE(_xlfn.TEXTJOIN("",TRUE,IF(ISERR(MID(C3790,ROW(INDIRECT("1:100")),1)+0),MID(C3790,ROW(INDIRECT("1:100")),1),"")),")",""),"(","")</f>
        <v/>
      </c>
    </row>
    <row r="3791" spans="8:8" x14ac:dyDescent="0.25">
      <c r="H3791" s="4" t="str">
        <f t="array" aca="1" ref="H3791" ca="1">SUBSTITUTE(SUBSTITUTE(_xlfn.TEXTJOIN("",TRUE,IF(ISERR(MID(C3791,ROW(INDIRECT("1:100")),1)+0),MID(C3791,ROW(INDIRECT("1:100")),1),"")),")",""),"(","")</f>
        <v/>
      </c>
    </row>
    <row r="3792" spans="8:8" x14ac:dyDescent="0.25">
      <c r="H3792" s="4" t="str">
        <f t="array" aca="1" ref="H3792" ca="1">SUBSTITUTE(SUBSTITUTE(_xlfn.TEXTJOIN("",TRUE,IF(ISERR(MID(C3792,ROW(INDIRECT("1:100")),1)+0),MID(C3792,ROW(INDIRECT("1:100")),1),"")),")",""),"(","")</f>
        <v/>
      </c>
    </row>
    <row r="3793" spans="8:8" x14ac:dyDescent="0.25">
      <c r="H3793" s="4" t="str">
        <f t="array" aca="1" ref="H3793" ca="1">SUBSTITUTE(SUBSTITUTE(_xlfn.TEXTJOIN("",TRUE,IF(ISERR(MID(C3793,ROW(INDIRECT("1:100")),1)+0),MID(C3793,ROW(INDIRECT("1:100")),1),"")),")",""),"(","")</f>
        <v/>
      </c>
    </row>
    <row r="3794" spans="8:8" x14ac:dyDescent="0.25">
      <c r="H3794" s="4" t="str">
        <f t="array" aca="1" ref="H3794" ca="1">SUBSTITUTE(SUBSTITUTE(_xlfn.TEXTJOIN("",TRUE,IF(ISERR(MID(C3794,ROW(INDIRECT("1:100")),1)+0),MID(C3794,ROW(INDIRECT("1:100")),1),"")),")",""),"(","")</f>
        <v/>
      </c>
    </row>
    <row r="3795" spans="8:8" x14ac:dyDescent="0.25">
      <c r="H3795" s="4" t="str">
        <f t="array" aca="1" ref="H3795" ca="1">SUBSTITUTE(SUBSTITUTE(_xlfn.TEXTJOIN("",TRUE,IF(ISERR(MID(C3795,ROW(INDIRECT("1:100")),1)+0),MID(C3795,ROW(INDIRECT("1:100")),1),"")),")",""),"(","")</f>
        <v/>
      </c>
    </row>
    <row r="3796" spans="8:8" x14ac:dyDescent="0.25">
      <c r="H3796" s="4" t="str">
        <f t="array" aca="1" ref="H3796" ca="1">SUBSTITUTE(SUBSTITUTE(_xlfn.TEXTJOIN("",TRUE,IF(ISERR(MID(C3796,ROW(INDIRECT("1:100")),1)+0),MID(C3796,ROW(INDIRECT("1:100")),1),"")),")",""),"(","")</f>
        <v/>
      </c>
    </row>
    <row r="3797" spans="8:8" x14ac:dyDescent="0.25">
      <c r="H3797" s="4" t="str">
        <f t="array" aca="1" ref="H3797" ca="1">SUBSTITUTE(SUBSTITUTE(_xlfn.TEXTJOIN("",TRUE,IF(ISERR(MID(C3797,ROW(INDIRECT("1:100")),1)+0),MID(C3797,ROW(INDIRECT("1:100")),1),"")),")",""),"(","")</f>
        <v/>
      </c>
    </row>
    <row r="3798" spans="8:8" x14ac:dyDescent="0.25">
      <c r="H3798" s="4" t="str">
        <f t="array" aca="1" ref="H3798" ca="1">SUBSTITUTE(SUBSTITUTE(_xlfn.TEXTJOIN("",TRUE,IF(ISERR(MID(C3798,ROW(INDIRECT("1:100")),1)+0),MID(C3798,ROW(INDIRECT("1:100")),1),"")),")",""),"(","")</f>
        <v/>
      </c>
    </row>
    <row r="3799" spans="8:8" x14ac:dyDescent="0.25">
      <c r="H3799" s="4" t="str">
        <f t="array" aca="1" ref="H3799" ca="1">SUBSTITUTE(SUBSTITUTE(_xlfn.TEXTJOIN("",TRUE,IF(ISERR(MID(C3799,ROW(INDIRECT("1:100")),1)+0),MID(C3799,ROW(INDIRECT("1:100")),1),"")),")",""),"(","")</f>
        <v/>
      </c>
    </row>
    <row r="3800" spans="8:8" x14ac:dyDescent="0.25">
      <c r="H3800" s="4" t="str">
        <f t="array" aca="1" ref="H3800" ca="1">SUBSTITUTE(SUBSTITUTE(_xlfn.TEXTJOIN("",TRUE,IF(ISERR(MID(C3800,ROW(INDIRECT("1:100")),1)+0),MID(C3800,ROW(INDIRECT("1:100")),1),"")),")",""),"(","")</f>
        <v/>
      </c>
    </row>
    <row r="3801" spans="8:8" x14ac:dyDescent="0.25">
      <c r="H3801" s="4" t="str">
        <f t="array" aca="1" ref="H3801" ca="1">SUBSTITUTE(SUBSTITUTE(_xlfn.TEXTJOIN("",TRUE,IF(ISERR(MID(C3801,ROW(INDIRECT("1:100")),1)+0),MID(C3801,ROW(INDIRECT("1:100")),1),"")),")",""),"(","")</f>
        <v/>
      </c>
    </row>
    <row r="3802" spans="8:8" x14ac:dyDescent="0.25">
      <c r="H3802" s="4" t="str">
        <f t="array" aca="1" ref="H3802" ca="1">SUBSTITUTE(SUBSTITUTE(_xlfn.TEXTJOIN("",TRUE,IF(ISERR(MID(C3802,ROW(INDIRECT("1:100")),1)+0),MID(C3802,ROW(INDIRECT("1:100")),1),"")),")",""),"(","")</f>
        <v/>
      </c>
    </row>
    <row r="3803" spans="8:8" x14ac:dyDescent="0.25">
      <c r="H3803" s="4" t="str">
        <f t="array" aca="1" ref="H3803" ca="1">SUBSTITUTE(SUBSTITUTE(_xlfn.TEXTJOIN("",TRUE,IF(ISERR(MID(C3803,ROW(INDIRECT("1:100")),1)+0),MID(C3803,ROW(INDIRECT("1:100")),1),"")),")",""),"(","")</f>
        <v/>
      </c>
    </row>
    <row r="3804" spans="8:8" x14ac:dyDescent="0.25">
      <c r="H3804" s="4" t="str">
        <f t="array" aca="1" ref="H3804" ca="1">SUBSTITUTE(SUBSTITUTE(_xlfn.TEXTJOIN("",TRUE,IF(ISERR(MID(C3804,ROW(INDIRECT("1:100")),1)+0),MID(C3804,ROW(INDIRECT("1:100")),1),"")),")",""),"(","")</f>
        <v/>
      </c>
    </row>
    <row r="3805" spans="8:8" x14ac:dyDescent="0.25">
      <c r="H3805" s="4" t="str">
        <f t="array" aca="1" ref="H3805" ca="1">SUBSTITUTE(SUBSTITUTE(_xlfn.TEXTJOIN("",TRUE,IF(ISERR(MID(C3805,ROW(INDIRECT("1:100")),1)+0),MID(C3805,ROW(INDIRECT("1:100")),1),"")),")",""),"(","")</f>
        <v/>
      </c>
    </row>
    <row r="3806" spans="8:8" x14ac:dyDescent="0.25">
      <c r="H3806" s="4" t="str">
        <f t="array" aca="1" ref="H3806" ca="1">SUBSTITUTE(SUBSTITUTE(_xlfn.TEXTJOIN("",TRUE,IF(ISERR(MID(C3806,ROW(INDIRECT("1:100")),1)+0),MID(C3806,ROW(INDIRECT("1:100")),1),"")),")",""),"(","")</f>
        <v/>
      </c>
    </row>
    <row r="3807" spans="8:8" x14ac:dyDescent="0.25">
      <c r="H3807" s="4" t="str">
        <f t="array" aca="1" ref="H3807" ca="1">SUBSTITUTE(SUBSTITUTE(_xlfn.TEXTJOIN("",TRUE,IF(ISERR(MID(C3807,ROW(INDIRECT("1:100")),1)+0),MID(C3807,ROW(INDIRECT("1:100")),1),"")),")",""),"(","")</f>
        <v/>
      </c>
    </row>
    <row r="3808" spans="8:8" x14ac:dyDescent="0.25">
      <c r="H3808" s="4" t="str">
        <f t="array" aca="1" ref="H3808" ca="1">SUBSTITUTE(SUBSTITUTE(_xlfn.TEXTJOIN("",TRUE,IF(ISERR(MID(C3808,ROW(INDIRECT("1:100")),1)+0),MID(C3808,ROW(INDIRECT("1:100")),1),"")),")",""),"(","")</f>
        <v/>
      </c>
    </row>
    <row r="3809" spans="8:8" x14ac:dyDescent="0.25">
      <c r="H3809" s="4" t="str">
        <f t="array" aca="1" ref="H3809" ca="1">SUBSTITUTE(SUBSTITUTE(_xlfn.TEXTJOIN("",TRUE,IF(ISERR(MID(C3809,ROW(INDIRECT("1:100")),1)+0),MID(C3809,ROW(INDIRECT("1:100")),1),"")),")",""),"(","")</f>
        <v/>
      </c>
    </row>
    <row r="3810" spans="8:8" x14ac:dyDescent="0.25">
      <c r="H3810" s="4" t="str">
        <f t="array" aca="1" ref="H3810" ca="1">SUBSTITUTE(SUBSTITUTE(_xlfn.TEXTJOIN("",TRUE,IF(ISERR(MID(C3810,ROW(INDIRECT("1:100")),1)+0),MID(C3810,ROW(INDIRECT("1:100")),1),"")),")",""),"(","")</f>
        <v/>
      </c>
    </row>
    <row r="3811" spans="8:8" x14ac:dyDescent="0.25">
      <c r="H3811" s="4" t="str">
        <f t="array" aca="1" ref="H3811" ca="1">SUBSTITUTE(SUBSTITUTE(_xlfn.TEXTJOIN("",TRUE,IF(ISERR(MID(C3811,ROW(INDIRECT("1:100")),1)+0),MID(C3811,ROW(INDIRECT("1:100")),1),"")),")",""),"(","")</f>
        <v/>
      </c>
    </row>
    <row r="3812" spans="8:8" x14ac:dyDescent="0.25">
      <c r="H3812" s="4" t="str">
        <f t="array" aca="1" ref="H3812" ca="1">SUBSTITUTE(SUBSTITUTE(_xlfn.TEXTJOIN("",TRUE,IF(ISERR(MID(C3812,ROW(INDIRECT("1:100")),1)+0),MID(C3812,ROW(INDIRECT("1:100")),1),"")),")",""),"(","")</f>
        <v/>
      </c>
    </row>
    <row r="3813" spans="8:8" x14ac:dyDescent="0.25">
      <c r="H3813" s="4" t="str">
        <f t="array" aca="1" ref="H3813" ca="1">SUBSTITUTE(SUBSTITUTE(_xlfn.TEXTJOIN("",TRUE,IF(ISERR(MID(C3813,ROW(INDIRECT("1:100")),1)+0),MID(C3813,ROW(INDIRECT("1:100")),1),"")),")",""),"(","")</f>
        <v/>
      </c>
    </row>
    <row r="3814" spans="8:8" x14ac:dyDescent="0.25">
      <c r="H3814" s="4" t="str">
        <f t="array" aca="1" ref="H3814" ca="1">SUBSTITUTE(SUBSTITUTE(_xlfn.TEXTJOIN("",TRUE,IF(ISERR(MID(C3814,ROW(INDIRECT("1:100")),1)+0),MID(C3814,ROW(INDIRECT("1:100")),1),"")),")",""),"(","")</f>
        <v/>
      </c>
    </row>
    <row r="3815" spans="8:8" x14ac:dyDescent="0.25">
      <c r="H3815" s="4" t="str">
        <f t="array" aca="1" ref="H3815" ca="1">SUBSTITUTE(SUBSTITUTE(_xlfn.TEXTJOIN("",TRUE,IF(ISERR(MID(C3815,ROW(INDIRECT("1:100")),1)+0),MID(C3815,ROW(INDIRECT("1:100")),1),"")),")",""),"(","")</f>
        <v/>
      </c>
    </row>
    <row r="3816" spans="8:8" x14ac:dyDescent="0.25">
      <c r="H3816" s="4" t="str">
        <f t="array" aca="1" ref="H3816" ca="1">SUBSTITUTE(SUBSTITUTE(_xlfn.TEXTJOIN("",TRUE,IF(ISERR(MID(C3816,ROW(INDIRECT("1:100")),1)+0),MID(C3816,ROW(INDIRECT("1:100")),1),"")),")",""),"(","")</f>
        <v/>
      </c>
    </row>
    <row r="3817" spans="8:8" x14ac:dyDescent="0.25">
      <c r="H3817" s="4" t="str">
        <f t="array" aca="1" ref="H3817" ca="1">SUBSTITUTE(SUBSTITUTE(_xlfn.TEXTJOIN("",TRUE,IF(ISERR(MID(C3817,ROW(INDIRECT("1:100")),1)+0),MID(C3817,ROW(INDIRECT("1:100")),1),"")),")",""),"(","")</f>
        <v/>
      </c>
    </row>
    <row r="3818" spans="8:8" x14ac:dyDescent="0.25">
      <c r="H3818" s="4" t="str">
        <f t="array" aca="1" ref="H3818" ca="1">SUBSTITUTE(SUBSTITUTE(_xlfn.TEXTJOIN("",TRUE,IF(ISERR(MID(C3818,ROW(INDIRECT("1:100")),1)+0),MID(C3818,ROW(INDIRECT("1:100")),1),"")),")",""),"(","")</f>
        <v/>
      </c>
    </row>
    <row r="3819" spans="8:8" x14ac:dyDescent="0.25">
      <c r="H3819" s="4" t="str">
        <f t="array" aca="1" ref="H3819" ca="1">SUBSTITUTE(SUBSTITUTE(_xlfn.TEXTJOIN("",TRUE,IF(ISERR(MID(C3819,ROW(INDIRECT("1:100")),1)+0),MID(C3819,ROW(INDIRECT("1:100")),1),"")),")",""),"(","")</f>
        <v/>
      </c>
    </row>
    <row r="3820" spans="8:8" x14ac:dyDescent="0.25">
      <c r="H3820" s="4" t="str">
        <f t="array" aca="1" ref="H3820" ca="1">SUBSTITUTE(SUBSTITUTE(_xlfn.TEXTJOIN("",TRUE,IF(ISERR(MID(C3820,ROW(INDIRECT("1:100")),1)+0),MID(C3820,ROW(INDIRECT("1:100")),1),"")),")",""),"(","")</f>
        <v/>
      </c>
    </row>
    <row r="3821" spans="8:8" x14ac:dyDescent="0.25">
      <c r="H3821" s="4" t="str">
        <f t="array" aca="1" ref="H3821" ca="1">SUBSTITUTE(SUBSTITUTE(_xlfn.TEXTJOIN("",TRUE,IF(ISERR(MID(C3821,ROW(INDIRECT("1:100")),1)+0),MID(C3821,ROW(INDIRECT("1:100")),1),"")),")",""),"(","")</f>
        <v/>
      </c>
    </row>
    <row r="3822" spans="8:8" x14ac:dyDescent="0.25">
      <c r="H3822" s="4" t="str">
        <f t="array" aca="1" ref="H3822" ca="1">SUBSTITUTE(SUBSTITUTE(_xlfn.TEXTJOIN("",TRUE,IF(ISERR(MID(C3822,ROW(INDIRECT("1:100")),1)+0),MID(C3822,ROW(INDIRECT("1:100")),1),"")),")",""),"(","")</f>
        <v/>
      </c>
    </row>
    <row r="3823" spans="8:8" x14ac:dyDescent="0.25">
      <c r="H3823" s="4" t="str">
        <f t="array" aca="1" ref="H3823" ca="1">SUBSTITUTE(SUBSTITUTE(_xlfn.TEXTJOIN("",TRUE,IF(ISERR(MID(C3823,ROW(INDIRECT("1:100")),1)+0),MID(C3823,ROW(INDIRECT("1:100")),1),"")),")",""),"(","")</f>
        <v/>
      </c>
    </row>
    <row r="3824" spans="8:8" x14ac:dyDescent="0.25">
      <c r="H3824" s="4" t="str">
        <f t="array" aca="1" ref="H3824" ca="1">SUBSTITUTE(SUBSTITUTE(_xlfn.TEXTJOIN("",TRUE,IF(ISERR(MID(C3824,ROW(INDIRECT("1:100")),1)+0),MID(C3824,ROW(INDIRECT("1:100")),1),"")),")",""),"(","")</f>
        <v/>
      </c>
    </row>
    <row r="3825" spans="8:8" x14ac:dyDescent="0.25">
      <c r="H3825" s="4" t="str">
        <f t="array" aca="1" ref="H3825" ca="1">SUBSTITUTE(SUBSTITUTE(_xlfn.TEXTJOIN("",TRUE,IF(ISERR(MID(C3825,ROW(INDIRECT("1:100")),1)+0),MID(C3825,ROW(INDIRECT("1:100")),1),"")),")",""),"(","")</f>
        <v/>
      </c>
    </row>
    <row r="3826" spans="8:8" x14ac:dyDescent="0.25">
      <c r="H3826" s="4" t="str">
        <f t="array" aca="1" ref="H3826" ca="1">SUBSTITUTE(SUBSTITUTE(_xlfn.TEXTJOIN("",TRUE,IF(ISERR(MID(C3826,ROW(INDIRECT("1:100")),1)+0),MID(C3826,ROW(INDIRECT("1:100")),1),"")),")",""),"(","")</f>
        <v/>
      </c>
    </row>
    <row r="3827" spans="8:8" x14ac:dyDescent="0.25">
      <c r="H3827" s="4" t="str">
        <f t="array" aca="1" ref="H3827" ca="1">SUBSTITUTE(SUBSTITUTE(_xlfn.TEXTJOIN("",TRUE,IF(ISERR(MID(C3827,ROW(INDIRECT("1:100")),1)+0),MID(C3827,ROW(INDIRECT("1:100")),1),"")),")",""),"(","")</f>
        <v/>
      </c>
    </row>
    <row r="3828" spans="8:8" x14ac:dyDescent="0.25">
      <c r="H3828" s="4" t="str">
        <f t="array" aca="1" ref="H3828" ca="1">SUBSTITUTE(SUBSTITUTE(_xlfn.TEXTJOIN("",TRUE,IF(ISERR(MID(C3828,ROW(INDIRECT("1:100")),1)+0),MID(C3828,ROW(INDIRECT("1:100")),1),"")),")",""),"(","")</f>
        <v/>
      </c>
    </row>
    <row r="3829" spans="8:8" x14ac:dyDescent="0.25">
      <c r="H3829" s="4" t="str">
        <f t="array" aca="1" ref="H3829" ca="1">SUBSTITUTE(SUBSTITUTE(_xlfn.TEXTJOIN("",TRUE,IF(ISERR(MID(C3829,ROW(INDIRECT("1:100")),1)+0),MID(C3829,ROW(INDIRECT("1:100")),1),"")),")",""),"(","")</f>
        <v/>
      </c>
    </row>
    <row r="3830" spans="8:8" x14ac:dyDescent="0.25">
      <c r="H3830" s="4" t="str">
        <f t="array" aca="1" ref="H3830" ca="1">SUBSTITUTE(SUBSTITUTE(_xlfn.TEXTJOIN("",TRUE,IF(ISERR(MID(C3830,ROW(INDIRECT("1:100")),1)+0),MID(C3830,ROW(INDIRECT("1:100")),1),"")),")",""),"(","")</f>
        <v/>
      </c>
    </row>
    <row r="3831" spans="8:8" x14ac:dyDescent="0.25">
      <c r="H3831" s="4" t="str">
        <f t="array" aca="1" ref="H3831" ca="1">SUBSTITUTE(SUBSTITUTE(_xlfn.TEXTJOIN("",TRUE,IF(ISERR(MID(C3831,ROW(INDIRECT("1:100")),1)+0),MID(C3831,ROW(INDIRECT("1:100")),1),"")),")",""),"(","")</f>
        <v/>
      </c>
    </row>
    <row r="3832" spans="8:8" x14ac:dyDescent="0.25">
      <c r="H3832" s="4" t="str">
        <f t="array" aca="1" ref="H3832" ca="1">SUBSTITUTE(SUBSTITUTE(_xlfn.TEXTJOIN("",TRUE,IF(ISERR(MID(C3832,ROW(INDIRECT("1:100")),1)+0),MID(C3832,ROW(INDIRECT("1:100")),1),"")),")",""),"(","")</f>
        <v/>
      </c>
    </row>
    <row r="3833" spans="8:8" x14ac:dyDescent="0.25">
      <c r="H3833" s="4" t="str">
        <f t="array" aca="1" ref="H3833" ca="1">SUBSTITUTE(SUBSTITUTE(_xlfn.TEXTJOIN("",TRUE,IF(ISERR(MID(C3833,ROW(INDIRECT("1:100")),1)+0),MID(C3833,ROW(INDIRECT("1:100")),1),"")),")",""),"(","")</f>
        <v/>
      </c>
    </row>
    <row r="3834" spans="8:8" x14ac:dyDescent="0.25">
      <c r="H3834" s="4" t="str">
        <f t="array" aca="1" ref="H3834" ca="1">SUBSTITUTE(SUBSTITUTE(_xlfn.TEXTJOIN("",TRUE,IF(ISERR(MID(C3834,ROW(INDIRECT("1:100")),1)+0),MID(C3834,ROW(INDIRECT("1:100")),1),"")),")",""),"(","")</f>
        <v/>
      </c>
    </row>
    <row r="3835" spans="8:8" x14ac:dyDescent="0.25">
      <c r="H3835" s="4" t="str">
        <f t="array" aca="1" ref="H3835" ca="1">SUBSTITUTE(SUBSTITUTE(_xlfn.TEXTJOIN("",TRUE,IF(ISERR(MID(C3835,ROW(INDIRECT("1:100")),1)+0),MID(C3835,ROW(INDIRECT("1:100")),1),"")),")",""),"(","")</f>
        <v/>
      </c>
    </row>
    <row r="3836" spans="8:8" x14ac:dyDescent="0.25">
      <c r="H3836" s="4" t="str">
        <f t="array" aca="1" ref="H3836" ca="1">SUBSTITUTE(SUBSTITUTE(_xlfn.TEXTJOIN("",TRUE,IF(ISERR(MID(C3836,ROW(INDIRECT("1:100")),1)+0),MID(C3836,ROW(INDIRECT("1:100")),1),"")),")",""),"(","")</f>
        <v/>
      </c>
    </row>
    <row r="3837" spans="8:8" x14ac:dyDescent="0.25">
      <c r="H3837" s="4" t="str">
        <f t="array" aca="1" ref="H3837" ca="1">SUBSTITUTE(SUBSTITUTE(_xlfn.TEXTJOIN("",TRUE,IF(ISERR(MID(C3837,ROW(INDIRECT("1:100")),1)+0),MID(C3837,ROW(INDIRECT("1:100")),1),"")),")",""),"(","")</f>
        <v/>
      </c>
    </row>
    <row r="3838" spans="8:8" x14ac:dyDescent="0.25">
      <c r="H3838" s="4" t="str">
        <f t="array" aca="1" ref="H3838" ca="1">SUBSTITUTE(SUBSTITUTE(_xlfn.TEXTJOIN("",TRUE,IF(ISERR(MID(C3838,ROW(INDIRECT("1:100")),1)+0),MID(C3838,ROW(INDIRECT("1:100")),1),"")),")",""),"(","")</f>
        <v/>
      </c>
    </row>
    <row r="3839" spans="8:8" x14ac:dyDescent="0.25">
      <c r="H3839" s="4" t="str">
        <f t="array" aca="1" ref="H3839" ca="1">SUBSTITUTE(SUBSTITUTE(_xlfn.TEXTJOIN("",TRUE,IF(ISERR(MID(C3839,ROW(INDIRECT("1:100")),1)+0),MID(C3839,ROW(INDIRECT("1:100")),1),"")),")",""),"(","")</f>
        <v/>
      </c>
    </row>
    <row r="3840" spans="8:8" x14ac:dyDescent="0.25">
      <c r="H3840" s="4" t="str">
        <f t="array" aca="1" ref="H3840" ca="1">SUBSTITUTE(SUBSTITUTE(_xlfn.TEXTJOIN("",TRUE,IF(ISERR(MID(C3840,ROW(INDIRECT("1:100")),1)+0),MID(C3840,ROW(INDIRECT("1:100")),1),"")),")",""),"(","")</f>
        <v/>
      </c>
    </row>
    <row r="3841" spans="8:8" x14ac:dyDescent="0.25">
      <c r="H3841" s="4" t="str">
        <f t="array" aca="1" ref="H3841" ca="1">SUBSTITUTE(SUBSTITUTE(_xlfn.TEXTJOIN("",TRUE,IF(ISERR(MID(C3841,ROW(INDIRECT("1:100")),1)+0),MID(C3841,ROW(INDIRECT("1:100")),1),"")),")",""),"(","")</f>
        <v/>
      </c>
    </row>
    <row r="3842" spans="8:8" x14ac:dyDescent="0.25">
      <c r="H3842" s="4" t="str">
        <f t="array" aca="1" ref="H3842" ca="1">SUBSTITUTE(SUBSTITUTE(_xlfn.TEXTJOIN("",TRUE,IF(ISERR(MID(C3842,ROW(INDIRECT("1:100")),1)+0),MID(C3842,ROW(INDIRECT("1:100")),1),"")),")",""),"(","")</f>
        <v/>
      </c>
    </row>
    <row r="3843" spans="8:8" x14ac:dyDescent="0.25">
      <c r="H3843" s="4" t="str">
        <f t="array" aca="1" ref="H3843" ca="1">SUBSTITUTE(SUBSTITUTE(_xlfn.TEXTJOIN("",TRUE,IF(ISERR(MID(C3843,ROW(INDIRECT("1:100")),1)+0),MID(C3843,ROW(INDIRECT("1:100")),1),"")),")",""),"(","")</f>
        <v/>
      </c>
    </row>
    <row r="3844" spans="8:8" x14ac:dyDescent="0.25">
      <c r="H3844" s="4" t="str">
        <f t="array" aca="1" ref="H3844" ca="1">SUBSTITUTE(SUBSTITUTE(_xlfn.TEXTJOIN("",TRUE,IF(ISERR(MID(C3844,ROW(INDIRECT("1:100")),1)+0),MID(C3844,ROW(INDIRECT("1:100")),1),"")),")",""),"(","")</f>
        <v/>
      </c>
    </row>
    <row r="3845" spans="8:8" x14ac:dyDescent="0.25">
      <c r="H3845" s="4" t="str">
        <f t="array" aca="1" ref="H3845" ca="1">SUBSTITUTE(SUBSTITUTE(_xlfn.TEXTJOIN("",TRUE,IF(ISERR(MID(C3845,ROW(INDIRECT("1:100")),1)+0),MID(C3845,ROW(INDIRECT("1:100")),1),"")),")",""),"(","")</f>
        <v/>
      </c>
    </row>
    <row r="3846" spans="8:8" x14ac:dyDescent="0.25">
      <c r="H3846" s="4" t="str">
        <f t="array" aca="1" ref="H3846" ca="1">SUBSTITUTE(SUBSTITUTE(_xlfn.TEXTJOIN("",TRUE,IF(ISERR(MID(C3846,ROW(INDIRECT("1:100")),1)+0),MID(C3846,ROW(INDIRECT("1:100")),1),"")),")",""),"(","")</f>
        <v/>
      </c>
    </row>
    <row r="3847" spans="8:8" x14ac:dyDescent="0.25">
      <c r="H3847" s="4" t="str">
        <f t="array" aca="1" ref="H3847" ca="1">SUBSTITUTE(SUBSTITUTE(_xlfn.TEXTJOIN("",TRUE,IF(ISERR(MID(C3847,ROW(INDIRECT("1:100")),1)+0),MID(C3847,ROW(INDIRECT("1:100")),1),"")),")",""),"(","")</f>
        <v/>
      </c>
    </row>
    <row r="3848" spans="8:8" x14ac:dyDescent="0.25">
      <c r="H3848" s="4" t="str">
        <f t="array" aca="1" ref="H3848" ca="1">SUBSTITUTE(SUBSTITUTE(_xlfn.TEXTJOIN("",TRUE,IF(ISERR(MID(C3848,ROW(INDIRECT("1:100")),1)+0),MID(C3848,ROW(INDIRECT("1:100")),1),"")),")",""),"(","")</f>
        <v/>
      </c>
    </row>
    <row r="3849" spans="8:8" x14ac:dyDescent="0.25">
      <c r="H3849" s="4" t="str">
        <f t="array" aca="1" ref="H3849" ca="1">SUBSTITUTE(SUBSTITUTE(_xlfn.TEXTJOIN("",TRUE,IF(ISERR(MID(C3849,ROW(INDIRECT("1:100")),1)+0),MID(C3849,ROW(INDIRECT("1:100")),1),"")),")",""),"(","")</f>
        <v/>
      </c>
    </row>
    <row r="3850" spans="8:8" x14ac:dyDescent="0.25">
      <c r="H3850" s="4" t="str">
        <f t="array" aca="1" ref="H3850" ca="1">SUBSTITUTE(SUBSTITUTE(_xlfn.TEXTJOIN("",TRUE,IF(ISERR(MID(C3850,ROW(INDIRECT("1:100")),1)+0),MID(C3850,ROW(INDIRECT("1:100")),1),"")),")",""),"(","")</f>
        <v/>
      </c>
    </row>
    <row r="3851" spans="8:8" x14ac:dyDescent="0.25">
      <c r="H3851" s="4" t="str">
        <f t="array" aca="1" ref="H3851" ca="1">SUBSTITUTE(SUBSTITUTE(_xlfn.TEXTJOIN("",TRUE,IF(ISERR(MID(C3851,ROW(INDIRECT("1:100")),1)+0),MID(C3851,ROW(INDIRECT("1:100")),1),"")),")",""),"(","")</f>
        <v/>
      </c>
    </row>
    <row r="3852" spans="8:8" x14ac:dyDescent="0.25">
      <c r="H3852" s="4" t="str">
        <f t="array" aca="1" ref="H3852" ca="1">SUBSTITUTE(SUBSTITUTE(_xlfn.TEXTJOIN("",TRUE,IF(ISERR(MID(C3852,ROW(INDIRECT("1:100")),1)+0),MID(C3852,ROW(INDIRECT("1:100")),1),"")),")",""),"(","")</f>
        <v/>
      </c>
    </row>
    <row r="3853" spans="8:8" x14ac:dyDescent="0.25">
      <c r="H3853" s="4" t="str">
        <f t="array" aca="1" ref="H3853" ca="1">SUBSTITUTE(SUBSTITUTE(_xlfn.TEXTJOIN("",TRUE,IF(ISERR(MID(C3853,ROW(INDIRECT("1:100")),1)+0),MID(C3853,ROW(INDIRECT("1:100")),1),"")),")",""),"(","")</f>
        <v/>
      </c>
    </row>
    <row r="3854" spans="8:8" x14ac:dyDescent="0.25">
      <c r="H3854" s="4" t="str">
        <f t="array" aca="1" ref="H3854" ca="1">SUBSTITUTE(SUBSTITUTE(_xlfn.TEXTJOIN("",TRUE,IF(ISERR(MID(C3854,ROW(INDIRECT("1:100")),1)+0),MID(C3854,ROW(INDIRECT("1:100")),1),"")),")",""),"(","")</f>
        <v/>
      </c>
    </row>
    <row r="3855" spans="8:8" x14ac:dyDescent="0.25">
      <c r="H3855" s="4" t="str">
        <f t="array" aca="1" ref="H3855" ca="1">SUBSTITUTE(SUBSTITUTE(_xlfn.TEXTJOIN("",TRUE,IF(ISERR(MID(C3855,ROW(INDIRECT("1:100")),1)+0),MID(C3855,ROW(INDIRECT("1:100")),1),"")),")",""),"(","")</f>
        <v/>
      </c>
    </row>
    <row r="3856" spans="8:8" x14ac:dyDescent="0.25">
      <c r="H3856" s="4" t="str">
        <f t="array" aca="1" ref="H3856" ca="1">SUBSTITUTE(SUBSTITUTE(_xlfn.TEXTJOIN("",TRUE,IF(ISERR(MID(C3856,ROW(INDIRECT("1:100")),1)+0),MID(C3856,ROW(INDIRECT("1:100")),1),"")),")",""),"(","")</f>
        <v/>
      </c>
    </row>
    <row r="3857" spans="8:8" x14ac:dyDescent="0.25">
      <c r="H3857" s="4" t="str">
        <f t="array" aca="1" ref="H3857" ca="1">SUBSTITUTE(SUBSTITUTE(_xlfn.TEXTJOIN("",TRUE,IF(ISERR(MID(C3857,ROW(INDIRECT("1:100")),1)+0),MID(C3857,ROW(INDIRECT("1:100")),1),"")),")",""),"(","")</f>
        <v/>
      </c>
    </row>
    <row r="3858" spans="8:8" x14ac:dyDescent="0.25">
      <c r="H3858" s="4" t="str">
        <f t="array" aca="1" ref="H3858" ca="1">SUBSTITUTE(SUBSTITUTE(_xlfn.TEXTJOIN("",TRUE,IF(ISERR(MID(C3858,ROW(INDIRECT("1:100")),1)+0),MID(C3858,ROW(INDIRECT("1:100")),1),"")),")",""),"(","")</f>
        <v/>
      </c>
    </row>
    <row r="3859" spans="8:8" x14ac:dyDescent="0.25">
      <c r="H3859" s="4" t="str">
        <f t="array" aca="1" ref="H3859" ca="1">SUBSTITUTE(SUBSTITUTE(_xlfn.TEXTJOIN("",TRUE,IF(ISERR(MID(C3859,ROW(INDIRECT("1:100")),1)+0),MID(C3859,ROW(INDIRECT("1:100")),1),"")),")",""),"(","")</f>
        <v/>
      </c>
    </row>
    <row r="3860" spans="8:8" x14ac:dyDescent="0.25">
      <c r="H3860" s="4" t="str">
        <f t="array" aca="1" ref="H3860" ca="1">SUBSTITUTE(SUBSTITUTE(_xlfn.TEXTJOIN("",TRUE,IF(ISERR(MID(C3860,ROW(INDIRECT("1:100")),1)+0),MID(C3860,ROW(INDIRECT("1:100")),1),"")),")",""),"(","")</f>
        <v/>
      </c>
    </row>
    <row r="3861" spans="8:8" x14ac:dyDescent="0.25">
      <c r="H3861" s="4" t="str">
        <f t="array" aca="1" ref="H3861" ca="1">SUBSTITUTE(SUBSTITUTE(_xlfn.TEXTJOIN("",TRUE,IF(ISERR(MID(C3861,ROW(INDIRECT("1:100")),1)+0),MID(C3861,ROW(INDIRECT("1:100")),1),"")),")",""),"(","")</f>
        <v/>
      </c>
    </row>
    <row r="3862" spans="8:8" x14ac:dyDescent="0.25">
      <c r="H3862" s="4" t="str">
        <f t="array" aca="1" ref="H3862" ca="1">SUBSTITUTE(SUBSTITUTE(_xlfn.TEXTJOIN("",TRUE,IF(ISERR(MID(C3862,ROW(INDIRECT("1:100")),1)+0),MID(C3862,ROW(INDIRECT("1:100")),1),"")),")",""),"(","")</f>
        <v/>
      </c>
    </row>
    <row r="3863" spans="8:8" x14ac:dyDescent="0.25">
      <c r="H3863" s="4" t="str">
        <f t="array" aca="1" ref="H3863" ca="1">SUBSTITUTE(SUBSTITUTE(_xlfn.TEXTJOIN("",TRUE,IF(ISERR(MID(C3863,ROW(INDIRECT("1:100")),1)+0),MID(C3863,ROW(INDIRECT("1:100")),1),"")),")",""),"(","")</f>
        <v/>
      </c>
    </row>
    <row r="3864" spans="8:8" x14ac:dyDescent="0.25">
      <c r="H3864" s="4" t="str">
        <f t="array" aca="1" ref="H3864" ca="1">SUBSTITUTE(SUBSTITUTE(_xlfn.TEXTJOIN("",TRUE,IF(ISERR(MID(C3864,ROW(INDIRECT("1:100")),1)+0),MID(C3864,ROW(INDIRECT("1:100")),1),"")),")",""),"(","")</f>
        <v/>
      </c>
    </row>
    <row r="3865" spans="8:8" x14ac:dyDescent="0.25">
      <c r="H3865" s="4" t="str">
        <f t="array" aca="1" ref="H3865" ca="1">SUBSTITUTE(SUBSTITUTE(_xlfn.TEXTJOIN("",TRUE,IF(ISERR(MID(C3865,ROW(INDIRECT("1:100")),1)+0),MID(C3865,ROW(INDIRECT("1:100")),1),"")),")",""),"(","")</f>
        <v/>
      </c>
    </row>
    <row r="3866" spans="8:8" x14ac:dyDescent="0.25">
      <c r="H3866" s="4" t="str">
        <f t="array" aca="1" ref="H3866" ca="1">SUBSTITUTE(SUBSTITUTE(_xlfn.TEXTJOIN("",TRUE,IF(ISERR(MID(C3866,ROW(INDIRECT("1:100")),1)+0),MID(C3866,ROW(INDIRECT("1:100")),1),"")),")",""),"(","")</f>
        <v/>
      </c>
    </row>
    <row r="3867" spans="8:8" x14ac:dyDescent="0.25">
      <c r="H3867" s="4" t="str">
        <f t="array" aca="1" ref="H3867" ca="1">SUBSTITUTE(SUBSTITUTE(_xlfn.TEXTJOIN("",TRUE,IF(ISERR(MID(C3867,ROW(INDIRECT("1:100")),1)+0),MID(C3867,ROW(INDIRECT("1:100")),1),"")),")",""),"(","")</f>
        <v/>
      </c>
    </row>
    <row r="3868" spans="8:8" x14ac:dyDescent="0.25">
      <c r="H3868" s="4" t="str">
        <f t="array" aca="1" ref="H3868" ca="1">SUBSTITUTE(SUBSTITUTE(_xlfn.TEXTJOIN("",TRUE,IF(ISERR(MID(C3868,ROW(INDIRECT("1:100")),1)+0),MID(C3868,ROW(INDIRECT("1:100")),1),"")),")",""),"(","")</f>
        <v/>
      </c>
    </row>
    <row r="3869" spans="8:8" x14ac:dyDescent="0.25">
      <c r="H3869" s="4" t="str">
        <f t="array" aca="1" ref="H3869" ca="1">SUBSTITUTE(SUBSTITUTE(_xlfn.TEXTJOIN("",TRUE,IF(ISERR(MID(C3869,ROW(INDIRECT("1:100")),1)+0),MID(C3869,ROW(INDIRECT("1:100")),1),"")),")",""),"(","")</f>
        <v/>
      </c>
    </row>
    <row r="3870" spans="8:8" x14ac:dyDescent="0.25">
      <c r="H3870" s="4" t="str">
        <f t="array" aca="1" ref="H3870" ca="1">SUBSTITUTE(SUBSTITUTE(_xlfn.TEXTJOIN("",TRUE,IF(ISERR(MID(C3870,ROW(INDIRECT("1:100")),1)+0),MID(C3870,ROW(INDIRECT("1:100")),1),"")),")",""),"(","")</f>
        <v/>
      </c>
    </row>
    <row r="3871" spans="8:8" x14ac:dyDescent="0.25">
      <c r="H3871" s="4" t="str">
        <f t="array" aca="1" ref="H3871" ca="1">SUBSTITUTE(SUBSTITUTE(_xlfn.TEXTJOIN("",TRUE,IF(ISERR(MID(C3871,ROW(INDIRECT("1:100")),1)+0),MID(C3871,ROW(INDIRECT("1:100")),1),"")),")",""),"(","")</f>
        <v/>
      </c>
    </row>
    <row r="3872" spans="8:8" x14ac:dyDescent="0.25">
      <c r="H3872" s="4" t="str">
        <f t="array" aca="1" ref="H3872" ca="1">SUBSTITUTE(SUBSTITUTE(_xlfn.TEXTJOIN("",TRUE,IF(ISERR(MID(C3872,ROW(INDIRECT("1:100")),1)+0),MID(C3872,ROW(INDIRECT("1:100")),1),"")),")",""),"(","")</f>
        <v/>
      </c>
    </row>
    <row r="3873" spans="8:8" x14ac:dyDescent="0.25">
      <c r="H3873" s="4" t="str">
        <f t="array" aca="1" ref="H3873" ca="1">SUBSTITUTE(SUBSTITUTE(_xlfn.TEXTJOIN("",TRUE,IF(ISERR(MID(C3873,ROW(INDIRECT("1:100")),1)+0),MID(C3873,ROW(INDIRECT("1:100")),1),"")),")",""),"(","")</f>
        <v/>
      </c>
    </row>
    <row r="3874" spans="8:8" x14ac:dyDescent="0.25">
      <c r="H3874" s="4" t="str">
        <f t="array" aca="1" ref="H3874" ca="1">SUBSTITUTE(SUBSTITUTE(_xlfn.TEXTJOIN("",TRUE,IF(ISERR(MID(C3874,ROW(INDIRECT("1:100")),1)+0),MID(C3874,ROW(INDIRECT("1:100")),1),"")),")",""),"(","")</f>
        <v/>
      </c>
    </row>
    <row r="3875" spans="8:8" x14ac:dyDescent="0.25">
      <c r="H3875" s="4" t="str">
        <f t="array" aca="1" ref="H3875" ca="1">SUBSTITUTE(SUBSTITUTE(_xlfn.TEXTJOIN("",TRUE,IF(ISERR(MID(C3875,ROW(INDIRECT("1:100")),1)+0),MID(C3875,ROW(INDIRECT("1:100")),1),"")),")",""),"(","")</f>
        <v/>
      </c>
    </row>
    <row r="3876" spans="8:8" x14ac:dyDescent="0.25">
      <c r="H3876" s="4" t="str">
        <f t="array" aca="1" ref="H3876" ca="1">SUBSTITUTE(SUBSTITUTE(_xlfn.TEXTJOIN("",TRUE,IF(ISERR(MID(C3876,ROW(INDIRECT("1:100")),1)+0),MID(C3876,ROW(INDIRECT("1:100")),1),"")),")",""),"(","")</f>
        <v/>
      </c>
    </row>
    <row r="3877" spans="8:8" x14ac:dyDescent="0.25">
      <c r="H3877" s="4" t="str">
        <f t="array" aca="1" ref="H3877" ca="1">SUBSTITUTE(SUBSTITUTE(_xlfn.TEXTJOIN("",TRUE,IF(ISERR(MID(C3877,ROW(INDIRECT("1:100")),1)+0),MID(C3877,ROW(INDIRECT("1:100")),1),"")),")",""),"(","")</f>
        <v/>
      </c>
    </row>
    <row r="3878" spans="8:8" x14ac:dyDescent="0.25">
      <c r="H3878" s="4" t="str">
        <f t="array" aca="1" ref="H3878" ca="1">SUBSTITUTE(SUBSTITUTE(_xlfn.TEXTJOIN("",TRUE,IF(ISERR(MID(C3878,ROW(INDIRECT("1:100")),1)+0),MID(C3878,ROW(INDIRECT("1:100")),1),"")),")",""),"(","")</f>
        <v/>
      </c>
    </row>
    <row r="3879" spans="8:8" x14ac:dyDescent="0.25">
      <c r="H3879" s="4" t="str">
        <f t="array" aca="1" ref="H3879" ca="1">SUBSTITUTE(SUBSTITUTE(_xlfn.TEXTJOIN("",TRUE,IF(ISERR(MID(C3879,ROW(INDIRECT("1:100")),1)+0),MID(C3879,ROW(INDIRECT("1:100")),1),"")),")",""),"(","")</f>
        <v/>
      </c>
    </row>
    <row r="3880" spans="8:8" x14ac:dyDescent="0.25">
      <c r="H3880" s="4" t="str">
        <f t="array" aca="1" ref="H3880" ca="1">SUBSTITUTE(SUBSTITUTE(_xlfn.TEXTJOIN("",TRUE,IF(ISERR(MID(C3880,ROW(INDIRECT("1:100")),1)+0),MID(C3880,ROW(INDIRECT("1:100")),1),"")),")",""),"(","")</f>
        <v/>
      </c>
    </row>
    <row r="3881" spans="8:8" x14ac:dyDescent="0.25">
      <c r="H3881" s="4" t="str">
        <f t="array" aca="1" ref="H3881" ca="1">SUBSTITUTE(SUBSTITUTE(_xlfn.TEXTJOIN("",TRUE,IF(ISERR(MID(C3881,ROW(INDIRECT("1:100")),1)+0),MID(C3881,ROW(INDIRECT("1:100")),1),"")),")",""),"(","")</f>
        <v/>
      </c>
    </row>
    <row r="3882" spans="8:8" x14ac:dyDescent="0.25">
      <c r="H3882" s="4" t="str">
        <f t="array" aca="1" ref="H3882" ca="1">SUBSTITUTE(SUBSTITUTE(_xlfn.TEXTJOIN("",TRUE,IF(ISERR(MID(C3882,ROW(INDIRECT("1:100")),1)+0),MID(C3882,ROW(INDIRECT("1:100")),1),"")),")",""),"(","")</f>
        <v/>
      </c>
    </row>
    <row r="3883" spans="8:8" x14ac:dyDescent="0.25">
      <c r="H3883" s="4" t="str">
        <f t="array" aca="1" ref="H3883" ca="1">SUBSTITUTE(SUBSTITUTE(_xlfn.TEXTJOIN("",TRUE,IF(ISERR(MID(C3883,ROW(INDIRECT("1:100")),1)+0),MID(C3883,ROW(INDIRECT("1:100")),1),"")),")",""),"(","")</f>
        <v/>
      </c>
    </row>
    <row r="3884" spans="8:8" x14ac:dyDescent="0.25">
      <c r="H3884" s="4" t="str">
        <f t="array" aca="1" ref="H3884" ca="1">SUBSTITUTE(SUBSTITUTE(_xlfn.TEXTJOIN("",TRUE,IF(ISERR(MID(C3884,ROW(INDIRECT("1:100")),1)+0),MID(C3884,ROW(INDIRECT("1:100")),1),"")),")",""),"(","")</f>
        <v/>
      </c>
    </row>
    <row r="3885" spans="8:8" x14ac:dyDescent="0.25">
      <c r="H3885" s="4" t="str">
        <f t="array" aca="1" ref="H3885" ca="1">SUBSTITUTE(SUBSTITUTE(_xlfn.TEXTJOIN("",TRUE,IF(ISERR(MID(C3885,ROW(INDIRECT("1:100")),1)+0),MID(C3885,ROW(INDIRECT("1:100")),1),"")),")",""),"(","")</f>
        <v/>
      </c>
    </row>
    <row r="3886" spans="8:8" x14ac:dyDescent="0.25">
      <c r="H3886" s="4" t="str">
        <f t="array" aca="1" ref="H3886" ca="1">SUBSTITUTE(SUBSTITUTE(_xlfn.TEXTJOIN("",TRUE,IF(ISERR(MID(C3886,ROW(INDIRECT("1:100")),1)+0),MID(C3886,ROW(INDIRECT("1:100")),1),"")),")",""),"(","")</f>
        <v/>
      </c>
    </row>
    <row r="3887" spans="8:8" x14ac:dyDescent="0.25">
      <c r="H3887" s="4" t="str">
        <f t="array" aca="1" ref="H3887" ca="1">SUBSTITUTE(SUBSTITUTE(_xlfn.TEXTJOIN("",TRUE,IF(ISERR(MID(C3887,ROW(INDIRECT("1:100")),1)+0),MID(C3887,ROW(INDIRECT("1:100")),1),"")),")",""),"(","")</f>
        <v/>
      </c>
    </row>
    <row r="3888" spans="8:8" x14ac:dyDescent="0.25">
      <c r="H3888" s="4" t="str">
        <f t="array" aca="1" ref="H3888" ca="1">SUBSTITUTE(SUBSTITUTE(_xlfn.TEXTJOIN("",TRUE,IF(ISERR(MID(C3888,ROW(INDIRECT("1:100")),1)+0),MID(C3888,ROW(INDIRECT("1:100")),1),"")),")",""),"(","")</f>
        <v/>
      </c>
    </row>
    <row r="3889" spans="8:8" x14ac:dyDescent="0.25">
      <c r="H3889" s="4" t="str">
        <f t="array" aca="1" ref="H3889" ca="1">SUBSTITUTE(SUBSTITUTE(_xlfn.TEXTJOIN("",TRUE,IF(ISERR(MID(C3889,ROW(INDIRECT("1:100")),1)+0),MID(C3889,ROW(INDIRECT("1:100")),1),"")),")",""),"(","")</f>
        <v/>
      </c>
    </row>
    <row r="3890" spans="8:8" x14ac:dyDescent="0.25">
      <c r="H3890" s="4" t="str">
        <f t="array" aca="1" ref="H3890" ca="1">SUBSTITUTE(SUBSTITUTE(_xlfn.TEXTJOIN("",TRUE,IF(ISERR(MID(C3890,ROW(INDIRECT("1:100")),1)+0),MID(C3890,ROW(INDIRECT("1:100")),1),"")),")",""),"(","")</f>
        <v/>
      </c>
    </row>
    <row r="3891" spans="8:8" x14ac:dyDescent="0.25">
      <c r="H3891" s="4" t="str">
        <f t="array" aca="1" ref="H3891" ca="1">SUBSTITUTE(SUBSTITUTE(_xlfn.TEXTJOIN("",TRUE,IF(ISERR(MID(C3891,ROW(INDIRECT("1:100")),1)+0),MID(C3891,ROW(INDIRECT("1:100")),1),"")),")",""),"(","")</f>
        <v/>
      </c>
    </row>
    <row r="3892" spans="8:8" x14ac:dyDescent="0.25">
      <c r="H3892" s="4" t="str">
        <f t="array" aca="1" ref="H3892" ca="1">SUBSTITUTE(SUBSTITUTE(_xlfn.TEXTJOIN("",TRUE,IF(ISERR(MID(C3892,ROW(INDIRECT("1:100")),1)+0),MID(C3892,ROW(INDIRECT("1:100")),1),"")),")",""),"(","")</f>
        <v/>
      </c>
    </row>
    <row r="3893" spans="8:8" x14ac:dyDescent="0.25">
      <c r="H3893" s="4" t="str">
        <f t="array" aca="1" ref="H3893" ca="1">SUBSTITUTE(SUBSTITUTE(_xlfn.TEXTJOIN("",TRUE,IF(ISERR(MID(C3893,ROW(INDIRECT("1:100")),1)+0),MID(C3893,ROW(INDIRECT("1:100")),1),"")),")",""),"(","")</f>
        <v/>
      </c>
    </row>
    <row r="3894" spans="8:8" x14ac:dyDescent="0.25">
      <c r="H3894" s="4" t="str">
        <f t="array" aca="1" ref="H3894" ca="1">SUBSTITUTE(SUBSTITUTE(_xlfn.TEXTJOIN("",TRUE,IF(ISERR(MID(C3894,ROW(INDIRECT("1:100")),1)+0),MID(C3894,ROW(INDIRECT("1:100")),1),"")),")",""),"(","")</f>
        <v/>
      </c>
    </row>
    <row r="3895" spans="8:8" x14ac:dyDescent="0.25">
      <c r="H3895" s="4" t="str">
        <f t="array" aca="1" ref="H3895" ca="1">SUBSTITUTE(SUBSTITUTE(_xlfn.TEXTJOIN("",TRUE,IF(ISERR(MID(C3895,ROW(INDIRECT("1:100")),1)+0),MID(C3895,ROW(INDIRECT("1:100")),1),"")),")",""),"(","")</f>
        <v/>
      </c>
    </row>
    <row r="3896" spans="8:8" x14ac:dyDescent="0.25">
      <c r="H3896" s="4" t="str">
        <f t="array" aca="1" ref="H3896" ca="1">SUBSTITUTE(SUBSTITUTE(_xlfn.TEXTJOIN("",TRUE,IF(ISERR(MID(C3896,ROW(INDIRECT("1:100")),1)+0),MID(C3896,ROW(INDIRECT("1:100")),1),"")),")",""),"(","")</f>
        <v/>
      </c>
    </row>
    <row r="3897" spans="8:8" x14ac:dyDescent="0.25">
      <c r="H3897" s="4" t="str">
        <f t="array" aca="1" ref="H3897" ca="1">SUBSTITUTE(SUBSTITUTE(_xlfn.TEXTJOIN("",TRUE,IF(ISERR(MID(C3897,ROW(INDIRECT("1:100")),1)+0),MID(C3897,ROW(INDIRECT("1:100")),1),"")),")",""),"(","")</f>
        <v/>
      </c>
    </row>
    <row r="3898" spans="8:8" x14ac:dyDescent="0.25">
      <c r="H3898" s="4" t="str">
        <f t="array" aca="1" ref="H3898" ca="1">SUBSTITUTE(SUBSTITUTE(_xlfn.TEXTJOIN("",TRUE,IF(ISERR(MID(C3898,ROW(INDIRECT("1:100")),1)+0),MID(C3898,ROW(INDIRECT("1:100")),1),"")),")",""),"(","")</f>
        <v/>
      </c>
    </row>
    <row r="3899" spans="8:8" x14ac:dyDescent="0.25">
      <c r="H3899" s="4" t="str">
        <f t="array" aca="1" ref="H3899" ca="1">SUBSTITUTE(SUBSTITUTE(_xlfn.TEXTJOIN("",TRUE,IF(ISERR(MID(C3899,ROW(INDIRECT("1:100")),1)+0),MID(C3899,ROW(INDIRECT("1:100")),1),"")),")",""),"(","")</f>
        <v/>
      </c>
    </row>
    <row r="3900" spans="8:8" x14ac:dyDescent="0.25">
      <c r="H3900" s="4" t="str">
        <f t="array" aca="1" ref="H3900" ca="1">SUBSTITUTE(SUBSTITUTE(_xlfn.TEXTJOIN("",TRUE,IF(ISERR(MID(C3900,ROW(INDIRECT("1:100")),1)+0),MID(C3900,ROW(INDIRECT("1:100")),1),"")),")",""),"(","")</f>
        <v/>
      </c>
    </row>
    <row r="3901" spans="8:8" x14ac:dyDescent="0.25">
      <c r="H3901" s="4" t="str">
        <f t="array" aca="1" ref="H3901" ca="1">SUBSTITUTE(SUBSTITUTE(_xlfn.TEXTJOIN("",TRUE,IF(ISERR(MID(C3901,ROW(INDIRECT("1:100")),1)+0),MID(C3901,ROW(INDIRECT("1:100")),1),"")),")",""),"(","")</f>
        <v/>
      </c>
    </row>
    <row r="3902" spans="8:8" x14ac:dyDescent="0.25">
      <c r="H3902" s="4" t="str">
        <f t="array" aca="1" ref="H3902" ca="1">SUBSTITUTE(SUBSTITUTE(_xlfn.TEXTJOIN("",TRUE,IF(ISERR(MID(C3902,ROW(INDIRECT("1:100")),1)+0),MID(C3902,ROW(INDIRECT("1:100")),1),"")),")",""),"(","")</f>
        <v/>
      </c>
    </row>
    <row r="3903" spans="8:8" x14ac:dyDescent="0.25">
      <c r="H3903" s="4" t="str">
        <f t="array" aca="1" ref="H3903" ca="1">SUBSTITUTE(SUBSTITUTE(_xlfn.TEXTJOIN("",TRUE,IF(ISERR(MID(C3903,ROW(INDIRECT("1:100")),1)+0),MID(C3903,ROW(INDIRECT("1:100")),1),"")),")",""),"(","")</f>
        <v/>
      </c>
    </row>
    <row r="3904" spans="8:8" x14ac:dyDescent="0.25">
      <c r="H3904" s="4" t="str">
        <f t="array" aca="1" ref="H3904" ca="1">SUBSTITUTE(SUBSTITUTE(_xlfn.TEXTJOIN("",TRUE,IF(ISERR(MID(C3904,ROW(INDIRECT("1:100")),1)+0),MID(C3904,ROW(INDIRECT("1:100")),1),"")),")",""),"(","")</f>
        <v/>
      </c>
    </row>
    <row r="3905" spans="8:8" x14ac:dyDescent="0.25">
      <c r="H3905" s="4" t="str">
        <f t="array" aca="1" ref="H3905" ca="1">SUBSTITUTE(SUBSTITUTE(_xlfn.TEXTJOIN("",TRUE,IF(ISERR(MID(C3905,ROW(INDIRECT("1:100")),1)+0),MID(C3905,ROW(INDIRECT("1:100")),1),"")),")",""),"(","")</f>
        <v/>
      </c>
    </row>
    <row r="3906" spans="8:8" x14ac:dyDescent="0.25">
      <c r="H3906" s="4" t="str">
        <f t="array" aca="1" ref="H3906" ca="1">SUBSTITUTE(SUBSTITUTE(_xlfn.TEXTJOIN("",TRUE,IF(ISERR(MID(C3906,ROW(INDIRECT("1:100")),1)+0),MID(C3906,ROW(INDIRECT("1:100")),1),"")),")",""),"(","")</f>
        <v/>
      </c>
    </row>
    <row r="3907" spans="8:8" x14ac:dyDescent="0.25">
      <c r="H3907" s="4" t="str">
        <f t="array" aca="1" ref="H3907" ca="1">SUBSTITUTE(SUBSTITUTE(_xlfn.TEXTJOIN("",TRUE,IF(ISERR(MID(C3907,ROW(INDIRECT("1:100")),1)+0),MID(C3907,ROW(INDIRECT("1:100")),1),"")),")",""),"(","")</f>
        <v/>
      </c>
    </row>
    <row r="3908" spans="8:8" x14ac:dyDescent="0.25">
      <c r="H3908" s="4" t="str">
        <f t="array" aca="1" ref="H3908" ca="1">SUBSTITUTE(SUBSTITUTE(_xlfn.TEXTJOIN("",TRUE,IF(ISERR(MID(C3908,ROW(INDIRECT("1:100")),1)+0),MID(C3908,ROW(INDIRECT("1:100")),1),"")),")",""),"(","")</f>
        <v/>
      </c>
    </row>
    <row r="3909" spans="8:8" x14ac:dyDescent="0.25">
      <c r="H3909" s="4" t="str">
        <f t="array" aca="1" ref="H3909" ca="1">SUBSTITUTE(SUBSTITUTE(_xlfn.TEXTJOIN("",TRUE,IF(ISERR(MID(C3909,ROW(INDIRECT("1:100")),1)+0),MID(C3909,ROW(INDIRECT("1:100")),1),"")),")",""),"(","")</f>
        <v/>
      </c>
    </row>
    <row r="3910" spans="8:8" x14ac:dyDescent="0.25">
      <c r="H3910" s="4" t="str">
        <f t="array" aca="1" ref="H3910" ca="1">SUBSTITUTE(SUBSTITUTE(_xlfn.TEXTJOIN("",TRUE,IF(ISERR(MID(C3910,ROW(INDIRECT("1:100")),1)+0),MID(C3910,ROW(INDIRECT("1:100")),1),"")),")",""),"(","")</f>
        <v/>
      </c>
    </row>
    <row r="3911" spans="8:8" x14ac:dyDescent="0.25">
      <c r="H3911" s="4" t="str">
        <f t="array" aca="1" ref="H3911" ca="1">SUBSTITUTE(SUBSTITUTE(_xlfn.TEXTJOIN("",TRUE,IF(ISERR(MID(C3911,ROW(INDIRECT("1:100")),1)+0),MID(C3911,ROW(INDIRECT("1:100")),1),"")),")",""),"(","")</f>
        <v/>
      </c>
    </row>
    <row r="3912" spans="8:8" x14ac:dyDescent="0.25">
      <c r="H3912" s="4" t="str">
        <f t="array" aca="1" ref="H3912" ca="1">SUBSTITUTE(SUBSTITUTE(_xlfn.TEXTJOIN("",TRUE,IF(ISERR(MID(C3912,ROW(INDIRECT("1:100")),1)+0),MID(C3912,ROW(INDIRECT("1:100")),1),"")),")",""),"(","")</f>
        <v/>
      </c>
    </row>
    <row r="3913" spans="8:8" x14ac:dyDescent="0.25">
      <c r="H3913" s="4" t="str">
        <f t="array" aca="1" ref="H3913" ca="1">SUBSTITUTE(SUBSTITUTE(_xlfn.TEXTJOIN("",TRUE,IF(ISERR(MID(C3913,ROW(INDIRECT("1:100")),1)+0),MID(C3913,ROW(INDIRECT("1:100")),1),"")),")",""),"(","")</f>
        <v/>
      </c>
    </row>
    <row r="3914" spans="8:8" x14ac:dyDescent="0.25">
      <c r="H3914" s="4" t="str">
        <f t="array" aca="1" ref="H3914" ca="1">SUBSTITUTE(SUBSTITUTE(_xlfn.TEXTJOIN("",TRUE,IF(ISERR(MID(C3914,ROW(INDIRECT("1:100")),1)+0),MID(C3914,ROW(INDIRECT("1:100")),1),"")),")",""),"(","")</f>
        <v/>
      </c>
    </row>
    <row r="3915" spans="8:8" x14ac:dyDescent="0.25">
      <c r="H3915" s="4" t="str">
        <f t="array" aca="1" ref="H3915" ca="1">SUBSTITUTE(SUBSTITUTE(_xlfn.TEXTJOIN("",TRUE,IF(ISERR(MID(C3915,ROW(INDIRECT("1:100")),1)+0),MID(C3915,ROW(INDIRECT("1:100")),1),"")),")",""),"(","")</f>
        <v/>
      </c>
    </row>
    <row r="3916" spans="8:8" x14ac:dyDescent="0.25">
      <c r="H3916" s="4" t="str">
        <f t="array" aca="1" ref="H3916" ca="1">SUBSTITUTE(SUBSTITUTE(_xlfn.TEXTJOIN("",TRUE,IF(ISERR(MID(C3916,ROW(INDIRECT("1:100")),1)+0),MID(C3916,ROW(INDIRECT("1:100")),1),"")),")",""),"(","")</f>
        <v/>
      </c>
    </row>
    <row r="3917" spans="8:8" x14ac:dyDescent="0.25">
      <c r="H3917" s="4" t="str">
        <f t="array" aca="1" ref="H3917" ca="1">SUBSTITUTE(SUBSTITUTE(_xlfn.TEXTJOIN("",TRUE,IF(ISERR(MID(C3917,ROW(INDIRECT("1:100")),1)+0),MID(C3917,ROW(INDIRECT("1:100")),1),"")),")",""),"(","")</f>
        <v/>
      </c>
    </row>
    <row r="3918" spans="8:8" x14ac:dyDescent="0.25">
      <c r="H3918" s="4" t="str">
        <f t="array" aca="1" ref="H3918" ca="1">SUBSTITUTE(SUBSTITUTE(_xlfn.TEXTJOIN("",TRUE,IF(ISERR(MID(C3918,ROW(INDIRECT("1:100")),1)+0),MID(C3918,ROW(INDIRECT("1:100")),1),"")),")",""),"(","")</f>
        <v/>
      </c>
    </row>
  </sheetData>
  <pageMargins left="0.7" right="0.7" top="0.75" bottom="0.75" header="0.3" footer="0.3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processed_data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Gabe L. Finke</dc:creator>
  <cp:lastModifiedBy>Ritzel, Walter</cp:lastModifiedBy>
  <dcterms:created xsi:type="dcterms:W3CDTF">2022-04-12T16:34:00Z</dcterms:created>
  <dcterms:modified xsi:type="dcterms:W3CDTF">2022-04-14T03:26:30Z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ad3be33-4108-4738-9e07-d8656a181486_Enabled">
    <vt:lpwstr>true</vt:lpwstr>
  </property>
  <property fmtid="{D5CDD505-2E9C-101B-9397-08002B2CF9AE}" pid="3" name="MSIP_Label_dad3be33-4108-4738-9e07-d8656a181486_SetDate">
    <vt:lpwstr>2022-04-14T03:25:21Z</vt:lpwstr>
  </property>
  <property fmtid="{D5CDD505-2E9C-101B-9397-08002B2CF9AE}" pid="4" name="MSIP_Label_dad3be33-4108-4738-9e07-d8656a181486_Method">
    <vt:lpwstr>Privileged</vt:lpwstr>
  </property>
  <property fmtid="{D5CDD505-2E9C-101B-9397-08002B2CF9AE}" pid="5" name="MSIP_Label_dad3be33-4108-4738-9e07-d8656a181486_Name">
    <vt:lpwstr>Public No Visual Label</vt:lpwstr>
  </property>
  <property fmtid="{D5CDD505-2E9C-101B-9397-08002B2CF9AE}" pid="6" name="MSIP_Label_dad3be33-4108-4738-9e07-d8656a181486_SiteId">
    <vt:lpwstr>945c199a-83a2-4e80-9f8c-5a91be5752dd</vt:lpwstr>
  </property>
  <property fmtid="{D5CDD505-2E9C-101B-9397-08002B2CF9AE}" pid="7" name="MSIP_Label_dad3be33-4108-4738-9e07-d8656a181486_ActionId">
    <vt:lpwstr>31e5ae1b-17fb-4f43-8fc6-b159802b3c76</vt:lpwstr>
  </property>
  <property fmtid="{D5CDD505-2E9C-101B-9397-08002B2CF9AE}" pid="8" name="MSIP_Label_dad3be33-4108-4738-9e07-d8656a181486_ContentBits">
    <vt:lpwstr>0</vt:lpwstr>
  </property>
</Properties>
</file>